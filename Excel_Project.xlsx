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035F3590-E57D-4973-9E14-85DE04057639}" xr6:coauthVersionLast="47" xr6:coauthVersionMax="47" xr10:uidLastSave="{00000000-0000-0000-0000-000000000000}"/>
  <bookViews>
    <workbookView xWindow="-108" yWindow="-108" windowWidth="23256" windowHeight="12456" firstSheet="1" activeTab="5" xr2:uid="{00000000-000D-0000-FFFF-FFFF00000000}"/>
  </bookViews>
  <sheets>
    <sheet name="Data" sheetId="1" r:id="rId1"/>
    <sheet name="Staging Table" sheetId="3" r:id="rId2"/>
    <sheet name="Brief" sheetId="2" r:id="rId3"/>
    <sheet name="Dashboard" sheetId="24" r:id="rId4"/>
    <sheet name="Insights" sheetId="33" r:id="rId5"/>
    <sheet name="Documentation" sheetId="4" r:id="rId6"/>
    <sheet name="SalesProductivity" sheetId="32" r:id="rId7"/>
    <sheet name="AvgOrdVal" sheetId="27" r:id="rId8"/>
    <sheet name="GrossRevenueBYSKUsChart" sheetId="21" r:id="rId9"/>
    <sheet name="ProfitByRegionChart" sheetId="20" r:id="rId10"/>
    <sheet name="RevenueByMonthChart" sheetId="19" r:id="rId11"/>
    <sheet name="Scenario Summary" sheetId="18" r:id="rId12"/>
    <sheet name="ControlPanel" sheetId="17" r:id="rId13"/>
    <sheet name="Price Compliance" sheetId="15" r:id="rId14"/>
    <sheet name="ChannelMix&amp;Cannibalization" sheetId="11" r:id="rId15"/>
    <sheet name="ServiceLevelProxy" sheetId="29" r:id="rId16"/>
    <sheet name="Cohort Analysis" sheetId="5" r:id="rId17"/>
    <sheet name="ABCAnalysisPivotTable" sheetId="6" r:id="rId18"/>
    <sheet name="ABC_Analysis" sheetId="8" r:id="rId19"/>
  </sheets>
  <definedNames>
    <definedName name="_xlnm._FilterDatabase" localSheetId="1" hidden="1">'Staging Table'!$M$1:$M$610</definedName>
    <definedName name="_xlchart.v1.0" hidden="1">'Staging Table'!$R$1</definedName>
    <definedName name="_xlchart.v1.1" hidden="1">'Staging Table'!$R$2:$R$616</definedName>
    <definedName name="Slicer_Channel">#N/A</definedName>
    <definedName name="Slicer_Country">#N/A</definedName>
    <definedName name="Slicer_Month">#N/A</definedName>
    <definedName name="Slicer_Region">#N/A</definedName>
    <definedName name="Slicer_Salesperson">#N/A</definedName>
  </definedNames>
  <calcPr calcId="181029"/>
  <pivotCaches>
    <pivotCache cacheId="0" r:id="rId20"/>
    <pivotCache cacheId="1" r:id="rId21"/>
    <pivotCache cacheId="2" r:id="rId22"/>
    <pivotCache cacheId="3" r:id="rId23"/>
  </pivotCaches>
  <extLst>
    <ext xmlns:x14="http://schemas.microsoft.com/office/spreadsheetml/2009/9/main" uri="{BBE1A952-AA13-448e-AADC-164F8A28A991}">
      <x14:slicerCaches>
        <x14:slicerCache r:id="rId24"/>
        <x14:slicerCache r:id="rId25"/>
        <x14:slicerCache r:id="rId26"/>
        <x14:slicerCache r:id="rId27"/>
        <x14:slicerCache r:id="rId2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615" i="27" l="1"/>
  <c r="E616" i="8"/>
  <c r="D616" i="8"/>
  <c r="C616" i="8"/>
  <c r="E615" i="8"/>
  <c r="D615" i="8"/>
  <c r="C615" i="8"/>
  <c r="E614" i="8"/>
  <c r="D614" i="8"/>
  <c r="C614" i="8"/>
  <c r="E613" i="8"/>
  <c r="D613" i="8"/>
  <c r="C613" i="8"/>
  <c r="E612" i="8"/>
  <c r="D612" i="8"/>
  <c r="C612" i="8"/>
  <c r="E611" i="8"/>
  <c r="D611" i="8"/>
  <c r="C611" i="8"/>
  <c r="E610" i="8"/>
  <c r="D610" i="8"/>
  <c r="C610" i="8"/>
  <c r="E609" i="8"/>
  <c r="D609" i="8"/>
  <c r="C609" i="8"/>
  <c r="E608" i="8"/>
  <c r="D608" i="8"/>
  <c r="C608" i="8"/>
  <c r="E607" i="8"/>
  <c r="D607" i="8"/>
  <c r="C607" i="8"/>
  <c r="E606" i="8"/>
  <c r="D606" i="8"/>
  <c r="C606" i="8"/>
  <c r="E605" i="8"/>
  <c r="D605" i="8"/>
  <c r="C605" i="8"/>
  <c r="E604" i="8"/>
  <c r="D604" i="8"/>
  <c r="C604" i="8"/>
  <c r="E603" i="8"/>
  <c r="D603" i="8"/>
  <c r="C603" i="8"/>
  <c r="E602" i="8"/>
  <c r="D602" i="8"/>
  <c r="C602" i="8"/>
  <c r="E601" i="8"/>
  <c r="D601" i="8"/>
  <c r="C601" i="8"/>
  <c r="E600" i="8"/>
  <c r="D600" i="8"/>
  <c r="C600" i="8"/>
  <c r="E599" i="8"/>
  <c r="D599" i="8"/>
  <c r="C599" i="8"/>
  <c r="E598" i="8"/>
  <c r="D598" i="8"/>
  <c r="C598" i="8"/>
  <c r="E597" i="8"/>
  <c r="D597" i="8"/>
  <c r="C597" i="8"/>
  <c r="E596" i="8"/>
  <c r="D596" i="8"/>
  <c r="C596" i="8"/>
  <c r="E595" i="8"/>
  <c r="D595" i="8"/>
  <c r="C595" i="8"/>
  <c r="E594" i="8"/>
  <c r="D594" i="8"/>
  <c r="C594" i="8"/>
  <c r="E593" i="8"/>
  <c r="D593" i="8"/>
  <c r="C593" i="8"/>
  <c r="E592" i="8"/>
  <c r="D592" i="8"/>
  <c r="C592" i="8"/>
  <c r="E591" i="8"/>
  <c r="D591" i="8"/>
  <c r="C591" i="8"/>
  <c r="E590" i="8"/>
  <c r="D590" i="8"/>
  <c r="C590" i="8"/>
  <c r="E589" i="8"/>
  <c r="D589" i="8"/>
  <c r="C589" i="8"/>
  <c r="E588" i="8"/>
  <c r="D588" i="8"/>
  <c r="C588" i="8"/>
  <c r="E587" i="8"/>
  <c r="D587" i="8"/>
  <c r="C587" i="8"/>
  <c r="E586" i="8"/>
  <c r="D586" i="8"/>
  <c r="C586" i="8"/>
  <c r="E585" i="8"/>
  <c r="D585" i="8"/>
  <c r="C585" i="8"/>
  <c r="E584" i="8"/>
  <c r="D584" i="8"/>
  <c r="C584" i="8"/>
  <c r="E583" i="8"/>
  <c r="D583" i="8"/>
  <c r="C583" i="8"/>
  <c r="E582" i="8"/>
  <c r="D582" i="8"/>
  <c r="C582" i="8"/>
  <c r="E581" i="8"/>
  <c r="D581" i="8"/>
  <c r="C581" i="8"/>
  <c r="E580" i="8"/>
  <c r="D580" i="8"/>
  <c r="C580" i="8"/>
  <c r="E579" i="8"/>
  <c r="D579" i="8"/>
  <c r="C579" i="8"/>
  <c r="E578" i="8"/>
  <c r="D578" i="8"/>
  <c r="C578" i="8"/>
  <c r="E577" i="8"/>
  <c r="D577" i="8"/>
  <c r="C577" i="8"/>
  <c r="E576" i="8"/>
  <c r="D576" i="8"/>
  <c r="C576" i="8"/>
  <c r="E575" i="8"/>
  <c r="D575" i="8"/>
  <c r="C575" i="8"/>
  <c r="E574" i="8"/>
  <c r="D574" i="8"/>
  <c r="C574" i="8"/>
  <c r="E573" i="8"/>
  <c r="D573" i="8"/>
  <c r="C573" i="8"/>
  <c r="E572" i="8"/>
  <c r="D572" i="8"/>
  <c r="C572" i="8"/>
  <c r="E571" i="8"/>
  <c r="D571" i="8"/>
  <c r="C571" i="8"/>
  <c r="E570" i="8"/>
  <c r="D570" i="8"/>
  <c r="C570" i="8"/>
  <c r="E569" i="8"/>
  <c r="D569" i="8"/>
  <c r="C569" i="8"/>
  <c r="E568" i="8"/>
  <c r="D568" i="8"/>
  <c r="C568" i="8"/>
  <c r="E567" i="8"/>
  <c r="D567" i="8"/>
  <c r="C567" i="8"/>
  <c r="E566" i="8"/>
  <c r="D566" i="8"/>
  <c r="C566" i="8"/>
  <c r="E565" i="8"/>
  <c r="D565" i="8"/>
  <c r="C565" i="8"/>
  <c r="E564" i="8"/>
  <c r="D564" i="8"/>
  <c r="C564" i="8"/>
  <c r="E563" i="8"/>
  <c r="D563" i="8"/>
  <c r="C563" i="8"/>
  <c r="E562" i="8"/>
  <c r="D562" i="8"/>
  <c r="C562" i="8"/>
  <c r="E561" i="8"/>
  <c r="D561" i="8"/>
  <c r="C561" i="8"/>
  <c r="E560" i="8"/>
  <c r="D560" i="8"/>
  <c r="C560" i="8"/>
  <c r="E559" i="8"/>
  <c r="D559" i="8"/>
  <c r="C559" i="8"/>
  <c r="E558" i="8"/>
  <c r="D558" i="8"/>
  <c r="C558" i="8"/>
  <c r="E557" i="8"/>
  <c r="D557" i="8"/>
  <c r="C557" i="8"/>
  <c r="E556" i="8"/>
  <c r="D556" i="8"/>
  <c r="C556" i="8"/>
  <c r="E555" i="8"/>
  <c r="D555" i="8"/>
  <c r="C555" i="8"/>
  <c r="E554" i="8"/>
  <c r="D554" i="8"/>
  <c r="C554" i="8"/>
  <c r="E553" i="8"/>
  <c r="D553" i="8"/>
  <c r="C553" i="8"/>
  <c r="E552" i="8"/>
  <c r="D552" i="8"/>
  <c r="C552" i="8"/>
  <c r="E551" i="8"/>
  <c r="D551" i="8"/>
  <c r="C551" i="8"/>
  <c r="E550" i="8"/>
  <c r="D550" i="8"/>
  <c r="C550" i="8"/>
  <c r="E549" i="8"/>
  <c r="D549" i="8"/>
  <c r="C549" i="8"/>
  <c r="E548" i="8"/>
  <c r="D548" i="8"/>
  <c r="C548" i="8"/>
  <c r="E547" i="8"/>
  <c r="D547" i="8"/>
  <c r="C547" i="8"/>
  <c r="E546" i="8"/>
  <c r="D546" i="8"/>
  <c r="C546" i="8"/>
  <c r="E545" i="8"/>
  <c r="D545" i="8"/>
  <c r="C545" i="8"/>
  <c r="E544" i="8"/>
  <c r="D544" i="8"/>
  <c r="C544" i="8"/>
  <c r="E543" i="8"/>
  <c r="D543" i="8"/>
  <c r="C543" i="8"/>
  <c r="E542" i="8"/>
  <c r="D542" i="8"/>
  <c r="C542" i="8"/>
  <c r="E541" i="8"/>
  <c r="D541" i="8"/>
  <c r="C541" i="8"/>
  <c r="E540" i="8"/>
  <c r="D540" i="8"/>
  <c r="C540" i="8"/>
  <c r="E539" i="8"/>
  <c r="D539" i="8"/>
  <c r="C539" i="8"/>
  <c r="E538" i="8"/>
  <c r="D538" i="8"/>
  <c r="C538" i="8"/>
  <c r="E537" i="8"/>
  <c r="D537" i="8"/>
  <c r="C537" i="8"/>
  <c r="E536" i="8"/>
  <c r="D536" i="8"/>
  <c r="C536" i="8"/>
  <c r="E535" i="8"/>
  <c r="D535" i="8"/>
  <c r="C535" i="8"/>
  <c r="E534" i="8"/>
  <c r="D534" i="8"/>
  <c r="C534" i="8"/>
  <c r="E533" i="8"/>
  <c r="D533" i="8"/>
  <c r="C533" i="8"/>
  <c r="E532" i="8"/>
  <c r="D532" i="8"/>
  <c r="C532" i="8"/>
  <c r="E531" i="8"/>
  <c r="D531" i="8"/>
  <c r="C531" i="8"/>
  <c r="E530" i="8"/>
  <c r="D530" i="8"/>
  <c r="C530" i="8"/>
  <c r="E529" i="8"/>
  <c r="D529" i="8"/>
  <c r="C529" i="8"/>
  <c r="E528" i="8"/>
  <c r="D528" i="8"/>
  <c r="C528" i="8"/>
  <c r="E527" i="8"/>
  <c r="D527" i="8"/>
  <c r="C527" i="8"/>
  <c r="E526" i="8"/>
  <c r="D526" i="8"/>
  <c r="C526" i="8"/>
  <c r="E525" i="8"/>
  <c r="D525" i="8"/>
  <c r="C525" i="8"/>
  <c r="E524" i="8"/>
  <c r="D524" i="8"/>
  <c r="C524" i="8"/>
  <c r="E523" i="8"/>
  <c r="D523" i="8"/>
  <c r="C523" i="8"/>
  <c r="E522" i="8"/>
  <c r="D522" i="8"/>
  <c r="C522" i="8"/>
  <c r="E521" i="8"/>
  <c r="D521" i="8"/>
  <c r="C521" i="8"/>
  <c r="E520" i="8"/>
  <c r="D520" i="8"/>
  <c r="C520" i="8"/>
  <c r="E519" i="8"/>
  <c r="D519" i="8"/>
  <c r="C519" i="8"/>
  <c r="E517" i="8"/>
  <c r="D517" i="8"/>
  <c r="C517" i="8"/>
  <c r="E516" i="8"/>
  <c r="D516" i="8"/>
  <c r="C516" i="8"/>
  <c r="E515" i="8"/>
  <c r="D515" i="8"/>
  <c r="C515" i="8"/>
  <c r="E514" i="8"/>
  <c r="D514" i="8"/>
  <c r="C514" i="8"/>
  <c r="E513" i="8"/>
  <c r="D513" i="8"/>
  <c r="C513" i="8"/>
  <c r="E512" i="8"/>
  <c r="D512" i="8"/>
  <c r="C512" i="8"/>
  <c r="E511" i="8"/>
  <c r="D511" i="8"/>
  <c r="C511" i="8"/>
  <c r="E510" i="8"/>
  <c r="D510" i="8"/>
  <c r="C510" i="8"/>
  <c r="E509" i="8"/>
  <c r="D509" i="8"/>
  <c r="C509" i="8"/>
  <c r="E508" i="8"/>
  <c r="D508" i="8"/>
  <c r="C508" i="8"/>
  <c r="E507" i="8"/>
  <c r="D507" i="8"/>
  <c r="C507" i="8"/>
  <c r="E506" i="8"/>
  <c r="D506" i="8"/>
  <c r="C506" i="8"/>
  <c r="E505" i="8"/>
  <c r="D505" i="8"/>
  <c r="C505" i="8"/>
  <c r="E504" i="8"/>
  <c r="D504" i="8"/>
  <c r="C504" i="8"/>
  <c r="E503" i="8"/>
  <c r="D503" i="8"/>
  <c r="C503" i="8"/>
  <c r="E502" i="8"/>
  <c r="D502" i="8"/>
  <c r="C502" i="8"/>
  <c r="E501" i="8"/>
  <c r="D501" i="8"/>
  <c r="C501" i="8"/>
  <c r="E500" i="8"/>
  <c r="D500" i="8"/>
  <c r="C500" i="8"/>
  <c r="E499" i="8"/>
  <c r="D499" i="8"/>
  <c r="C499" i="8"/>
  <c r="E498" i="8"/>
  <c r="D498" i="8"/>
  <c r="C498" i="8"/>
  <c r="E497" i="8"/>
  <c r="D497" i="8"/>
  <c r="C497" i="8"/>
  <c r="E496" i="8"/>
  <c r="D496" i="8"/>
  <c r="C496" i="8"/>
  <c r="E495" i="8"/>
  <c r="D495" i="8"/>
  <c r="C495" i="8"/>
  <c r="E494" i="8"/>
  <c r="D494" i="8"/>
  <c r="C494" i="8"/>
  <c r="E493" i="8"/>
  <c r="D493" i="8"/>
  <c r="C493" i="8"/>
  <c r="E492" i="8"/>
  <c r="D492" i="8"/>
  <c r="C492" i="8"/>
  <c r="E491" i="8"/>
  <c r="D491" i="8"/>
  <c r="C491" i="8"/>
  <c r="E490" i="8"/>
  <c r="D490" i="8"/>
  <c r="C490" i="8"/>
  <c r="E489" i="8"/>
  <c r="D489" i="8"/>
  <c r="C489" i="8"/>
  <c r="E488" i="8"/>
  <c r="D488" i="8"/>
  <c r="C488" i="8"/>
  <c r="E487" i="8"/>
  <c r="D487" i="8"/>
  <c r="C487" i="8"/>
  <c r="E486" i="8"/>
  <c r="D486" i="8"/>
  <c r="C486" i="8"/>
  <c r="E485" i="8"/>
  <c r="D485" i="8"/>
  <c r="C485" i="8"/>
  <c r="E484" i="8"/>
  <c r="D484" i="8"/>
  <c r="C484" i="8"/>
  <c r="E483" i="8"/>
  <c r="D483" i="8"/>
  <c r="C483" i="8"/>
  <c r="E482" i="8"/>
  <c r="D482" i="8"/>
  <c r="C482" i="8"/>
  <c r="E481" i="8"/>
  <c r="D481" i="8"/>
  <c r="C481" i="8"/>
  <c r="E480" i="8"/>
  <c r="D480" i="8"/>
  <c r="C480" i="8"/>
  <c r="E479" i="8"/>
  <c r="D479" i="8"/>
  <c r="C479" i="8"/>
  <c r="E478" i="8"/>
  <c r="D478" i="8"/>
  <c r="C478" i="8"/>
  <c r="E477" i="8"/>
  <c r="D477" i="8"/>
  <c r="C477" i="8"/>
  <c r="E476" i="8"/>
  <c r="D476" i="8"/>
  <c r="C476" i="8"/>
  <c r="E475" i="8"/>
  <c r="D475" i="8"/>
  <c r="C475" i="8"/>
  <c r="E474" i="8"/>
  <c r="D474" i="8"/>
  <c r="C474" i="8"/>
  <c r="E473" i="8"/>
  <c r="D473" i="8"/>
  <c r="C473" i="8"/>
  <c r="E472" i="8"/>
  <c r="D472" i="8"/>
  <c r="C472" i="8"/>
  <c r="E471" i="8"/>
  <c r="D471" i="8"/>
  <c r="C471" i="8"/>
  <c r="E470" i="8"/>
  <c r="D470" i="8"/>
  <c r="C470" i="8"/>
  <c r="E469" i="8"/>
  <c r="D469" i="8"/>
  <c r="C469" i="8"/>
  <c r="E468" i="8"/>
  <c r="D468" i="8"/>
  <c r="C468" i="8"/>
  <c r="E467" i="8"/>
  <c r="D467" i="8"/>
  <c r="C467" i="8"/>
  <c r="E466" i="8"/>
  <c r="D466" i="8"/>
  <c r="C466" i="8"/>
  <c r="E465" i="8"/>
  <c r="D465" i="8"/>
  <c r="C465" i="8"/>
  <c r="E464" i="8"/>
  <c r="D464" i="8"/>
  <c r="C464" i="8"/>
  <c r="E463" i="8"/>
  <c r="D463" i="8"/>
  <c r="C463" i="8"/>
  <c r="E462" i="8"/>
  <c r="D462" i="8"/>
  <c r="C462" i="8"/>
  <c r="E461" i="8"/>
  <c r="D461" i="8"/>
  <c r="C461" i="8"/>
  <c r="E460" i="8"/>
  <c r="D460" i="8"/>
  <c r="C460" i="8"/>
  <c r="E459" i="8"/>
  <c r="D459" i="8"/>
  <c r="C459" i="8"/>
  <c r="E458" i="8"/>
  <c r="D458" i="8"/>
  <c r="C458" i="8"/>
  <c r="E457" i="8"/>
  <c r="D457" i="8"/>
  <c r="C457" i="8"/>
  <c r="E456" i="8"/>
  <c r="D456" i="8"/>
  <c r="C456" i="8"/>
  <c r="E455" i="8"/>
  <c r="D455" i="8"/>
  <c r="C455" i="8"/>
  <c r="E454" i="8"/>
  <c r="D454" i="8"/>
  <c r="C454" i="8"/>
  <c r="E453" i="8"/>
  <c r="D453" i="8"/>
  <c r="C453" i="8"/>
  <c r="E452" i="8"/>
  <c r="D452" i="8"/>
  <c r="C452" i="8"/>
  <c r="E451" i="8"/>
  <c r="D451" i="8"/>
  <c r="C451" i="8"/>
  <c r="E450" i="8"/>
  <c r="D450" i="8"/>
  <c r="C450" i="8"/>
  <c r="E449" i="8"/>
  <c r="D449" i="8"/>
  <c r="C449" i="8"/>
  <c r="E448" i="8"/>
  <c r="D448" i="8"/>
  <c r="C448" i="8"/>
  <c r="E447" i="8"/>
  <c r="D447" i="8"/>
  <c r="C447" i="8"/>
  <c r="E446" i="8"/>
  <c r="D446" i="8"/>
  <c r="C446" i="8"/>
  <c r="E445" i="8"/>
  <c r="D445" i="8"/>
  <c r="C445" i="8"/>
  <c r="E444" i="8"/>
  <c r="D444" i="8"/>
  <c r="C444" i="8"/>
  <c r="E443" i="8"/>
  <c r="D443" i="8"/>
  <c r="C443" i="8"/>
  <c r="E442" i="8"/>
  <c r="D442" i="8"/>
  <c r="C442" i="8"/>
  <c r="E441" i="8"/>
  <c r="D441" i="8"/>
  <c r="C441" i="8"/>
  <c r="E440" i="8"/>
  <c r="D440" i="8"/>
  <c r="C440" i="8"/>
  <c r="E439" i="8"/>
  <c r="D439" i="8"/>
  <c r="C439" i="8"/>
  <c r="E438" i="8"/>
  <c r="D438" i="8"/>
  <c r="C438" i="8"/>
  <c r="E437" i="8"/>
  <c r="D437" i="8"/>
  <c r="C437" i="8"/>
  <c r="E436" i="8"/>
  <c r="D436" i="8"/>
  <c r="C436" i="8"/>
  <c r="E435" i="8"/>
  <c r="D435" i="8"/>
  <c r="C435" i="8"/>
  <c r="E434" i="8"/>
  <c r="D434" i="8"/>
  <c r="C434" i="8"/>
  <c r="E433" i="8"/>
  <c r="D433" i="8"/>
  <c r="C433" i="8"/>
  <c r="E431" i="8"/>
  <c r="D431" i="8"/>
  <c r="C431" i="8"/>
  <c r="E430" i="8"/>
  <c r="D430" i="8"/>
  <c r="C430" i="8"/>
  <c r="E429" i="8"/>
  <c r="D429" i="8"/>
  <c r="C429" i="8"/>
  <c r="E428" i="8"/>
  <c r="D428" i="8"/>
  <c r="C428" i="8"/>
  <c r="E427" i="8"/>
  <c r="D427" i="8"/>
  <c r="C427" i="8"/>
  <c r="E426" i="8"/>
  <c r="D426" i="8"/>
  <c r="C426" i="8"/>
  <c r="E425" i="8"/>
  <c r="D425" i="8"/>
  <c r="C425" i="8"/>
  <c r="E424" i="8"/>
  <c r="D424" i="8"/>
  <c r="C424" i="8"/>
  <c r="E423" i="8"/>
  <c r="D423" i="8"/>
  <c r="C423" i="8"/>
  <c r="E422" i="8"/>
  <c r="D422" i="8"/>
  <c r="C422" i="8"/>
  <c r="E421" i="8"/>
  <c r="D421" i="8"/>
  <c r="C421" i="8"/>
  <c r="E420" i="8"/>
  <c r="D420" i="8"/>
  <c r="C420" i="8"/>
  <c r="E419" i="8"/>
  <c r="D419" i="8"/>
  <c r="C419" i="8"/>
  <c r="E418" i="8"/>
  <c r="D418" i="8"/>
  <c r="C418" i="8"/>
  <c r="E417" i="8"/>
  <c r="D417" i="8"/>
  <c r="C417" i="8"/>
  <c r="E416" i="8"/>
  <c r="D416" i="8"/>
  <c r="C416" i="8"/>
  <c r="E415" i="8"/>
  <c r="D415" i="8"/>
  <c r="C415" i="8"/>
  <c r="E414" i="8"/>
  <c r="D414" i="8"/>
  <c r="C414" i="8"/>
  <c r="E413" i="8"/>
  <c r="D413" i="8"/>
  <c r="C413" i="8"/>
  <c r="E412" i="8"/>
  <c r="D412" i="8"/>
  <c r="C412" i="8"/>
  <c r="E411" i="8"/>
  <c r="D411" i="8"/>
  <c r="C411" i="8"/>
  <c r="E410" i="8"/>
  <c r="D410" i="8"/>
  <c r="C410" i="8"/>
  <c r="E409" i="8"/>
  <c r="D409" i="8"/>
  <c r="C409" i="8"/>
  <c r="E408" i="8"/>
  <c r="D408" i="8"/>
  <c r="C408" i="8"/>
  <c r="E407" i="8"/>
  <c r="D407" i="8"/>
  <c r="C407" i="8"/>
  <c r="E406" i="8"/>
  <c r="D406" i="8"/>
  <c r="C406" i="8"/>
  <c r="E405" i="8"/>
  <c r="D405" i="8"/>
  <c r="C405" i="8"/>
  <c r="E404" i="8"/>
  <c r="D404" i="8"/>
  <c r="C404" i="8"/>
  <c r="E403" i="8"/>
  <c r="D403" i="8"/>
  <c r="C403" i="8"/>
  <c r="E402" i="8"/>
  <c r="D402" i="8"/>
  <c r="C402" i="8"/>
  <c r="E401" i="8"/>
  <c r="D401" i="8"/>
  <c r="C401" i="8"/>
  <c r="E400" i="8"/>
  <c r="D400" i="8"/>
  <c r="C400" i="8"/>
  <c r="E399" i="8"/>
  <c r="D399" i="8"/>
  <c r="C399" i="8"/>
  <c r="E398" i="8"/>
  <c r="D398" i="8"/>
  <c r="C398" i="8"/>
  <c r="E397" i="8"/>
  <c r="D397" i="8"/>
  <c r="C397" i="8"/>
  <c r="E396" i="8"/>
  <c r="D396" i="8"/>
  <c r="C396" i="8"/>
  <c r="E395" i="8"/>
  <c r="D395" i="8"/>
  <c r="C395" i="8"/>
  <c r="E394" i="8"/>
  <c r="D394" i="8"/>
  <c r="C394" i="8"/>
  <c r="E393" i="8"/>
  <c r="D393" i="8"/>
  <c r="C393" i="8"/>
  <c r="E392" i="8"/>
  <c r="D392" i="8"/>
  <c r="C392" i="8"/>
  <c r="E391" i="8"/>
  <c r="D391" i="8"/>
  <c r="C391" i="8"/>
  <c r="E390" i="8"/>
  <c r="D390" i="8"/>
  <c r="C390" i="8"/>
  <c r="E389" i="8"/>
  <c r="D389" i="8"/>
  <c r="C389" i="8"/>
  <c r="E388" i="8"/>
  <c r="D388" i="8"/>
  <c r="C388" i="8"/>
  <c r="E387" i="8"/>
  <c r="D387" i="8"/>
  <c r="C387" i="8"/>
  <c r="E386" i="8"/>
  <c r="D386" i="8"/>
  <c r="C386" i="8"/>
  <c r="E385" i="8"/>
  <c r="D385" i="8"/>
  <c r="C385" i="8"/>
  <c r="E384" i="8"/>
  <c r="D384" i="8"/>
  <c r="C384" i="8"/>
  <c r="E383" i="8"/>
  <c r="D383" i="8"/>
  <c r="C383" i="8"/>
  <c r="E382" i="8"/>
  <c r="D382" i="8"/>
  <c r="C382" i="8"/>
  <c r="E381" i="8"/>
  <c r="D381" i="8"/>
  <c r="C381" i="8"/>
  <c r="E380" i="8"/>
  <c r="D380" i="8"/>
  <c r="C380" i="8"/>
  <c r="E379" i="8"/>
  <c r="D379" i="8"/>
  <c r="C379" i="8"/>
  <c r="E378" i="8"/>
  <c r="D378" i="8"/>
  <c r="C378" i="8"/>
  <c r="E377" i="8"/>
  <c r="D377" i="8"/>
  <c r="C377" i="8"/>
  <c r="E376" i="8"/>
  <c r="D376" i="8"/>
  <c r="C376" i="8"/>
  <c r="E375" i="8"/>
  <c r="D375" i="8"/>
  <c r="C375" i="8"/>
  <c r="E374" i="8"/>
  <c r="D374" i="8"/>
  <c r="C374" i="8"/>
  <c r="E373" i="8"/>
  <c r="D373" i="8"/>
  <c r="C373" i="8"/>
  <c r="E372" i="8"/>
  <c r="D372" i="8"/>
  <c r="C372" i="8"/>
  <c r="E371" i="8"/>
  <c r="D371" i="8"/>
  <c r="C371" i="8"/>
  <c r="E370" i="8"/>
  <c r="D370" i="8"/>
  <c r="C370" i="8"/>
  <c r="E369" i="8"/>
  <c r="D369" i="8"/>
  <c r="C369" i="8"/>
  <c r="E368" i="8"/>
  <c r="D368" i="8"/>
  <c r="C368" i="8"/>
  <c r="E367" i="8"/>
  <c r="D367" i="8"/>
  <c r="C367" i="8"/>
  <c r="E366" i="8"/>
  <c r="D366" i="8"/>
  <c r="C366" i="8"/>
  <c r="E365" i="8"/>
  <c r="D365" i="8"/>
  <c r="C365" i="8"/>
  <c r="E364" i="8"/>
  <c r="D364" i="8"/>
  <c r="C364" i="8"/>
  <c r="E363" i="8"/>
  <c r="D363" i="8"/>
  <c r="C363" i="8"/>
  <c r="E362" i="8"/>
  <c r="D362" i="8"/>
  <c r="C362" i="8"/>
  <c r="E361" i="8"/>
  <c r="D361" i="8"/>
  <c r="C361" i="8"/>
  <c r="E360" i="8"/>
  <c r="D360" i="8"/>
  <c r="C360" i="8"/>
  <c r="E359" i="8"/>
  <c r="D359" i="8"/>
  <c r="C359" i="8"/>
  <c r="E358" i="8"/>
  <c r="D358" i="8"/>
  <c r="C358" i="8"/>
  <c r="E357" i="8"/>
  <c r="D357" i="8"/>
  <c r="C357" i="8"/>
  <c r="E356" i="8"/>
  <c r="D356" i="8"/>
  <c r="C356" i="8"/>
  <c r="E355" i="8"/>
  <c r="D355" i="8"/>
  <c r="C355" i="8"/>
  <c r="E354" i="8"/>
  <c r="D354" i="8"/>
  <c r="C354" i="8"/>
  <c r="E353" i="8"/>
  <c r="D353" i="8"/>
  <c r="C353" i="8"/>
  <c r="E352" i="8"/>
  <c r="D352" i="8"/>
  <c r="C352" i="8"/>
  <c r="E351" i="8"/>
  <c r="D351" i="8"/>
  <c r="C351" i="8"/>
  <c r="E350" i="8"/>
  <c r="D350" i="8"/>
  <c r="C350" i="8"/>
  <c r="E349" i="8"/>
  <c r="D349" i="8"/>
  <c r="C349" i="8"/>
  <c r="E347" i="8"/>
  <c r="D347" i="8"/>
  <c r="C347" i="8"/>
  <c r="E346" i="8"/>
  <c r="D346" i="8"/>
  <c r="C346" i="8"/>
  <c r="E345" i="8"/>
  <c r="D345" i="8"/>
  <c r="C345" i="8"/>
  <c r="E344" i="8"/>
  <c r="D344" i="8"/>
  <c r="C344" i="8"/>
  <c r="E343" i="8"/>
  <c r="D343" i="8"/>
  <c r="C343" i="8"/>
  <c r="E342" i="8"/>
  <c r="D342" i="8"/>
  <c r="C342" i="8"/>
  <c r="E341" i="8"/>
  <c r="D341" i="8"/>
  <c r="C341" i="8"/>
  <c r="E340" i="8"/>
  <c r="D340" i="8"/>
  <c r="C340" i="8"/>
  <c r="E339" i="8"/>
  <c r="D339" i="8"/>
  <c r="C339" i="8"/>
  <c r="E338" i="8"/>
  <c r="D338" i="8"/>
  <c r="C338" i="8"/>
  <c r="E337" i="8"/>
  <c r="D337" i="8"/>
  <c r="C337" i="8"/>
  <c r="E336" i="8"/>
  <c r="D336" i="8"/>
  <c r="C336" i="8"/>
  <c r="E335" i="8"/>
  <c r="D335" i="8"/>
  <c r="C335" i="8"/>
  <c r="E334" i="8"/>
  <c r="D334" i="8"/>
  <c r="C334" i="8"/>
  <c r="E333" i="8"/>
  <c r="D333" i="8"/>
  <c r="C333" i="8"/>
  <c r="E332" i="8"/>
  <c r="D332" i="8"/>
  <c r="C332" i="8"/>
  <c r="E331" i="8"/>
  <c r="D331" i="8"/>
  <c r="C331" i="8"/>
  <c r="E330" i="8"/>
  <c r="D330" i="8"/>
  <c r="C330" i="8"/>
  <c r="E329" i="8"/>
  <c r="D329" i="8"/>
  <c r="C329" i="8"/>
  <c r="E328" i="8"/>
  <c r="D328" i="8"/>
  <c r="C328" i="8"/>
  <c r="E327" i="8"/>
  <c r="D327" i="8"/>
  <c r="C327" i="8"/>
  <c r="E326" i="8"/>
  <c r="D326" i="8"/>
  <c r="C326" i="8"/>
  <c r="E325" i="8"/>
  <c r="D325" i="8"/>
  <c r="C325" i="8"/>
  <c r="E324" i="8"/>
  <c r="D324" i="8"/>
  <c r="C324" i="8"/>
  <c r="E323" i="8"/>
  <c r="D323" i="8"/>
  <c r="C323" i="8"/>
  <c r="E322" i="8"/>
  <c r="D322" i="8"/>
  <c r="C322" i="8"/>
  <c r="E321" i="8"/>
  <c r="D321" i="8"/>
  <c r="C321" i="8"/>
  <c r="E320" i="8"/>
  <c r="D320" i="8"/>
  <c r="C320" i="8"/>
  <c r="E319" i="8"/>
  <c r="D319" i="8"/>
  <c r="C319" i="8"/>
  <c r="E318" i="8"/>
  <c r="D318" i="8"/>
  <c r="C318" i="8"/>
  <c r="E317" i="8"/>
  <c r="D317" i="8"/>
  <c r="C317" i="8"/>
  <c r="E316" i="8"/>
  <c r="D316" i="8"/>
  <c r="C316" i="8"/>
  <c r="E315" i="8"/>
  <c r="D315" i="8"/>
  <c r="C315" i="8"/>
  <c r="E314" i="8"/>
  <c r="D314" i="8"/>
  <c r="C314" i="8"/>
  <c r="E313" i="8"/>
  <c r="D313" i="8"/>
  <c r="C313" i="8"/>
  <c r="E312" i="8"/>
  <c r="D312" i="8"/>
  <c r="C312" i="8"/>
  <c r="E311" i="8"/>
  <c r="D311" i="8"/>
  <c r="C311" i="8"/>
  <c r="E310" i="8"/>
  <c r="D310" i="8"/>
  <c r="C310" i="8"/>
  <c r="E309" i="8"/>
  <c r="D309" i="8"/>
  <c r="C309" i="8"/>
  <c r="E308" i="8"/>
  <c r="D308" i="8"/>
  <c r="C308" i="8"/>
  <c r="E307" i="8"/>
  <c r="D307" i="8"/>
  <c r="C307" i="8"/>
  <c r="E306" i="8"/>
  <c r="D306" i="8"/>
  <c r="C306" i="8"/>
  <c r="E305" i="8"/>
  <c r="D305" i="8"/>
  <c r="C305" i="8"/>
  <c r="E304" i="8"/>
  <c r="D304" i="8"/>
  <c r="C304" i="8"/>
  <c r="E303" i="8"/>
  <c r="D303" i="8"/>
  <c r="C303" i="8"/>
  <c r="E302" i="8"/>
  <c r="D302" i="8"/>
  <c r="C302" i="8"/>
  <c r="E301" i="8"/>
  <c r="D301" i="8"/>
  <c r="C301" i="8"/>
  <c r="E300" i="8"/>
  <c r="D300" i="8"/>
  <c r="C300" i="8"/>
  <c r="E299" i="8"/>
  <c r="D299" i="8"/>
  <c r="C299" i="8"/>
  <c r="E298" i="8"/>
  <c r="D298" i="8"/>
  <c r="C298" i="8"/>
  <c r="E297" i="8"/>
  <c r="D297" i="8"/>
  <c r="C297" i="8"/>
  <c r="E296" i="8"/>
  <c r="D296" i="8"/>
  <c r="C296" i="8"/>
  <c r="E295" i="8"/>
  <c r="D295" i="8"/>
  <c r="C295" i="8"/>
  <c r="E294" i="8"/>
  <c r="D294" i="8"/>
  <c r="C294" i="8"/>
  <c r="E293" i="8"/>
  <c r="D293" i="8"/>
  <c r="C293" i="8"/>
  <c r="E292" i="8"/>
  <c r="D292" i="8"/>
  <c r="C292" i="8"/>
  <c r="E291" i="8"/>
  <c r="D291" i="8"/>
  <c r="C291" i="8"/>
  <c r="E290" i="8"/>
  <c r="D290" i="8"/>
  <c r="C290" i="8"/>
  <c r="E289" i="8"/>
  <c r="D289" i="8"/>
  <c r="C289" i="8"/>
  <c r="E288" i="8"/>
  <c r="D288" i="8"/>
  <c r="C288" i="8"/>
  <c r="E287" i="8"/>
  <c r="D287" i="8"/>
  <c r="C287" i="8"/>
  <c r="E286" i="8"/>
  <c r="D286" i="8"/>
  <c r="C286" i="8"/>
  <c r="E285" i="8"/>
  <c r="D285" i="8"/>
  <c r="C285" i="8"/>
  <c r="E284" i="8"/>
  <c r="D284" i="8"/>
  <c r="C284" i="8"/>
  <c r="E283" i="8"/>
  <c r="D283" i="8"/>
  <c r="C283" i="8"/>
  <c r="E282" i="8"/>
  <c r="D282" i="8"/>
  <c r="C282" i="8"/>
  <c r="E281" i="8"/>
  <c r="D281" i="8"/>
  <c r="C281" i="8"/>
  <c r="E280" i="8"/>
  <c r="D280" i="8"/>
  <c r="C280" i="8"/>
  <c r="E279" i="8"/>
  <c r="D279" i="8"/>
  <c r="C279" i="8"/>
  <c r="E278" i="8"/>
  <c r="D278" i="8"/>
  <c r="C278" i="8"/>
  <c r="E277" i="8"/>
  <c r="D277" i="8"/>
  <c r="C277" i="8"/>
  <c r="E276" i="8"/>
  <c r="D276" i="8"/>
  <c r="C276" i="8"/>
  <c r="E275" i="8"/>
  <c r="D275" i="8"/>
  <c r="C275" i="8"/>
  <c r="E274" i="8"/>
  <c r="D274" i="8"/>
  <c r="C274" i="8"/>
  <c r="E273" i="8"/>
  <c r="D273" i="8"/>
  <c r="C273" i="8"/>
  <c r="E272" i="8"/>
  <c r="D272" i="8"/>
  <c r="C272" i="8"/>
  <c r="E271" i="8"/>
  <c r="D271" i="8"/>
  <c r="C271" i="8"/>
  <c r="E270" i="8"/>
  <c r="D270" i="8"/>
  <c r="C270" i="8"/>
  <c r="E269" i="8"/>
  <c r="D269" i="8"/>
  <c r="C269" i="8"/>
  <c r="E268" i="8"/>
  <c r="D268" i="8"/>
  <c r="C268" i="8"/>
  <c r="E267" i="8"/>
  <c r="D267" i="8"/>
  <c r="C267" i="8"/>
  <c r="E266" i="8"/>
  <c r="D266" i="8"/>
  <c r="C266" i="8"/>
  <c r="E265" i="8"/>
  <c r="D265" i="8"/>
  <c r="C265" i="8"/>
  <c r="E264" i="8"/>
  <c r="D264" i="8"/>
  <c r="C264" i="8"/>
  <c r="E263" i="8"/>
  <c r="D263" i="8"/>
  <c r="C263" i="8"/>
  <c r="E262" i="8"/>
  <c r="D262" i="8"/>
  <c r="C262" i="8"/>
  <c r="E261" i="8"/>
  <c r="D261" i="8"/>
  <c r="C261" i="8"/>
  <c r="E260" i="8"/>
  <c r="D260" i="8"/>
  <c r="C260" i="8"/>
  <c r="E259" i="8"/>
  <c r="D259" i="8"/>
  <c r="C259" i="8"/>
  <c r="E258" i="8"/>
  <c r="D258" i="8"/>
  <c r="C258" i="8"/>
  <c r="E256" i="8"/>
  <c r="D256" i="8"/>
  <c r="C256" i="8"/>
  <c r="E255" i="8"/>
  <c r="D255" i="8"/>
  <c r="C255" i="8"/>
  <c r="E254" i="8"/>
  <c r="D254" i="8"/>
  <c r="C254" i="8"/>
  <c r="E253" i="8"/>
  <c r="D253" i="8"/>
  <c r="C253" i="8"/>
  <c r="E252" i="8"/>
  <c r="D252" i="8"/>
  <c r="C252" i="8"/>
  <c r="E251" i="8"/>
  <c r="D251" i="8"/>
  <c r="C251" i="8"/>
  <c r="E250" i="8"/>
  <c r="D250" i="8"/>
  <c r="C250" i="8"/>
  <c r="E249" i="8"/>
  <c r="D249" i="8"/>
  <c r="C249" i="8"/>
  <c r="E248" i="8"/>
  <c r="D248" i="8"/>
  <c r="C248" i="8"/>
  <c r="E247" i="8"/>
  <c r="D247" i="8"/>
  <c r="C247" i="8"/>
  <c r="E246" i="8"/>
  <c r="D246" i="8"/>
  <c r="C246" i="8"/>
  <c r="E245" i="8"/>
  <c r="D245" i="8"/>
  <c r="C245" i="8"/>
  <c r="E244" i="8"/>
  <c r="D244" i="8"/>
  <c r="C244" i="8"/>
  <c r="E243" i="8"/>
  <c r="D243" i="8"/>
  <c r="C243" i="8"/>
  <c r="E242" i="8"/>
  <c r="D242" i="8"/>
  <c r="C242" i="8"/>
  <c r="E241" i="8"/>
  <c r="D241" i="8"/>
  <c r="C241" i="8"/>
  <c r="E240" i="8"/>
  <c r="D240" i="8"/>
  <c r="C240" i="8"/>
  <c r="E239" i="8"/>
  <c r="D239" i="8"/>
  <c r="C239" i="8"/>
  <c r="E238" i="8"/>
  <c r="D238" i="8"/>
  <c r="C238" i="8"/>
  <c r="E237" i="8"/>
  <c r="D237" i="8"/>
  <c r="C237" i="8"/>
  <c r="E236" i="8"/>
  <c r="D236" i="8"/>
  <c r="C236" i="8"/>
  <c r="E235" i="8"/>
  <c r="D235" i="8"/>
  <c r="C235" i="8"/>
  <c r="E234" i="8"/>
  <c r="D234" i="8"/>
  <c r="C234" i="8"/>
  <c r="E233" i="8"/>
  <c r="D233" i="8"/>
  <c r="C233" i="8"/>
  <c r="E232" i="8"/>
  <c r="D232" i="8"/>
  <c r="C232" i="8"/>
  <c r="E231" i="8"/>
  <c r="D231" i="8"/>
  <c r="C231" i="8"/>
  <c r="E230" i="8"/>
  <c r="D230" i="8"/>
  <c r="C230" i="8"/>
  <c r="E229" i="8"/>
  <c r="D229" i="8"/>
  <c r="C229" i="8"/>
  <c r="E228" i="8"/>
  <c r="D228" i="8"/>
  <c r="C228" i="8"/>
  <c r="E227" i="8"/>
  <c r="D227" i="8"/>
  <c r="C227" i="8"/>
  <c r="E226" i="8"/>
  <c r="D226" i="8"/>
  <c r="C226" i="8"/>
  <c r="E225" i="8"/>
  <c r="D225" i="8"/>
  <c r="C225" i="8"/>
  <c r="E224" i="8"/>
  <c r="D224" i="8"/>
  <c r="C224" i="8"/>
  <c r="E223" i="8"/>
  <c r="D223" i="8"/>
  <c r="C223" i="8"/>
  <c r="E222" i="8"/>
  <c r="D222" i="8"/>
  <c r="C222" i="8"/>
  <c r="E221" i="8"/>
  <c r="D221" i="8"/>
  <c r="C221" i="8"/>
  <c r="E220" i="8"/>
  <c r="D220" i="8"/>
  <c r="C220" i="8"/>
  <c r="E219" i="8"/>
  <c r="D219" i="8"/>
  <c r="C219" i="8"/>
  <c r="E218" i="8"/>
  <c r="D218" i="8"/>
  <c r="C218" i="8"/>
  <c r="E217" i="8"/>
  <c r="D217" i="8"/>
  <c r="C217" i="8"/>
  <c r="E216" i="8"/>
  <c r="D216" i="8"/>
  <c r="C216" i="8"/>
  <c r="E215" i="8"/>
  <c r="D215" i="8"/>
  <c r="C215" i="8"/>
  <c r="E214" i="8"/>
  <c r="D214" i="8"/>
  <c r="C214" i="8"/>
  <c r="E213" i="8"/>
  <c r="D213" i="8"/>
  <c r="C213" i="8"/>
  <c r="E212" i="8"/>
  <c r="D212" i="8"/>
  <c r="C212" i="8"/>
  <c r="E211" i="8"/>
  <c r="D211" i="8"/>
  <c r="C211" i="8"/>
  <c r="E210" i="8"/>
  <c r="D210" i="8"/>
  <c r="C210" i="8"/>
  <c r="E209" i="8"/>
  <c r="D209" i="8"/>
  <c r="C209" i="8"/>
  <c r="E208" i="8"/>
  <c r="D208" i="8"/>
  <c r="C208" i="8"/>
  <c r="E207" i="8"/>
  <c r="D207" i="8"/>
  <c r="C207" i="8"/>
  <c r="E206" i="8"/>
  <c r="D206" i="8"/>
  <c r="C206" i="8"/>
  <c r="E205" i="8"/>
  <c r="D205" i="8"/>
  <c r="C205" i="8"/>
  <c r="E204" i="8"/>
  <c r="D204" i="8"/>
  <c r="C204" i="8"/>
  <c r="E203" i="8"/>
  <c r="D203" i="8"/>
  <c r="C203" i="8"/>
  <c r="E202" i="8"/>
  <c r="D202" i="8"/>
  <c r="C202" i="8"/>
  <c r="E201" i="8"/>
  <c r="D201" i="8"/>
  <c r="C201" i="8"/>
  <c r="E200" i="8"/>
  <c r="D200" i="8"/>
  <c r="C200" i="8"/>
  <c r="E199" i="8"/>
  <c r="D199" i="8"/>
  <c r="C199" i="8"/>
  <c r="E198" i="8"/>
  <c r="D198" i="8"/>
  <c r="C198" i="8"/>
  <c r="E197" i="8"/>
  <c r="D197" i="8"/>
  <c r="C197" i="8"/>
  <c r="E196" i="8"/>
  <c r="D196" i="8"/>
  <c r="C196" i="8"/>
  <c r="E195" i="8"/>
  <c r="D195" i="8"/>
  <c r="C195" i="8"/>
  <c r="E194" i="8"/>
  <c r="D194" i="8"/>
  <c r="C194" i="8"/>
  <c r="E193" i="8"/>
  <c r="D193" i="8"/>
  <c r="C193" i="8"/>
  <c r="E192" i="8"/>
  <c r="D192" i="8"/>
  <c r="C192" i="8"/>
  <c r="E191" i="8"/>
  <c r="D191" i="8"/>
  <c r="C191" i="8"/>
  <c r="E190" i="8"/>
  <c r="D190" i="8"/>
  <c r="C190" i="8"/>
  <c r="E189" i="8"/>
  <c r="D189" i="8"/>
  <c r="C189" i="8"/>
  <c r="E188" i="8"/>
  <c r="D188" i="8"/>
  <c r="C188" i="8"/>
  <c r="E187" i="8"/>
  <c r="D187" i="8"/>
  <c r="C187" i="8"/>
  <c r="E186" i="8"/>
  <c r="D186" i="8"/>
  <c r="C186" i="8"/>
  <c r="E185" i="8"/>
  <c r="D185" i="8"/>
  <c r="C185" i="8"/>
  <c r="E184" i="8"/>
  <c r="D184" i="8"/>
  <c r="C184" i="8"/>
  <c r="E183" i="8"/>
  <c r="D183" i="8"/>
  <c r="C183" i="8"/>
  <c r="E182" i="8"/>
  <c r="D182" i="8"/>
  <c r="C182" i="8"/>
  <c r="E181" i="8"/>
  <c r="D181" i="8"/>
  <c r="C181" i="8"/>
  <c r="E180" i="8"/>
  <c r="D180" i="8"/>
  <c r="C180" i="8"/>
  <c r="E179" i="8"/>
  <c r="D179" i="8"/>
  <c r="C179" i="8"/>
  <c r="E178" i="8"/>
  <c r="D178" i="8"/>
  <c r="C178" i="8"/>
  <c r="E176" i="8"/>
  <c r="D176" i="8"/>
  <c r="C176" i="8"/>
  <c r="E175" i="8"/>
  <c r="D175" i="8"/>
  <c r="C175" i="8"/>
  <c r="E174" i="8"/>
  <c r="D174" i="8"/>
  <c r="C174" i="8"/>
  <c r="E173" i="8"/>
  <c r="D173" i="8"/>
  <c r="C173" i="8"/>
  <c r="E172" i="8"/>
  <c r="D172" i="8"/>
  <c r="C172" i="8"/>
  <c r="E171" i="8"/>
  <c r="D171" i="8"/>
  <c r="C171" i="8"/>
  <c r="E170" i="8"/>
  <c r="D170" i="8"/>
  <c r="C170" i="8"/>
  <c r="E169" i="8"/>
  <c r="D169" i="8"/>
  <c r="C169" i="8"/>
  <c r="E168" i="8"/>
  <c r="D168" i="8"/>
  <c r="C168" i="8"/>
  <c r="E167" i="8"/>
  <c r="D167" i="8"/>
  <c r="C167" i="8"/>
  <c r="E166" i="8"/>
  <c r="D166" i="8"/>
  <c r="C166" i="8"/>
  <c r="E165" i="8"/>
  <c r="D165" i="8"/>
  <c r="C165" i="8"/>
  <c r="E164" i="8"/>
  <c r="D164" i="8"/>
  <c r="C164" i="8"/>
  <c r="E163" i="8"/>
  <c r="D163" i="8"/>
  <c r="C163" i="8"/>
  <c r="E162" i="8"/>
  <c r="D162" i="8"/>
  <c r="C162" i="8"/>
  <c r="E161" i="8"/>
  <c r="D161" i="8"/>
  <c r="C161" i="8"/>
  <c r="E160" i="8"/>
  <c r="D160" i="8"/>
  <c r="C160" i="8"/>
  <c r="E159" i="8"/>
  <c r="D159" i="8"/>
  <c r="C159" i="8"/>
  <c r="E158" i="8"/>
  <c r="D158" i="8"/>
  <c r="C158" i="8"/>
  <c r="E157" i="8"/>
  <c r="D157" i="8"/>
  <c r="C157" i="8"/>
  <c r="E156" i="8"/>
  <c r="D156" i="8"/>
  <c r="C156" i="8"/>
  <c r="E155" i="8"/>
  <c r="D155" i="8"/>
  <c r="C155" i="8"/>
  <c r="E154" i="8"/>
  <c r="D154" i="8"/>
  <c r="C154" i="8"/>
  <c r="E153" i="8"/>
  <c r="D153" i="8"/>
  <c r="C153" i="8"/>
  <c r="E152" i="8"/>
  <c r="D152" i="8"/>
  <c r="C152" i="8"/>
  <c r="E151" i="8"/>
  <c r="D151" i="8"/>
  <c r="C151" i="8"/>
  <c r="E150" i="8"/>
  <c r="D150" i="8"/>
  <c r="C150" i="8"/>
  <c r="E149" i="8"/>
  <c r="D149" i="8"/>
  <c r="C149" i="8"/>
  <c r="E148" i="8"/>
  <c r="D148" i="8"/>
  <c r="C148" i="8"/>
  <c r="E147" i="8"/>
  <c r="D147" i="8"/>
  <c r="C147" i="8"/>
  <c r="E146" i="8"/>
  <c r="D146" i="8"/>
  <c r="C146" i="8"/>
  <c r="E145" i="8"/>
  <c r="D145" i="8"/>
  <c r="C145" i="8"/>
  <c r="E144" i="8"/>
  <c r="D144" i="8"/>
  <c r="C144" i="8"/>
  <c r="E143" i="8"/>
  <c r="D143" i="8"/>
  <c r="C143" i="8"/>
  <c r="E142" i="8"/>
  <c r="D142" i="8"/>
  <c r="C142" i="8"/>
  <c r="E141" i="8"/>
  <c r="D141" i="8"/>
  <c r="C141" i="8"/>
  <c r="E140" i="8"/>
  <c r="D140" i="8"/>
  <c r="C140" i="8"/>
  <c r="E139" i="8"/>
  <c r="D139" i="8"/>
  <c r="C139" i="8"/>
  <c r="E138" i="8"/>
  <c r="D138" i="8"/>
  <c r="C138" i="8"/>
  <c r="E137" i="8"/>
  <c r="D137" i="8"/>
  <c r="C137" i="8"/>
  <c r="E136" i="8"/>
  <c r="D136" i="8"/>
  <c r="C136" i="8"/>
  <c r="E135" i="8"/>
  <c r="D135" i="8"/>
  <c r="C135" i="8"/>
  <c r="E134" i="8"/>
  <c r="D134" i="8"/>
  <c r="C134" i="8"/>
  <c r="E133" i="8"/>
  <c r="D133" i="8"/>
  <c r="C133" i="8"/>
  <c r="E132" i="8"/>
  <c r="D132" i="8"/>
  <c r="C132" i="8"/>
  <c r="E131" i="8"/>
  <c r="D131" i="8"/>
  <c r="C131" i="8"/>
  <c r="E130" i="8"/>
  <c r="D130" i="8"/>
  <c r="C130" i="8"/>
  <c r="E129" i="8"/>
  <c r="D129" i="8"/>
  <c r="C129" i="8"/>
  <c r="E128" i="8"/>
  <c r="D128" i="8"/>
  <c r="C128" i="8"/>
  <c r="E127" i="8"/>
  <c r="D127" i="8"/>
  <c r="C127" i="8"/>
  <c r="E126" i="8"/>
  <c r="D126" i="8"/>
  <c r="C126" i="8"/>
  <c r="E125" i="8"/>
  <c r="D125" i="8"/>
  <c r="C125" i="8"/>
  <c r="E124" i="8"/>
  <c r="D124" i="8"/>
  <c r="C124" i="8"/>
  <c r="E123" i="8"/>
  <c r="D123" i="8"/>
  <c r="C123" i="8"/>
  <c r="E122" i="8"/>
  <c r="D122" i="8"/>
  <c r="C122" i="8"/>
  <c r="E121" i="8"/>
  <c r="D121" i="8"/>
  <c r="C121" i="8"/>
  <c r="E120" i="8"/>
  <c r="D120" i="8"/>
  <c r="C120" i="8"/>
  <c r="E119" i="8"/>
  <c r="D119" i="8"/>
  <c r="C119" i="8"/>
  <c r="E118" i="8"/>
  <c r="D118" i="8"/>
  <c r="C118" i="8"/>
  <c r="E117" i="8"/>
  <c r="D117" i="8"/>
  <c r="C117" i="8"/>
  <c r="E116" i="8"/>
  <c r="D116" i="8"/>
  <c r="C116" i="8"/>
  <c r="E115" i="8"/>
  <c r="D115" i="8"/>
  <c r="C115" i="8"/>
  <c r="E114" i="8"/>
  <c r="D114" i="8"/>
  <c r="C114" i="8"/>
  <c r="E113" i="8"/>
  <c r="D113" i="8"/>
  <c r="C113" i="8"/>
  <c r="E112" i="8"/>
  <c r="D112" i="8"/>
  <c r="C112" i="8"/>
  <c r="E111" i="8"/>
  <c r="D111" i="8"/>
  <c r="C111" i="8"/>
  <c r="E110" i="8"/>
  <c r="D110" i="8"/>
  <c r="C110" i="8"/>
  <c r="E109" i="8"/>
  <c r="D109" i="8"/>
  <c r="C109" i="8"/>
  <c r="E108" i="8"/>
  <c r="D108" i="8"/>
  <c r="C108" i="8"/>
  <c r="E107" i="8"/>
  <c r="D107" i="8"/>
  <c r="C107" i="8"/>
  <c r="E106" i="8"/>
  <c r="D106" i="8"/>
  <c r="C106" i="8"/>
  <c r="E105" i="8"/>
  <c r="D105" i="8"/>
  <c r="C105" i="8"/>
  <c r="E104" i="8"/>
  <c r="D104" i="8"/>
  <c r="C104" i="8"/>
  <c r="E103" i="8"/>
  <c r="D103" i="8"/>
  <c r="C103" i="8"/>
  <c r="E102" i="8"/>
  <c r="D102" i="8"/>
  <c r="C102" i="8"/>
  <c r="E101" i="8"/>
  <c r="D101" i="8"/>
  <c r="C101" i="8"/>
  <c r="E100" i="8"/>
  <c r="D100" i="8"/>
  <c r="C100" i="8"/>
  <c r="E99" i="8"/>
  <c r="D99" i="8"/>
  <c r="C99" i="8"/>
  <c r="E98" i="8"/>
  <c r="D98" i="8"/>
  <c r="C98" i="8"/>
  <c r="E97" i="8"/>
  <c r="D97" i="8"/>
  <c r="C97" i="8"/>
  <c r="E96" i="8"/>
  <c r="D96" i="8"/>
  <c r="C96" i="8"/>
  <c r="E95" i="8"/>
  <c r="D95" i="8"/>
  <c r="C95" i="8"/>
  <c r="E94" i="8"/>
  <c r="D94" i="8"/>
  <c r="C94" i="8"/>
  <c r="E93" i="8"/>
  <c r="D93" i="8"/>
  <c r="C93" i="8"/>
  <c r="E92" i="8"/>
  <c r="D92" i="8"/>
  <c r="C92" i="8"/>
  <c r="E91" i="8"/>
  <c r="D91" i="8"/>
  <c r="C91" i="8"/>
  <c r="E90" i="8"/>
  <c r="D90" i="8"/>
  <c r="C90" i="8"/>
  <c r="E89" i="8"/>
  <c r="D89" i="8"/>
  <c r="C89" i="8"/>
  <c r="E87" i="8"/>
  <c r="D87" i="8"/>
  <c r="C87" i="8"/>
  <c r="E86" i="8"/>
  <c r="D86" i="8"/>
  <c r="C86" i="8"/>
  <c r="E85" i="8"/>
  <c r="D85" i="8"/>
  <c r="C85" i="8"/>
  <c r="E84" i="8"/>
  <c r="D84" i="8"/>
  <c r="C84" i="8"/>
  <c r="E83" i="8"/>
  <c r="D83" i="8"/>
  <c r="C83" i="8"/>
  <c r="E82" i="8"/>
  <c r="D82" i="8"/>
  <c r="C82" i="8"/>
  <c r="E81" i="8"/>
  <c r="D81" i="8"/>
  <c r="C81" i="8"/>
  <c r="E80" i="8"/>
  <c r="D80" i="8"/>
  <c r="C80" i="8"/>
  <c r="E79" i="8"/>
  <c r="D79" i="8"/>
  <c r="C79" i="8"/>
  <c r="E78" i="8"/>
  <c r="D78" i="8"/>
  <c r="C78" i="8"/>
  <c r="E77" i="8"/>
  <c r="D77" i="8"/>
  <c r="C77" i="8"/>
  <c r="E76" i="8"/>
  <c r="D76" i="8"/>
  <c r="C76" i="8"/>
  <c r="E75" i="8"/>
  <c r="D75" i="8"/>
  <c r="C75" i="8"/>
  <c r="E74" i="8"/>
  <c r="D74" i="8"/>
  <c r="C74" i="8"/>
  <c r="E73" i="8"/>
  <c r="D73" i="8"/>
  <c r="C73" i="8"/>
  <c r="E72" i="8"/>
  <c r="D72" i="8"/>
  <c r="C72" i="8"/>
  <c r="E71" i="8"/>
  <c r="D71" i="8"/>
  <c r="C71" i="8"/>
  <c r="E70" i="8"/>
  <c r="D70" i="8"/>
  <c r="C70" i="8"/>
  <c r="E69" i="8"/>
  <c r="D69" i="8"/>
  <c r="C69" i="8"/>
  <c r="E68" i="8"/>
  <c r="D68" i="8"/>
  <c r="C68" i="8"/>
  <c r="E67" i="8"/>
  <c r="D67" i="8"/>
  <c r="C67" i="8"/>
  <c r="E66" i="8"/>
  <c r="D66" i="8"/>
  <c r="C66" i="8"/>
  <c r="E65" i="8"/>
  <c r="D65" i="8"/>
  <c r="C65" i="8"/>
  <c r="E64" i="8"/>
  <c r="D64" i="8"/>
  <c r="C64" i="8"/>
  <c r="E63" i="8"/>
  <c r="D63" i="8"/>
  <c r="C63" i="8"/>
  <c r="E62" i="8"/>
  <c r="D62" i="8"/>
  <c r="C62" i="8"/>
  <c r="E61" i="8"/>
  <c r="D61" i="8"/>
  <c r="C61" i="8"/>
  <c r="E60" i="8"/>
  <c r="D60" i="8"/>
  <c r="C60" i="8"/>
  <c r="E59" i="8"/>
  <c r="D59" i="8"/>
  <c r="C59" i="8"/>
  <c r="E58" i="8"/>
  <c r="D58" i="8"/>
  <c r="C58" i="8"/>
  <c r="E57" i="8"/>
  <c r="D57" i="8"/>
  <c r="C57" i="8"/>
  <c r="E56" i="8"/>
  <c r="D56" i="8"/>
  <c r="C56" i="8"/>
  <c r="E55" i="8"/>
  <c r="D55" i="8"/>
  <c r="C55" i="8"/>
  <c r="E54" i="8"/>
  <c r="D54" i="8"/>
  <c r="C54" i="8"/>
  <c r="E53" i="8"/>
  <c r="D53" i="8"/>
  <c r="C53" i="8"/>
  <c r="E52" i="8"/>
  <c r="D52" i="8"/>
  <c r="C52" i="8"/>
  <c r="E51" i="8"/>
  <c r="D51" i="8"/>
  <c r="C51" i="8"/>
  <c r="E50" i="8"/>
  <c r="D50" i="8"/>
  <c r="C50" i="8"/>
  <c r="E49" i="8"/>
  <c r="D49" i="8"/>
  <c r="C49" i="8"/>
  <c r="E48" i="8"/>
  <c r="D48" i="8"/>
  <c r="C48" i="8"/>
  <c r="E47" i="8"/>
  <c r="D47" i="8"/>
  <c r="C47" i="8"/>
  <c r="E46" i="8"/>
  <c r="D46" i="8"/>
  <c r="C46" i="8"/>
  <c r="E45" i="8"/>
  <c r="D45" i="8"/>
  <c r="C45" i="8"/>
  <c r="E44" i="8"/>
  <c r="D44" i="8"/>
  <c r="C44" i="8"/>
  <c r="E43" i="8"/>
  <c r="D43" i="8"/>
  <c r="C43" i="8"/>
  <c r="E42" i="8"/>
  <c r="D42" i="8"/>
  <c r="C42" i="8"/>
  <c r="E41" i="8"/>
  <c r="D41" i="8"/>
  <c r="C41" i="8"/>
  <c r="E40" i="8"/>
  <c r="D40" i="8"/>
  <c r="C40" i="8"/>
  <c r="E39" i="8"/>
  <c r="D39" i="8"/>
  <c r="C39" i="8"/>
  <c r="E38" i="8"/>
  <c r="D38" i="8"/>
  <c r="C38" i="8"/>
  <c r="E37" i="8"/>
  <c r="D37" i="8"/>
  <c r="C37" i="8"/>
  <c r="E36" i="8"/>
  <c r="D36" i="8"/>
  <c r="C36" i="8"/>
  <c r="E35" i="8"/>
  <c r="D35" i="8"/>
  <c r="C35" i="8"/>
  <c r="E34" i="8"/>
  <c r="D34" i="8"/>
  <c r="C34" i="8"/>
  <c r="E33" i="8"/>
  <c r="D33" i="8"/>
  <c r="C33" i="8"/>
  <c r="E32" i="8"/>
  <c r="D32" i="8"/>
  <c r="C32" i="8"/>
  <c r="E31" i="8"/>
  <c r="D31" i="8"/>
  <c r="C31" i="8"/>
  <c r="E30" i="8"/>
  <c r="D30" i="8"/>
  <c r="C30" i="8"/>
  <c r="E29" i="8"/>
  <c r="D29" i="8"/>
  <c r="C29" i="8"/>
  <c r="E28" i="8"/>
  <c r="D28" i="8"/>
  <c r="C28" i="8"/>
  <c r="E27" i="8"/>
  <c r="D27" i="8"/>
  <c r="C27" i="8"/>
  <c r="E26" i="8"/>
  <c r="D26" i="8"/>
  <c r="C26" i="8"/>
  <c r="E25" i="8"/>
  <c r="D25" i="8"/>
  <c r="C25" i="8"/>
  <c r="E24" i="8"/>
  <c r="D24" i="8"/>
  <c r="C24" i="8"/>
  <c r="E23" i="8"/>
  <c r="D23" i="8"/>
  <c r="C23" i="8"/>
  <c r="E22" i="8"/>
  <c r="D22" i="8"/>
  <c r="C22" i="8"/>
  <c r="E21" i="8"/>
  <c r="D21" i="8"/>
  <c r="C21" i="8"/>
  <c r="E20" i="8"/>
  <c r="D20" i="8"/>
  <c r="C20" i="8"/>
  <c r="E19" i="8"/>
  <c r="D19" i="8"/>
  <c r="C19" i="8"/>
  <c r="E18" i="8"/>
  <c r="D18" i="8"/>
  <c r="C18" i="8"/>
  <c r="E17" i="8"/>
  <c r="D17" i="8"/>
  <c r="C17" i="8"/>
  <c r="E16" i="8"/>
  <c r="D16" i="8"/>
  <c r="C16" i="8"/>
  <c r="E15" i="8"/>
  <c r="D15" i="8"/>
  <c r="C15" i="8"/>
  <c r="E14" i="8"/>
  <c r="D14" i="8"/>
  <c r="C14" i="8"/>
  <c r="E13" i="8"/>
  <c r="D13" i="8"/>
  <c r="C13" i="8"/>
  <c r="E12" i="8"/>
  <c r="D12" i="8"/>
  <c r="C12" i="8"/>
  <c r="E11" i="8"/>
  <c r="D11" i="8"/>
  <c r="C11" i="8"/>
  <c r="E10" i="8"/>
  <c r="D10" i="8"/>
  <c r="C10" i="8"/>
  <c r="E9" i="8"/>
  <c r="D9" i="8"/>
  <c r="C9" i="8"/>
  <c r="E8" i="8"/>
  <c r="D8" i="8"/>
  <c r="C8" i="8"/>
  <c r="E7" i="8"/>
  <c r="D7" i="8"/>
  <c r="C7" i="8"/>
  <c r="E6" i="8"/>
  <c r="D6" i="8"/>
  <c r="C6" i="8"/>
  <c r="E5" i="8"/>
  <c r="D5" i="8"/>
  <c r="C5" i="8"/>
  <c r="E4" i="8"/>
  <c r="D4" i="8"/>
  <c r="C4" i="8"/>
  <c r="I5" i="6"/>
  <c r="B9" i="17"/>
  <c r="B8" i="17"/>
  <c r="B613" i="3"/>
  <c r="AF610" i="3"/>
  <c r="AE610" i="3"/>
  <c r="AD610" i="3"/>
  <c r="AC610" i="3"/>
  <c r="AB610" i="3"/>
  <c r="AA610" i="3"/>
  <c r="Z610" i="3"/>
  <c r="Y610" i="3"/>
  <c r="X610" i="3"/>
  <c r="W610" i="3"/>
  <c r="V610" i="3"/>
  <c r="U610" i="3"/>
  <c r="S610" i="3"/>
  <c r="G610" i="3"/>
  <c r="F610" i="3"/>
  <c r="D610" i="3"/>
  <c r="C610" i="3"/>
  <c r="AF609" i="3"/>
  <c r="AE609" i="3"/>
  <c r="AD609" i="3"/>
  <c r="AC609" i="3"/>
  <c r="AB609" i="3"/>
  <c r="AA609" i="3"/>
  <c r="Z609" i="3"/>
  <c r="Y609" i="3"/>
  <c r="X609" i="3"/>
  <c r="W609" i="3"/>
  <c r="V609" i="3"/>
  <c r="U609" i="3"/>
  <c r="S609" i="3"/>
  <c r="G609" i="3"/>
  <c r="F609" i="3"/>
  <c r="D609" i="3"/>
  <c r="C609" i="3"/>
  <c r="AF608" i="3"/>
  <c r="AE608" i="3"/>
  <c r="AD608" i="3"/>
  <c r="AC608" i="3"/>
  <c r="AB608" i="3"/>
  <c r="AA608" i="3"/>
  <c r="Z608" i="3"/>
  <c r="Y608" i="3"/>
  <c r="X608" i="3"/>
  <c r="W608" i="3"/>
  <c r="V608" i="3"/>
  <c r="U608" i="3"/>
  <c r="S608" i="3"/>
  <c r="G608" i="3"/>
  <c r="F608" i="3"/>
  <c r="D608" i="3"/>
  <c r="C608" i="3"/>
  <c r="AF607" i="3"/>
  <c r="AE607" i="3"/>
  <c r="AD607" i="3"/>
  <c r="AC607" i="3"/>
  <c r="AB607" i="3"/>
  <c r="AA607" i="3"/>
  <c r="Z607" i="3"/>
  <c r="Y607" i="3"/>
  <c r="X607" i="3"/>
  <c r="W607" i="3"/>
  <c r="V607" i="3"/>
  <c r="U607" i="3"/>
  <c r="S607" i="3"/>
  <c r="G607" i="3"/>
  <c r="F607" i="3"/>
  <c r="D607" i="3"/>
  <c r="C607" i="3"/>
  <c r="AF606" i="3"/>
  <c r="AE606" i="3"/>
  <c r="AD606" i="3"/>
  <c r="AC606" i="3"/>
  <c r="AB606" i="3"/>
  <c r="AA606" i="3"/>
  <c r="Z606" i="3"/>
  <c r="Y606" i="3"/>
  <c r="X606" i="3"/>
  <c r="W606" i="3"/>
  <c r="V606" i="3"/>
  <c r="U606" i="3"/>
  <c r="S606" i="3"/>
  <c r="G606" i="3"/>
  <c r="F606" i="3"/>
  <c r="D606" i="3"/>
  <c r="C606" i="3"/>
  <c r="AF605" i="3"/>
  <c r="AE605" i="3"/>
  <c r="AD605" i="3"/>
  <c r="AC605" i="3"/>
  <c r="AB605" i="3"/>
  <c r="AA605" i="3"/>
  <c r="Z605" i="3"/>
  <c r="Y605" i="3"/>
  <c r="X605" i="3"/>
  <c r="W605" i="3"/>
  <c r="V605" i="3"/>
  <c r="U605" i="3"/>
  <c r="S605" i="3"/>
  <c r="G605" i="3"/>
  <c r="F605" i="3"/>
  <c r="D605" i="3"/>
  <c r="C605" i="3"/>
  <c r="AF604" i="3"/>
  <c r="AE604" i="3"/>
  <c r="AD604" i="3"/>
  <c r="AC604" i="3"/>
  <c r="AB604" i="3"/>
  <c r="AA604" i="3"/>
  <c r="Z604" i="3"/>
  <c r="Y604" i="3"/>
  <c r="X604" i="3"/>
  <c r="W604" i="3"/>
  <c r="V604" i="3"/>
  <c r="U604" i="3"/>
  <c r="S604" i="3"/>
  <c r="G604" i="3"/>
  <c r="F604" i="3"/>
  <c r="D604" i="3"/>
  <c r="C604" i="3"/>
  <c r="AF603" i="3"/>
  <c r="AE603" i="3"/>
  <c r="AD603" i="3"/>
  <c r="AC603" i="3"/>
  <c r="AB603" i="3"/>
  <c r="AA603" i="3"/>
  <c r="Z603" i="3"/>
  <c r="Y603" i="3"/>
  <c r="X603" i="3"/>
  <c r="W603" i="3"/>
  <c r="V603" i="3"/>
  <c r="U603" i="3"/>
  <c r="S603" i="3"/>
  <c r="G603" i="3"/>
  <c r="F603" i="3"/>
  <c r="D603" i="3"/>
  <c r="C603" i="3"/>
  <c r="AF602" i="3"/>
  <c r="AE602" i="3"/>
  <c r="AD602" i="3"/>
  <c r="AC602" i="3"/>
  <c r="AB602" i="3"/>
  <c r="AA602" i="3"/>
  <c r="Z602" i="3"/>
  <c r="Y602" i="3"/>
  <c r="X602" i="3"/>
  <c r="W602" i="3"/>
  <c r="V602" i="3"/>
  <c r="U602" i="3"/>
  <c r="S602" i="3"/>
  <c r="G602" i="3"/>
  <c r="F602" i="3"/>
  <c r="D602" i="3"/>
  <c r="C602" i="3"/>
  <c r="AF601" i="3"/>
  <c r="AE601" i="3"/>
  <c r="AD601" i="3"/>
  <c r="AC601" i="3"/>
  <c r="AB601" i="3"/>
  <c r="AA601" i="3"/>
  <c r="Z601" i="3"/>
  <c r="Y601" i="3"/>
  <c r="X601" i="3"/>
  <c r="W601" i="3"/>
  <c r="V601" i="3"/>
  <c r="U601" i="3"/>
  <c r="S601" i="3"/>
  <c r="G601" i="3"/>
  <c r="F601" i="3"/>
  <c r="D601" i="3"/>
  <c r="C601" i="3"/>
  <c r="AF600" i="3"/>
  <c r="AE600" i="3"/>
  <c r="AD600" i="3"/>
  <c r="AC600" i="3"/>
  <c r="AB600" i="3"/>
  <c r="AA600" i="3"/>
  <c r="Z600" i="3"/>
  <c r="Y600" i="3"/>
  <c r="X600" i="3"/>
  <c r="W600" i="3"/>
  <c r="V600" i="3"/>
  <c r="U600" i="3"/>
  <c r="S600" i="3"/>
  <c r="G600" i="3"/>
  <c r="F600" i="3"/>
  <c r="D600" i="3"/>
  <c r="C600" i="3"/>
  <c r="AF599" i="3"/>
  <c r="AE599" i="3"/>
  <c r="AD599" i="3"/>
  <c r="AC599" i="3"/>
  <c r="AB599" i="3"/>
  <c r="AA599" i="3"/>
  <c r="Z599" i="3"/>
  <c r="Y599" i="3"/>
  <c r="X599" i="3"/>
  <c r="W599" i="3"/>
  <c r="V599" i="3"/>
  <c r="U599" i="3"/>
  <c r="S599" i="3"/>
  <c r="G599" i="3"/>
  <c r="F599" i="3"/>
  <c r="D599" i="3"/>
  <c r="C599" i="3"/>
  <c r="AF598" i="3"/>
  <c r="AE598" i="3"/>
  <c r="AD598" i="3"/>
  <c r="AC598" i="3"/>
  <c r="AB598" i="3"/>
  <c r="AA598" i="3"/>
  <c r="Z598" i="3"/>
  <c r="Y598" i="3"/>
  <c r="X598" i="3"/>
  <c r="W598" i="3"/>
  <c r="V598" i="3"/>
  <c r="U598" i="3"/>
  <c r="S598" i="3"/>
  <c r="G598" i="3"/>
  <c r="F598" i="3"/>
  <c r="D598" i="3"/>
  <c r="C598" i="3"/>
  <c r="AF597" i="3"/>
  <c r="AE597" i="3"/>
  <c r="AD597" i="3"/>
  <c r="AC597" i="3"/>
  <c r="AB597" i="3"/>
  <c r="AA597" i="3"/>
  <c r="Z597" i="3"/>
  <c r="Y597" i="3"/>
  <c r="X597" i="3"/>
  <c r="W597" i="3"/>
  <c r="V597" i="3"/>
  <c r="U597" i="3"/>
  <c r="S597" i="3"/>
  <c r="G597" i="3"/>
  <c r="F597" i="3"/>
  <c r="D597" i="3"/>
  <c r="C597" i="3"/>
  <c r="AF596" i="3"/>
  <c r="AE596" i="3"/>
  <c r="AD596" i="3"/>
  <c r="AC596" i="3"/>
  <c r="AB596" i="3"/>
  <c r="AA596" i="3"/>
  <c r="Z596" i="3"/>
  <c r="Y596" i="3"/>
  <c r="X596" i="3"/>
  <c r="W596" i="3"/>
  <c r="V596" i="3"/>
  <c r="U596" i="3"/>
  <c r="S596" i="3"/>
  <c r="G596" i="3"/>
  <c r="F596" i="3"/>
  <c r="D596" i="3"/>
  <c r="C596" i="3"/>
  <c r="AF595" i="3"/>
  <c r="AE595" i="3"/>
  <c r="AD595" i="3"/>
  <c r="AC595" i="3"/>
  <c r="AB595" i="3"/>
  <c r="AA595" i="3"/>
  <c r="Z595" i="3"/>
  <c r="Y595" i="3"/>
  <c r="X595" i="3"/>
  <c r="W595" i="3"/>
  <c r="V595" i="3"/>
  <c r="U595" i="3"/>
  <c r="S595" i="3"/>
  <c r="G595" i="3"/>
  <c r="F595" i="3"/>
  <c r="D595" i="3"/>
  <c r="C595" i="3"/>
  <c r="AF594" i="3"/>
  <c r="AE594" i="3"/>
  <c r="AD594" i="3"/>
  <c r="AC594" i="3"/>
  <c r="AB594" i="3"/>
  <c r="AA594" i="3"/>
  <c r="Z594" i="3"/>
  <c r="Y594" i="3"/>
  <c r="X594" i="3"/>
  <c r="W594" i="3"/>
  <c r="V594" i="3"/>
  <c r="U594" i="3"/>
  <c r="S594" i="3"/>
  <c r="G594" i="3"/>
  <c r="F594" i="3"/>
  <c r="D594" i="3"/>
  <c r="C594" i="3"/>
  <c r="AF593" i="3"/>
  <c r="AE593" i="3"/>
  <c r="AD593" i="3"/>
  <c r="AC593" i="3"/>
  <c r="AB593" i="3"/>
  <c r="AA593" i="3"/>
  <c r="Z593" i="3"/>
  <c r="Y593" i="3"/>
  <c r="X593" i="3"/>
  <c r="W593" i="3"/>
  <c r="V593" i="3"/>
  <c r="U593" i="3"/>
  <c r="S593" i="3"/>
  <c r="G593" i="3"/>
  <c r="F593" i="3"/>
  <c r="D593" i="3"/>
  <c r="C593" i="3"/>
  <c r="AF592" i="3"/>
  <c r="AE592" i="3"/>
  <c r="AD592" i="3"/>
  <c r="AC592" i="3"/>
  <c r="AB592" i="3"/>
  <c r="AA592" i="3"/>
  <c r="Z592" i="3"/>
  <c r="Y592" i="3"/>
  <c r="X592" i="3"/>
  <c r="W592" i="3"/>
  <c r="V592" i="3"/>
  <c r="U592" i="3"/>
  <c r="S592" i="3"/>
  <c r="G592" i="3"/>
  <c r="F592" i="3"/>
  <c r="D592" i="3"/>
  <c r="C592" i="3"/>
  <c r="AF591" i="3"/>
  <c r="AE591" i="3"/>
  <c r="AD591" i="3"/>
  <c r="AC591" i="3"/>
  <c r="AB591" i="3"/>
  <c r="AA591" i="3"/>
  <c r="Z591" i="3"/>
  <c r="Y591" i="3"/>
  <c r="X591" i="3"/>
  <c r="W591" i="3"/>
  <c r="V591" i="3"/>
  <c r="U591" i="3"/>
  <c r="S591" i="3"/>
  <c r="G591" i="3"/>
  <c r="F591" i="3"/>
  <c r="D591" i="3"/>
  <c r="C591" i="3"/>
  <c r="AF590" i="3"/>
  <c r="AE590" i="3"/>
  <c r="AD590" i="3"/>
  <c r="AC590" i="3"/>
  <c r="AB590" i="3"/>
  <c r="AA590" i="3"/>
  <c r="Z590" i="3"/>
  <c r="Y590" i="3"/>
  <c r="X590" i="3"/>
  <c r="W590" i="3"/>
  <c r="V590" i="3"/>
  <c r="U590" i="3"/>
  <c r="S590" i="3"/>
  <c r="G590" i="3"/>
  <c r="F590" i="3"/>
  <c r="D590" i="3"/>
  <c r="C590" i="3"/>
  <c r="AF589" i="3"/>
  <c r="AE589" i="3"/>
  <c r="AD589" i="3"/>
  <c r="AC589" i="3"/>
  <c r="AB589" i="3"/>
  <c r="AA589" i="3"/>
  <c r="Z589" i="3"/>
  <c r="Y589" i="3"/>
  <c r="X589" i="3"/>
  <c r="W589" i="3"/>
  <c r="V589" i="3"/>
  <c r="U589" i="3"/>
  <c r="S589" i="3"/>
  <c r="G589" i="3"/>
  <c r="F589" i="3"/>
  <c r="D589" i="3"/>
  <c r="C589" i="3"/>
  <c r="AF588" i="3"/>
  <c r="AE588" i="3"/>
  <c r="AD588" i="3"/>
  <c r="AC588" i="3"/>
  <c r="AB588" i="3"/>
  <c r="AA588" i="3"/>
  <c r="Z588" i="3"/>
  <c r="Y588" i="3"/>
  <c r="X588" i="3"/>
  <c r="W588" i="3"/>
  <c r="V588" i="3"/>
  <c r="U588" i="3"/>
  <c r="S588" i="3"/>
  <c r="G588" i="3"/>
  <c r="F588" i="3"/>
  <c r="D588" i="3"/>
  <c r="C588" i="3"/>
  <c r="AF587" i="3"/>
  <c r="AE587" i="3"/>
  <c r="AD587" i="3"/>
  <c r="AC587" i="3"/>
  <c r="AB587" i="3"/>
  <c r="AA587" i="3"/>
  <c r="Z587" i="3"/>
  <c r="Y587" i="3"/>
  <c r="X587" i="3"/>
  <c r="W587" i="3"/>
  <c r="V587" i="3"/>
  <c r="U587" i="3"/>
  <c r="S587" i="3"/>
  <c r="G587" i="3"/>
  <c r="F587" i="3"/>
  <c r="D587" i="3"/>
  <c r="C587" i="3"/>
  <c r="AF586" i="3"/>
  <c r="AE586" i="3"/>
  <c r="AD586" i="3"/>
  <c r="AC586" i="3"/>
  <c r="AB586" i="3"/>
  <c r="AA586" i="3"/>
  <c r="Z586" i="3"/>
  <c r="Y586" i="3"/>
  <c r="X586" i="3"/>
  <c r="W586" i="3"/>
  <c r="V586" i="3"/>
  <c r="U586" i="3"/>
  <c r="S586" i="3"/>
  <c r="G586" i="3"/>
  <c r="F586" i="3"/>
  <c r="D586" i="3"/>
  <c r="C586" i="3"/>
  <c r="AF585" i="3"/>
  <c r="AE585" i="3"/>
  <c r="AD585" i="3"/>
  <c r="AC585" i="3"/>
  <c r="AB585" i="3"/>
  <c r="AA585" i="3"/>
  <c r="Z585" i="3"/>
  <c r="Y585" i="3"/>
  <c r="X585" i="3"/>
  <c r="W585" i="3"/>
  <c r="V585" i="3"/>
  <c r="U585" i="3"/>
  <c r="S585" i="3"/>
  <c r="G585" i="3"/>
  <c r="F585" i="3"/>
  <c r="D585" i="3"/>
  <c r="C585" i="3"/>
  <c r="AF584" i="3"/>
  <c r="AE584" i="3"/>
  <c r="AD584" i="3"/>
  <c r="AC584" i="3"/>
  <c r="AB584" i="3"/>
  <c r="AA584" i="3"/>
  <c r="Z584" i="3"/>
  <c r="Y584" i="3"/>
  <c r="X584" i="3"/>
  <c r="W584" i="3"/>
  <c r="V584" i="3"/>
  <c r="U584" i="3"/>
  <c r="S584" i="3"/>
  <c r="G584" i="3"/>
  <c r="F584" i="3"/>
  <c r="D584" i="3"/>
  <c r="C584" i="3"/>
  <c r="AF583" i="3"/>
  <c r="AE583" i="3"/>
  <c r="AD583" i="3"/>
  <c r="AC583" i="3"/>
  <c r="AB583" i="3"/>
  <c r="AA583" i="3"/>
  <c r="Z583" i="3"/>
  <c r="Y583" i="3"/>
  <c r="X583" i="3"/>
  <c r="W583" i="3"/>
  <c r="V583" i="3"/>
  <c r="U583" i="3"/>
  <c r="S583" i="3"/>
  <c r="G583" i="3"/>
  <c r="F583" i="3"/>
  <c r="D583" i="3"/>
  <c r="C583" i="3"/>
  <c r="AF582" i="3"/>
  <c r="AE582" i="3"/>
  <c r="AD582" i="3"/>
  <c r="AC582" i="3"/>
  <c r="AB582" i="3"/>
  <c r="AA582" i="3"/>
  <c r="Z582" i="3"/>
  <c r="Y582" i="3"/>
  <c r="X582" i="3"/>
  <c r="W582" i="3"/>
  <c r="V582" i="3"/>
  <c r="U582" i="3"/>
  <c r="S582" i="3"/>
  <c r="G582" i="3"/>
  <c r="F582" i="3"/>
  <c r="D582" i="3"/>
  <c r="C582" i="3"/>
  <c r="AF581" i="3"/>
  <c r="AE581" i="3"/>
  <c r="AD581" i="3"/>
  <c r="AC581" i="3"/>
  <c r="AB581" i="3"/>
  <c r="AA581" i="3"/>
  <c r="Z581" i="3"/>
  <c r="Y581" i="3"/>
  <c r="X581" i="3"/>
  <c r="W581" i="3"/>
  <c r="V581" i="3"/>
  <c r="U581" i="3"/>
  <c r="S581" i="3"/>
  <c r="G581" i="3"/>
  <c r="F581" i="3"/>
  <c r="D581" i="3"/>
  <c r="C581" i="3"/>
  <c r="AF580" i="3"/>
  <c r="AE580" i="3"/>
  <c r="AD580" i="3"/>
  <c r="AC580" i="3"/>
  <c r="AB580" i="3"/>
  <c r="AA580" i="3"/>
  <c r="Z580" i="3"/>
  <c r="Y580" i="3"/>
  <c r="X580" i="3"/>
  <c r="W580" i="3"/>
  <c r="V580" i="3"/>
  <c r="U580" i="3"/>
  <c r="S580" i="3"/>
  <c r="G580" i="3"/>
  <c r="F580" i="3"/>
  <c r="D580" i="3"/>
  <c r="C580" i="3"/>
  <c r="AF579" i="3"/>
  <c r="AE579" i="3"/>
  <c r="AD579" i="3"/>
  <c r="AC579" i="3"/>
  <c r="AB579" i="3"/>
  <c r="AA579" i="3"/>
  <c r="Z579" i="3"/>
  <c r="Y579" i="3"/>
  <c r="X579" i="3"/>
  <c r="W579" i="3"/>
  <c r="V579" i="3"/>
  <c r="U579" i="3"/>
  <c r="S579" i="3"/>
  <c r="G579" i="3"/>
  <c r="F579" i="3"/>
  <c r="D579" i="3"/>
  <c r="C579" i="3"/>
  <c r="AF578" i="3"/>
  <c r="AE578" i="3"/>
  <c r="AD578" i="3"/>
  <c r="AC578" i="3"/>
  <c r="AB578" i="3"/>
  <c r="AA578" i="3"/>
  <c r="Z578" i="3"/>
  <c r="Y578" i="3"/>
  <c r="X578" i="3"/>
  <c r="W578" i="3"/>
  <c r="V578" i="3"/>
  <c r="U578" i="3"/>
  <c r="S578" i="3"/>
  <c r="G578" i="3"/>
  <c r="F578" i="3"/>
  <c r="D578" i="3"/>
  <c r="C578" i="3"/>
  <c r="AF577" i="3"/>
  <c r="AE577" i="3"/>
  <c r="AD577" i="3"/>
  <c r="AC577" i="3"/>
  <c r="AB577" i="3"/>
  <c r="AA577" i="3"/>
  <c r="Z577" i="3"/>
  <c r="Y577" i="3"/>
  <c r="X577" i="3"/>
  <c r="W577" i="3"/>
  <c r="V577" i="3"/>
  <c r="U577" i="3"/>
  <c r="S577" i="3"/>
  <c r="G577" i="3"/>
  <c r="F577" i="3"/>
  <c r="D577" i="3"/>
  <c r="C577" i="3"/>
  <c r="AF576" i="3"/>
  <c r="AE576" i="3"/>
  <c r="AD576" i="3"/>
  <c r="AC576" i="3"/>
  <c r="AB576" i="3"/>
  <c r="AA576" i="3"/>
  <c r="Z576" i="3"/>
  <c r="Y576" i="3"/>
  <c r="X576" i="3"/>
  <c r="W576" i="3"/>
  <c r="V576" i="3"/>
  <c r="U576" i="3"/>
  <c r="S576" i="3"/>
  <c r="G576" i="3"/>
  <c r="F576" i="3"/>
  <c r="D576" i="3"/>
  <c r="C576" i="3"/>
  <c r="AF575" i="3"/>
  <c r="AE575" i="3"/>
  <c r="AD575" i="3"/>
  <c r="AC575" i="3"/>
  <c r="AB575" i="3"/>
  <c r="AA575" i="3"/>
  <c r="Z575" i="3"/>
  <c r="Y575" i="3"/>
  <c r="X575" i="3"/>
  <c r="W575" i="3"/>
  <c r="V575" i="3"/>
  <c r="U575" i="3"/>
  <c r="S575" i="3"/>
  <c r="G575" i="3"/>
  <c r="F575" i="3"/>
  <c r="D575" i="3"/>
  <c r="C575" i="3"/>
  <c r="AF574" i="3"/>
  <c r="AE574" i="3"/>
  <c r="AD574" i="3"/>
  <c r="AC574" i="3"/>
  <c r="AB574" i="3"/>
  <c r="AA574" i="3"/>
  <c r="Z574" i="3"/>
  <c r="Y574" i="3"/>
  <c r="X574" i="3"/>
  <c r="W574" i="3"/>
  <c r="V574" i="3"/>
  <c r="U574" i="3"/>
  <c r="S574" i="3"/>
  <c r="G574" i="3"/>
  <c r="F574" i="3"/>
  <c r="D574" i="3"/>
  <c r="C574" i="3"/>
  <c r="AF573" i="3"/>
  <c r="AE573" i="3"/>
  <c r="AD573" i="3"/>
  <c r="AC573" i="3"/>
  <c r="AB573" i="3"/>
  <c r="AA573" i="3"/>
  <c r="Z573" i="3"/>
  <c r="Y573" i="3"/>
  <c r="X573" i="3"/>
  <c r="W573" i="3"/>
  <c r="V573" i="3"/>
  <c r="U573" i="3"/>
  <c r="S573" i="3"/>
  <c r="G573" i="3"/>
  <c r="F573" i="3"/>
  <c r="D573" i="3"/>
  <c r="C573" i="3"/>
  <c r="AF572" i="3"/>
  <c r="AE572" i="3"/>
  <c r="AD572" i="3"/>
  <c r="AC572" i="3"/>
  <c r="AB572" i="3"/>
  <c r="AA572" i="3"/>
  <c r="Z572" i="3"/>
  <c r="Y572" i="3"/>
  <c r="X572" i="3"/>
  <c r="W572" i="3"/>
  <c r="V572" i="3"/>
  <c r="U572" i="3"/>
  <c r="S572" i="3"/>
  <c r="G572" i="3"/>
  <c r="F572" i="3"/>
  <c r="D572" i="3"/>
  <c r="C572" i="3"/>
  <c r="AF571" i="3"/>
  <c r="AE571" i="3"/>
  <c r="AD571" i="3"/>
  <c r="AC571" i="3"/>
  <c r="AB571" i="3"/>
  <c r="AA571" i="3"/>
  <c r="Z571" i="3"/>
  <c r="Y571" i="3"/>
  <c r="X571" i="3"/>
  <c r="W571" i="3"/>
  <c r="V571" i="3"/>
  <c r="U571" i="3"/>
  <c r="S571" i="3"/>
  <c r="G571" i="3"/>
  <c r="F571" i="3"/>
  <c r="D571" i="3"/>
  <c r="C571" i="3"/>
  <c r="AF570" i="3"/>
  <c r="AE570" i="3"/>
  <c r="AD570" i="3"/>
  <c r="AC570" i="3"/>
  <c r="AB570" i="3"/>
  <c r="AA570" i="3"/>
  <c r="Z570" i="3"/>
  <c r="Y570" i="3"/>
  <c r="X570" i="3"/>
  <c r="W570" i="3"/>
  <c r="V570" i="3"/>
  <c r="U570" i="3"/>
  <c r="S570" i="3"/>
  <c r="G570" i="3"/>
  <c r="F570" i="3"/>
  <c r="D570" i="3"/>
  <c r="C570" i="3"/>
  <c r="AF569" i="3"/>
  <c r="AE569" i="3"/>
  <c r="AD569" i="3"/>
  <c r="AC569" i="3"/>
  <c r="AB569" i="3"/>
  <c r="AA569" i="3"/>
  <c r="Z569" i="3"/>
  <c r="Y569" i="3"/>
  <c r="X569" i="3"/>
  <c r="W569" i="3"/>
  <c r="V569" i="3"/>
  <c r="U569" i="3"/>
  <c r="S569" i="3"/>
  <c r="G569" i="3"/>
  <c r="F569" i="3"/>
  <c r="D569" i="3"/>
  <c r="C569" i="3"/>
  <c r="AF568" i="3"/>
  <c r="AE568" i="3"/>
  <c r="AD568" i="3"/>
  <c r="AC568" i="3"/>
  <c r="AB568" i="3"/>
  <c r="AA568" i="3"/>
  <c r="Z568" i="3"/>
  <c r="Y568" i="3"/>
  <c r="X568" i="3"/>
  <c r="W568" i="3"/>
  <c r="V568" i="3"/>
  <c r="U568" i="3"/>
  <c r="S568" i="3"/>
  <c r="G568" i="3"/>
  <c r="F568" i="3"/>
  <c r="D568" i="3"/>
  <c r="C568" i="3"/>
  <c r="AF567" i="3"/>
  <c r="AE567" i="3"/>
  <c r="AD567" i="3"/>
  <c r="AC567" i="3"/>
  <c r="AB567" i="3"/>
  <c r="AA567" i="3"/>
  <c r="Z567" i="3"/>
  <c r="Y567" i="3"/>
  <c r="X567" i="3"/>
  <c r="W567" i="3"/>
  <c r="V567" i="3"/>
  <c r="U567" i="3"/>
  <c r="S567" i="3"/>
  <c r="G567" i="3"/>
  <c r="F567" i="3"/>
  <c r="D567" i="3"/>
  <c r="C567" i="3"/>
  <c r="AF566" i="3"/>
  <c r="AE566" i="3"/>
  <c r="AD566" i="3"/>
  <c r="AC566" i="3"/>
  <c r="AB566" i="3"/>
  <c r="AA566" i="3"/>
  <c r="Z566" i="3"/>
  <c r="Y566" i="3"/>
  <c r="X566" i="3"/>
  <c r="W566" i="3"/>
  <c r="V566" i="3"/>
  <c r="U566" i="3"/>
  <c r="S566" i="3"/>
  <c r="G566" i="3"/>
  <c r="F566" i="3"/>
  <c r="D566" i="3"/>
  <c r="C566" i="3"/>
  <c r="AF565" i="3"/>
  <c r="AE565" i="3"/>
  <c r="AD565" i="3"/>
  <c r="AC565" i="3"/>
  <c r="AB565" i="3"/>
  <c r="AA565" i="3"/>
  <c r="Z565" i="3"/>
  <c r="Y565" i="3"/>
  <c r="X565" i="3"/>
  <c r="W565" i="3"/>
  <c r="V565" i="3"/>
  <c r="U565" i="3"/>
  <c r="S565" i="3"/>
  <c r="G565" i="3"/>
  <c r="F565" i="3"/>
  <c r="D565" i="3"/>
  <c r="C565" i="3"/>
  <c r="AF564" i="3"/>
  <c r="AE564" i="3"/>
  <c r="AD564" i="3"/>
  <c r="AC564" i="3"/>
  <c r="AB564" i="3"/>
  <c r="AA564" i="3"/>
  <c r="Z564" i="3"/>
  <c r="Y564" i="3"/>
  <c r="X564" i="3"/>
  <c r="W564" i="3"/>
  <c r="V564" i="3"/>
  <c r="U564" i="3"/>
  <c r="S564" i="3"/>
  <c r="G564" i="3"/>
  <c r="F564" i="3"/>
  <c r="D564" i="3"/>
  <c r="C564" i="3"/>
  <c r="AF563" i="3"/>
  <c r="AE563" i="3"/>
  <c r="AD563" i="3"/>
  <c r="AC563" i="3"/>
  <c r="AB563" i="3"/>
  <c r="AA563" i="3"/>
  <c r="Z563" i="3"/>
  <c r="Y563" i="3"/>
  <c r="X563" i="3"/>
  <c r="W563" i="3"/>
  <c r="V563" i="3"/>
  <c r="U563" i="3"/>
  <c r="S563" i="3"/>
  <c r="G563" i="3"/>
  <c r="F563" i="3"/>
  <c r="D563" i="3"/>
  <c r="C563" i="3"/>
  <c r="AF562" i="3"/>
  <c r="AE562" i="3"/>
  <c r="AD562" i="3"/>
  <c r="AC562" i="3"/>
  <c r="AB562" i="3"/>
  <c r="AA562" i="3"/>
  <c r="Z562" i="3"/>
  <c r="Y562" i="3"/>
  <c r="X562" i="3"/>
  <c r="W562" i="3"/>
  <c r="V562" i="3"/>
  <c r="U562" i="3"/>
  <c r="S562" i="3"/>
  <c r="G562" i="3"/>
  <c r="F562" i="3"/>
  <c r="D562" i="3"/>
  <c r="C562" i="3"/>
  <c r="AF561" i="3"/>
  <c r="AE561" i="3"/>
  <c r="AD561" i="3"/>
  <c r="AC561" i="3"/>
  <c r="AB561" i="3"/>
  <c r="AA561" i="3"/>
  <c r="Z561" i="3"/>
  <c r="Y561" i="3"/>
  <c r="X561" i="3"/>
  <c r="W561" i="3"/>
  <c r="V561" i="3"/>
  <c r="U561" i="3"/>
  <c r="S561" i="3"/>
  <c r="G561" i="3"/>
  <c r="F561" i="3"/>
  <c r="D561" i="3"/>
  <c r="C561" i="3"/>
  <c r="AF560" i="3"/>
  <c r="AE560" i="3"/>
  <c r="AD560" i="3"/>
  <c r="AC560" i="3"/>
  <c r="AB560" i="3"/>
  <c r="AA560" i="3"/>
  <c r="Z560" i="3"/>
  <c r="Y560" i="3"/>
  <c r="X560" i="3"/>
  <c r="W560" i="3"/>
  <c r="V560" i="3"/>
  <c r="U560" i="3"/>
  <c r="S560" i="3"/>
  <c r="G560" i="3"/>
  <c r="F560" i="3"/>
  <c r="D560" i="3"/>
  <c r="C560" i="3"/>
  <c r="AF559" i="3"/>
  <c r="AE559" i="3"/>
  <c r="AD559" i="3"/>
  <c r="AC559" i="3"/>
  <c r="AB559" i="3"/>
  <c r="AA559" i="3"/>
  <c r="Z559" i="3"/>
  <c r="Y559" i="3"/>
  <c r="X559" i="3"/>
  <c r="W559" i="3"/>
  <c r="V559" i="3"/>
  <c r="U559" i="3"/>
  <c r="S559" i="3"/>
  <c r="G559" i="3"/>
  <c r="F559" i="3"/>
  <c r="D559" i="3"/>
  <c r="C559" i="3"/>
  <c r="AF558" i="3"/>
  <c r="AE558" i="3"/>
  <c r="AD558" i="3"/>
  <c r="AC558" i="3"/>
  <c r="AB558" i="3"/>
  <c r="AA558" i="3"/>
  <c r="Z558" i="3"/>
  <c r="Y558" i="3"/>
  <c r="X558" i="3"/>
  <c r="W558" i="3"/>
  <c r="V558" i="3"/>
  <c r="U558" i="3"/>
  <c r="S558" i="3"/>
  <c r="G558" i="3"/>
  <c r="F558" i="3"/>
  <c r="D558" i="3"/>
  <c r="C558" i="3"/>
  <c r="AF557" i="3"/>
  <c r="AE557" i="3"/>
  <c r="AD557" i="3"/>
  <c r="AC557" i="3"/>
  <c r="AB557" i="3"/>
  <c r="AA557" i="3"/>
  <c r="Z557" i="3"/>
  <c r="Y557" i="3"/>
  <c r="X557" i="3"/>
  <c r="W557" i="3"/>
  <c r="V557" i="3"/>
  <c r="U557" i="3"/>
  <c r="S557" i="3"/>
  <c r="G557" i="3"/>
  <c r="F557" i="3"/>
  <c r="D557" i="3"/>
  <c r="C557" i="3"/>
  <c r="AF556" i="3"/>
  <c r="AE556" i="3"/>
  <c r="AD556" i="3"/>
  <c r="AC556" i="3"/>
  <c r="AB556" i="3"/>
  <c r="AA556" i="3"/>
  <c r="Z556" i="3"/>
  <c r="Y556" i="3"/>
  <c r="X556" i="3"/>
  <c r="W556" i="3"/>
  <c r="V556" i="3"/>
  <c r="U556" i="3"/>
  <c r="S556" i="3"/>
  <c r="G556" i="3"/>
  <c r="F556" i="3"/>
  <c r="D556" i="3"/>
  <c r="C556" i="3"/>
  <c r="AF555" i="3"/>
  <c r="AE555" i="3"/>
  <c r="AD555" i="3"/>
  <c r="AC555" i="3"/>
  <c r="AB555" i="3"/>
  <c r="AA555" i="3"/>
  <c r="Z555" i="3"/>
  <c r="Y555" i="3"/>
  <c r="X555" i="3"/>
  <c r="W555" i="3"/>
  <c r="V555" i="3"/>
  <c r="U555" i="3"/>
  <c r="S555" i="3"/>
  <c r="G555" i="3"/>
  <c r="F555" i="3"/>
  <c r="D555" i="3"/>
  <c r="C555" i="3"/>
  <c r="AF554" i="3"/>
  <c r="AE554" i="3"/>
  <c r="AD554" i="3"/>
  <c r="AC554" i="3"/>
  <c r="AB554" i="3"/>
  <c r="AA554" i="3"/>
  <c r="Z554" i="3"/>
  <c r="Y554" i="3"/>
  <c r="X554" i="3"/>
  <c r="W554" i="3"/>
  <c r="V554" i="3"/>
  <c r="U554" i="3"/>
  <c r="S554" i="3"/>
  <c r="G554" i="3"/>
  <c r="F554" i="3"/>
  <c r="D554" i="3"/>
  <c r="C554" i="3"/>
  <c r="AF553" i="3"/>
  <c r="AE553" i="3"/>
  <c r="AD553" i="3"/>
  <c r="AC553" i="3"/>
  <c r="AB553" i="3"/>
  <c r="AA553" i="3"/>
  <c r="Z553" i="3"/>
  <c r="Y553" i="3"/>
  <c r="X553" i="3"/>
  <c r="W553" i="3"/>
  <c r="V553" i="3"/>
  <c r="U553" i="3"/>
  <c r="S553" i="3"/>
  <c r="G553" i="3"/>
  <c r="F553" i="3"/>
  <c r="D553" i="3"/>
  <c r="C553" i="3"/>
  <c r="AF552" i="3"/>
  <c r="AE552" i="3"/>
  <c r="AD552" i="3"/>
  <c r="AC552" i="3"/>
  <c r="AB552" i="3"/>
  <c r="AA552" i="3"/>
  <c r="Z552" i="3"/>
  <c r="Y552" i="3"/>
  <c r="X552" i="3"/>
  <c r="W552" i="3"/>
  <c r="V552" i="3"/>
  <c r="U552" i="3"/>
  <c r="S552" i="3"/>
  <c r="G552" i="3"/>
  <c r="F552" i="3"/>
  <c r="D552" i="3"/>
  <c r="C552" i="3"/>
  <c r="AF551" i="3"/>
  <c r="AE551" i="3"/>
  <c r="AD551" i="3"/>
  <c r="AC551" i="3"/>
  <c r="AB551" i="3"/>
  <c r="AA551" i="3"/>
  <c r="Z551" i="3"/>
  <c r="Y551" i="3"/>
  <c r="X551" i="3"/>
  <c r="W551" i="3"/>
  <c r="V551" i="3"/>
  <c r="U551" i="3"/>
  <c r="S551" i="3"/>
  <c r="G551" i="3"/>
  <c r="F551" i="3"/>
  <c r="D551" i="3"/>
  <c r="C551" i="3"/>
  <c r="AF550" i="3"/>
  <c r="AE550" i="3"/>
  <c r="AD550" i="3"/>
  <c r="AC550" i="3"/>
  <c r="AB550" i="3"/>
  <c r="AA550" i="3"/>
  <c r="Z550" i="3"/>
  <c r="Y550" i="3"/>
  <c r="X550" i="3"/>
  <c r="W550" i="3"/>
  <c r="V550" i="3"/>
  <c r="U550" i="3"/>
  <c r="S550" i="3"/>
  <c r="G550" i="3"/>
  <c r="F550" i="3"/>
  <c r="D550" i="3"/>
  <c r="C550" i="3"/>
  <c r="AF549" i="3"/>
  <c r="AE549" i="3"/>
  <c r="AD549" i="3"/>
  <c r="AC549" i="3"/>
  <c r="AB549" i="3"/>
  <c r="AA549" i="3"/>
  <c r="Z549" i="3"/>
  <c r="Y549" i="3"/>
  <c r="X549" i="3"/>
  <c r="W549" i="3"/>
  <c r="V549" i="3"/>
  <c r="U549" i="3"/>
  <c r="S549" i="3"/>
  <c r="G549" i="3"/>
  <c r="F549" i="3"/>
  <c r="D549" i="3"/>
  <c r="C549" i="3"/>
  <c r="AF548" i="3"/>
  <c r="AE548" i="3"/>
  <c r="AD548" i="3"/>
  <c r="AC548" i="3"/>
  <c r="AB548" i="3"/>
  <c r="AA548" i="3"/>
  <c r="Z548" i="3"/>
  <c r="Y548" i="3"/>
  <c r="X548" i="3"/>
  <c r="W548" i="3"/>
  <c r="V548" i="3"/>
  <c r="U548" i="3"/>
  <c r="S548" i="3"/>
  <c r="G548" i="3"/>
  <c r="F548" i="3"/>
  <c r="D548" i="3"/>
  <c r="C548" i="3"/>
  <c r="AF547" i="3"/>
  <c r="AE547" i="3"/>
  <c r="AD547" i="3"/>
  <c r="AC547" i="3"/>
  <c r="AB547" i="3"/>
  <c r="AA547" i="3"/>
  <c r="Z547" i="3"/>
  <c r="Y547" i="3"/>
  <c r="X547" i="3"/>
  <c r="W547" i="3"/>
  <c r="V547" i="3"/>
  <c r="U547" i="3"/>
  <c r="S547" i="3"/>
  <c r="G547" i="3"/>
  <c r="F547" i="3"/>
  <c r="D547" i="3"/>
  <c r="C547" i="3"/>
  <c r="AF546" i="3"/>
  <c r="AE546" i="3"/>
  <c r="AD546" i="3"/>
  <c r="AC546" i="3"/>
  <c r="AB546" i="3"/>
  <c r="AA546" i="3"/>
  <c r="Z546" i="3"/>
  <c r="Y546" i="3"/>
  <c r="X546" i="3"/>
  <c r="W546" i="3"/>
  <c r="V546" i="3"/>
  <c r="U546" i="3"/>
  <c r="S546" i="3"/>
  <c r="G546" i="3"/>
  <c r="F546" i="3"/>
  <c r="D546" i="3"/>
  <c r="C546" i="3"/>
  <c r="AF545" i="3"/>
  <c r="AE545" i="3"/>
  <c r="AD545" i="3"/>
  <c r="AC545" i="3"/>
  <c r="AB545" i="3"/>
  <c r="AA545" i="3"/>
  <c r="Z545" i="3"/>
  <c r="Y545" i="3"/>
  <c r="X545" i="3"/>
  <c r="W545" i="3"/>
  <c r="V545" i="3"/>
  <c r="U545" i="3"/>
  <c r="S545" i="3"/>
  <c r="G545" i="3"/>
  <c r="F545" i="3"/>
  <c r="D545" i="3"/>
  <c r="C545" i="3"/>
  <c r="AF544" i="3"/>
  <c r="AE544" i="3"/>
  <c r="AD544" i="3"/>
  <c r="AC544" i="3"/>
  <c r="AB544" i="3"/>
  <c r="AA544" i="3"/>
  <c r="Z544" i="3"/>
  <c r="Y544" i="3"/>
  <c r="X544" i="3"/>
  <c r="W544" i="3"/>
  <c r="V544" i="3"/>
  <c r="U544" i="3"/>
  <c r="S544" i="3"/>
  <c r="G544" i="3"/>
  <c r="F544" i="3"/>
  <c r="D544" i="3"/>
  <c r="C544" i="3"/>
  <c r="AF543" i="3"/>
  <c r="AE543" i="3"/>
  <c r="AD543" i="3"/>
  <c r="AC543" i="3"/>
  <c r="AB543" i="3"/>
  <c r="AA543" i="3"/>
  <c r="Z543" i="3"/>
  <c r="Y543" i="3"/>
  <c r="X543" i="3"/>
  <c r="W543" i="3"/>
  <c r="V543" i="3"/>
  <c r="U543" i="3"/>
  <c r="S543" i="3"/>
  <c r="G543" i="3"/>
  <c r="F543" i="3"/>
  <c r="D543" i="3"/>
  <c r="C543" i="3"/>
  <c r="AF542" i="3"/>
  <c r="AE542" i="3"/>
  <c r="AD542" i="3"/>
  <c r="AC542" i="3"/>
  <c r="AB542" i="3"/>
  <c r="AA542" i="3"/>
  <c r="Z542" i="3"/>
  <c r="Y542" i="3"/>
  <c r="X542" i="3"/>
  <c r="W542" i="3"/>
  <c r="V542" i="3"/>
  <c r="U542" i="3"/>
  <c r="S542" i="3"/>
  <c r="G542" i="3"/>
  <c r="F542" i="3"/>
  <c r="D542" i="3"/>
  <c r="C542" i="3"/>
  <c r="AF541" i="3"/>
  <c r="AE541" i="3"/>
  <c r="AD541" i="3"/>
  <c r="AC541" i="3"/>
  <c r="AB541" i="3"/>
  <c r="AA541" i="3"/>
  <c r="Z541" i="3"/>
  <c r="Y541" i="3"/>
  <c r="X541" i="3"/>
  <c r="W541" i="3"/>
  <c r="V541" i="3"/>
  <c r="U541" i="3"/>
  <c r="S541" i="3"/>
  <c r="G541" i="3"/>
  <c r="F541" i="3"/>
  <c r="D541" i="3"/>
  <c r="C541" i="3"/>
  <c r="AF540" i="3"/>
  <c r="AE540" i="3"/>
  <c r="AD540" i="3"/>
  <c r="AC540" i="3"/>
  <c r="AB540" i="3"/>
  <c r="AA540" i="3"/>
  <c r="Z540" i="3"/>
  <c r="Y540" i="3"/>
  <c r="X540" i="3"/>
  <c r="W540" i="3"/>
  <c r="V540" i="3"/>
  <c r="U540" i="3"/>
  <c r="S540" i="3"/>
  <c r="G540" i="3"/>
  <c r="F540" i="3"/>
  <c r="D540" i="3"/>
  <c r="C540" i="3"/>
  <c r="AF539" i="3"/>
  <c r="AE539" i="3"/>
  <c r="AD539" i="3"/>
  <c r="AC539" i="3"/>
  <c r="AB539" i="3"/>
  <c r="AA539" i="3"/>
  <c r="Z539" i="3"/>
  <c r="Y539" i="3"/>
  <c r="X539" i="3"/>
  <c r="W539" i="3"/>
  <c r="V539" i="3"/>
  <c r="U539" i="3"/>
  <c r="S539" i="3"/>
  <c r="G539" i="3"/>
  <c r="F539" i="3"/>
  <c r="D539" i="3"/>
  <c r="C539" i="3"/>
  <c r="AF538" i="3"/>
  <c r="AE538" i="3"/>
  <c r="AD538" i="3"/>
  <c r="AC538" i="3"/>
  <c r="AB538" i="3"/>
  <c r="AA538" i="3"/>
  <c r="Z538" i="3"/>
  <c r="Y538" i="3"/>
  <c r="X538" i="3"/>
  <c r="W538" i="3"/>
  <c r="V538" i="3"/>
  <c r="U538" i="3"/>
  <c r="S538" i="3"/>
  <c r="G538" i="3"/>
  <c r="F538" i="3"/>
  <c r="D538" i="3"/>
  <c r="C538" i="3"/>
  <c r="AF537" i="3"/>
  <c r="AE537" i="3"/>
  <c r="AD537" i="3"/>
  <c r="AC537" i="3"/>
  <c r="AB537" i="3"/>
  <c r="AA537" i="3"/>
  <c r="Z537" i="3"/>
  <c r="Y537" i="3"/>
  <c r="X537" i="3"/>
  <c r="W537" i="3"/>
  <c r="V537" i="3"/>
  <c r="U537" i="3"/>
  <c r="S537" i="3"/>
  <c r="G537" i="3"/>
  <c r="F537" i="3"/>
  <c r="D537" i="3"/>
  <c r="C537" i="3"/>
  <c r="AF536" i="3"/>
  <c r="AE536" i="3"/>
  <c r="AD536" i="3"/>
  <c r="AC536" i="3"/>
  <c r="AB536" i="3"/>
  <c r="AA536" i="3"/>
  <c r="Z536" i="3"/>
  <c r="Y536" i="3"/>
  <c r="X536" i="3"/>
  <c r="W536" i="3"/>
  <c r="V536" i="3"/>
  <c r="U536" i="3"/>
  <c r="S536" i="3"/>
  <c r="G536" i="3"/>
  <c r="F536" i="3"/>
  <c r="D536" i="3"/>
  <c r="C536" i="3"/>
  <c r="AF535" i="3"/>
  <c r="AE535" i="3"/>
  <c r="AD535" i="3"/>
  <c r="AC535" i="3"/>
  <c r="AB535" i="3"/>
  <c r="AA535" i="3"/>
  <c r="Z535" i="3"/>
  <c r="Y535" i="3"/>
  <c r="X535" i="3"/>
  <c r="W535" i="3"/>
  <c r="V535" i="3"/>
  <c r="U535" i="3"/>
  <c r="S535" i="3"/>
  <c r="G535" i="3"/>
  <c r="F535" i="3"/>
  <c r="D535" i="3"/>
  <c r="C535" i="3"/>
  <c r="AF534" i="3"/>
  <c r="AE534" i="3"/>
  <c r="AD534" i="3"/>
  <c r="AC534" i="3"/>
  <c r="AB534" i="3"/>
  <c r="AA534" i="3"/>
  <c r="Z534" i="3"/>
  <c r="Y534" i="3"/>
  <c r="X534" i="3"/>
  <c r="W534" i="3"/>
  <c r="V534" i="3"/>
  <c r="U534" i="3"/>
  <c r="S534" i="3"/>
  <c r="G534" i="3"/>
  <c r="F534" i="3"/>
  <c r="D534" i="3"/>
  <c r="C534" i="3"/>
  <c r="AF533" i="3"/>
  <c r="AE533" i="3"/>
  <c r="AD533" i="3"/>
  <c r="AC533" i="3"/>
  <c r="AB533" i="3"/>
  <c r="AA533" i="3"/>
  <c r="Z533" i="3"/>
  <c r="Y533" i="3"/>
  <c r="X533" i="3"/>
  <c r="W533" i="3"/>
  <c r="V533" i="3"/>
  <c r="U533" i="3"/>
  <c r="S533" i="3"/>
  <c r="G533" i="3"/>
  <c r="F533" i="3"/>
  <c r="D533" i="3"/>
  <c r="C533" i="3"/>
  <c r="AF532" i="3"/>
  <c r="AE532" i="3"/>
  <c r="AD532" i="3"/>
  <c r="AC532" i="3"/>
  <c r="AB532" i="3"/>
  <c r="AA532" i="3"/>
  <c r="Z532" i="3"/>
  <c r="Y532" i="3"/>
  <c r="X532" i="3"/>
  <c r="W532" i="3"/>
  <c r="V532" i="3"/>
  <c r="U532" i="3"/>
  <c r="S532" i="3"/>
  <c r="G532" i="3"/>
  <c r="F532" i="3"/>
  <c r="D532" i="3"/>
  <c r="C532" i="3"/>
  <c r="AF531" i="3"/>
  <c r="AE531" i="3"/>
  <c r="AD531" i="3"/>
  <c r="AC531" i="3"/>
  <c r="AB531" i="3"/>
  <c r="AA531" i="3"/>
  <c r="Z531" i="3"/>
  <c r="Y531" i="3"/>
  <c r="X531" i="3"/>
  <c r="W531" i="3"/>
  <c r="V531" i="3"/>
  <c r="U531" i="3"/>
  <c r="S531" i="3"/>
  <c r="G531" i="3"/>
  <c r="F531" i="3"/>
  <c r="D531" i="3"/>
  <c r="C531" i="3"/>
  <c r="AF530" i="3"/>
  <c r="AE530" i="3"/>
  <c r="AD530" i="3"/>
  <c r="AC530" i="3"/>
  <c r="AB530" i="3"/>
  <c r="AA530" i="3"/>
  <c r="Z530" i="3"/>
  <c r="Y530" i="3"/>
  <c r="X530" i="3"/>
  <c r="W530" i="3"/>
  <c r="V530" i="3"/>
  <c r="U530" i="3"/>
  <c r="S530" i="3"/>
  <c r="G530" i="3"/>
  <c r="F530" i="3"/>
  <c r="D530" i="3"/>
  <c r="C530" i="3"/>
  <c r="AF529" i="3"/>
  <c r="AE529" i="3"/>
  <c r="AD529" i="3"/>
  <c r="AC529" i="3"/>
  <c r="AB529" i="3"/>
  <c r="AA529" i="3"/>
  <c r="Z529" i="3"/>
  <c r="Y529" i="3"/>
  <c r="X529" i="3"/>
  <c r="W529" i="3"/>
  <c r="V529" i="3"/>
  <c r="U529" i="3"/>
  <c r="S529" i="3"/>
  <c r="G529" i="3"/>
  <c r="F529" i="3"/>
  <c r="D529" i="3"/>
  <c r="C529" i="3"/>
  <c r="AF528" i="3"/>
  <c r="AE528" i="3"/>
  <c r="AD528" i="3"/>
  <c r="AC528" i="3"/>
  <c r="AB528" i="3"/>
  <c r="AA528" i="3"/>
  <c r="Z528" i="3"/>
  <c r="Y528" i="3"/>
  <c r="X528" i="3"/>
  <c r="W528" i="3"/>
  <c r="V528" i="3"/>
  <c r="U528" i="3"/>
  <c r="S528" i="3"/>
  <c r="G528" i="3"/>
  <c r="F528" i="3"/>
  <c r="D528" i="3"/>
  <c r="C528" i="3"/>
  <c r="AF527" i="3"/>
  <c r="AE527" i="3"/>
  <c r="AD527" i="3"/>
  <c r="AC527" i="3"/>
  <c r="AB527" i="3"/>
  <c r="AA527" i="3"/>
  <c r="Z527" i="3"/>
  <c r="Y527" i="3"/>
  <c r="X527" i="3"/>
  <c r="W527" i="3"/>
  <c r="V527" i="3"/>
  <c r="U527" i="3"/>
  <c r="S527" i="3"/>
  <c r="G527" i="3"/>
  <c r="F527" i="3"/>
  <c r="D527" i="3"/>
  <c r="C527" i="3"/>
  <c r="AF526" i="3"/>
  <c r="AE526" i="3"/>
  <c r="AD526" i="3"/>
  <c r="AC526" i="3"/>
  <c r="AB526" i="3"/>
  <c r="AA526" i="3"/>
  <c r="Z526" i="3"/>
  <c r="Y526" i="3"/>
  <c r="X526" i="3"/>
  <c r="W526" i="3"/>
  <c r="V526" i="3"/>
  <c r="U526" i="3"/>
  <c r="S526" i="3"/>
  <c r="G526" i="3"/>
  <c r="F526" i="3"/>
  <c r="D526" i="3"/>
  <c r="C526" i="3"/>
  <c r="AF525" i="3"/>
  <c r="AE525" i="3"/>
  <c r="AD525" i="3"/>
  <c r="AC525" i="3"/>
  <c r="AB525" i="3"/>
  <c r="AA525" i="3"/>
  <c r="Z525" i="3"/>
  <c r="Y525" i="3"/>
  <c r="X525" i="3"/>
  <c r="W525" i="3"/>
  <c r="V525" i="3"/>
  <c r="U525" i="3"/>
  <c r="S525" i="3"/>
  <c r="G525" i="3"/>
  <c r="F525" i="3"/>
  <c r="D525" i="3"/>
  <c r="C525" i="3"/>
  <c r="AF524" i="3"/>
  <c r="AE524" i="3"/>
  <c r="AD524" i="3"/>
  <c r="AC524" i="3"/>
  <c r="AB524" i="3"/>
  <c r="AA524" i="3"/>
  <c r="Z524" i="3"/>
  <c r="Y524" i="3"/>
  <c r="X524" i="3"/>
  <c r="W524" i="3"/>
  <c r="V524" i="3"/>
  <c r="U524" i="3"/>
  <c r="S524" i="3"/>
  <c r="G524" i="3"/>
  <c r="F524" i="3"/>
  <c r="D524" i="3"/>
  <c r="C524" i="3"/>
  <c r="AF523" i="3"/>
  <c r="AE523" i="3"/>
  <c r="AD523" i="3"/>
  <c r="AC523" i="3"/>
  <c r="AB523" i="3"/>
  <c r="AA523" i="3"/>
  <c r="Z523" i="3"/>
  <c r="Y523" i="3"/>
  <c r="X523" i="3"/>
  <c r="W523" i="3"/>
  <c r="V523" i="3"/>
  <c r="U523" i="3"/>
  <c r="S523" i="3"/>
  <c r="G523" i="3"/>
  <c r="F523" i="3"/>
  <c r="D523" i="3"/>
  <c r="C523" i="3"/>
  <c r="AF522" i="3"/>
  <c r="AE522" i="3"/>
  <c r="AD522" i="3"/>
  <c r="AC522" i="3"/>
  <c r="AB522" i="3"/>
  <c r="AA522" i="3"/>
  <c r="Z522" i="3"/>
  <c r="Y522" i="3"/>
  <c r="X522" i="3"/>
  <c r="W522" i="3"/>
  <c r="V522" i="3"/>
  <c r="U522" i="3"/>
  <c r="S522" i="3"/>
  <c r="G522" i="3"/>
  <c r="F522" i="3"/>
  <c r="D522" i="3"/>
  <c r="C522" i="3"/>
  <c r="AF521" i="3"/>
  <c r="AE521" i="3"/>
  <c r="AD521" i="3"/>
  <c r="AC521" i="3"/>
  <c r="AB521" i="3"/>
  <c r="AA521" i="3"/>
  <c r="Z521" i="3"/>
  <c r="Y521" i="3"/>
  <c r="X521" i="3"/>
  <c r="W521" i="3"/>
  <c r="V521" i="3"/>
  <c r="U521" i="3"/>
  <c r="S521" i="3"/>
  <c r="G521" i="3"/>
  <c r="F521" i="3"/>
  <c r="D521" i="3"/>
  <c r="C521" i="3"/>
  <c r="AF520" i="3"/>
  <c r="AE520" i="3"/>
  <c r="AD520" i="3"/>
  <c r="AC520" i="3"/>
  <c r="AB520" i="3"/>
  <c r="AA520" i="3"/>
  <c r="Z520" i="3"/>
  <c r="Y520" i="3"/>
  <c r="X520" i="3"/>
  <c r="W520" i="3"/>
  <c r="V520" i="3"/>
  <c r="U520" i="3"/>
  <c r="S520" i="3"/>
  <c r="G520" i="3"/>
  <c r="F520" i="3"/>
  <c r="D520" i="3"/>
  <c r="C520" i="3"/>
  <c r="AF519" i="3"/>
  <c r="AE519" i="3"/>
  <c r="AD519" i="3"/>
  <c r="AC519" i="3"/>
  <c r="AB519" i="3"/>
  <c r="AA519" i="3"/>
  <c r="Z519" i="3"/>
  <c r="Y519" i="3"/>
  <c r="X519" i="3"/>
  <c r="W519" i="3"/>
  <c r="V519" i="3"/>
  <c r="U519" i="3"/>
  <c r="S519" i="3"/>
  <c r="G519" i="3"/>
  <c r="F519" i="3"/>
  <c r="D519" i="3"/>
  <c r="C519" i="3"/>
  <c r="AF518" i="3"/>
  <c r="AE518" i="3"/>
  <c r="AD518" i="3"/>
  <c r="AC518" i="3"/>
  <c r="AB518" i="3"/>
  <c r="AA518" i="3"/>
  <c r="Z518" i="3"/>
  <c r="Y518" i="3"/>
  <c r="X518" i="3"/>
  <c r="W518" i="3"/>
  <c r="V518" i="3"/>
  <c r="U518" i="3"/>
  <c r="S518" i="3"/>
  <c r="G518" i="3"/>
  <c r="F518" i="3"/>
  <c r="D518" i="3"/>
  <c r="C518" i="3"/>
  <c r="AF517" i="3"/>
  <c r="AE517" i="3"/>
  <c r="AD517" i="3"/>
  <c r="AC517" i="3"/>
  <c r="AB517" i="3"/>
  <c r="AA517" i="3"/>
  <c r="Z517" i="3"/>
  <c r="Y517" i="3"/>
  <c r="X517" i="3"/>
  <c r="W517" i="3"/>
  <c r="V517" i="3"/>
  <c r="U517" i="3"/>
  <c r="S517" i="3"/>
  <c r="G517" i="3"/>
  <c r="F517" i="3"/>
  <c r="D517" i="3"/>
  <c r="C517" i="3"/>
  <c r="AF516" i="3"/>
  <c r="AE516" i="3"/>
  <c r="AD516" i="3"/>
  <c r="AC516" i="3"/>
  <c r="AB516" i="3"/>
  <c r="AA516" i="3"/>
  <c r="Z516" i="3"/>
  <c r="Y516" i="3"/>
  <c r="X516" i="3"/>
  <c r="W516" i="3"/>
  <c r="V516" i="3"/>
  <c r="U516" i="3"/>
  <c r="S516" i="3"/>
  <c r="G516" i="3"/>
  <c r="F516" i="3"/>
  <c r="D516" i="3"/>
  <c r="C516" i="3"/>
  <c r="AF515" i="3"/>
  <c r="AE515" i="3"/>
  <c r="AD515" i="3"/>
  <c r="AC515" i="3"/>
  <c r="AB515" i="3"/>
  <c r="AA515" i="3"/>
  <c r="Z515" i="3"/>
  <c r="Y515" i="3"/>
  <c r="X515" i="3"/>
  <c r="W515" i="3"/>
  <c r="V515" i="3"/>
  <c r="U515" i="3"/>
  <c r="S515" i="3"/>
  <c r="G515" i="3"/>
  <c r="F515" i="3"/>
  <c r="D515" i="3"/>
  <c r="C515" i="3"/>
  <c r="AF514" i="3"/>
  <c r="AE514" i="3"/>
  <c r="AD514" i="3"/>
  <c r="AC514" i="3"/>
  <c r="AB514" i="3"/>
  <c r="AA514" i="3"/>
  <c r="Z514" i="3"/>
  <c r="Y514" i="3"/>
  <c r="X514" i="3"/>
  <c r="W514" i="3"/>
  <c r="V514" i="3"/>
  <c r="U514" i="3"/>
  <c r="S514" i="3"/>
  <c r="G514" i="3"/>
  <c r="F514" i="3"/>
  <c r="D514" i="3"/>
  <c r="C514" i="3"/>
  <c r="AF513" i="3"/>
  <c r="AE513" i="3"/>
  <c r="AD513" i="3"/>
  <c r="AC513" i="3"/>
  <c r="AB513" i="3"/>
  <c r="AA513" i="3"/>
  <c r="Z513" i="3"/>
  <c r="Y513" i="3"/>
  <c r="X513" i="3"/>
  <c r="W513" i="3"/>
  <c r="V513" i="3"/>
  <c r="U513" i="3"/>
  <c r="S513" i="3"/>
  <c r="G513" i="3"/>
  <c r="F513" i="3"/>
  <c r="D513" i="3"/>
  <c r="C513" i="3"/>
  <c r="AF512" i="3"/>
  <c r="AE512" i="3"/>
  <c r="AD512" i="3"/>
  <c r="AC512" i="3"/>
  <c r="AB512" i="3"/>
  <c r="AA512" i="3"/>
  <c r="Z512" i="3"/>
  <c r="Y512" i="3"/>
  <c r="X512" i="3"/>
  <c r="W512" i="3"/>
  <c r="V512" i="3"/>
  <c r="U512" i="3"/>
  <c r="S512" i="3"/>
  <c r="G512" i="3"/>
  <c r="F512" i="3"/>
  <c r="D512" i="3"/>
  <c r="C512" i="3"/>
  <c r="AF511" i="3"/>
  <c r="AE511" i="3"/>
  <c r="AD511" i="3"/>
  <c r="AC511" i="3"/>
  <c r="AB511" i="3"/>
  <c r="AA511" i="3"/>
  <c r="Z511" i="3"/>
  <c r="Y511" i="3"/>
  <c r="X511" i="3"/>
  <c r="W511" i="3"/>
  <c r="V511" i="3"/>
  <c r="U511" i="3"/>
  <c r="S511" i="3"/>
  <c r="G511" i="3"/>
  <c r="F511" i="3"/>
  <c r="D511" i="3"/>
  <c r="C511" i="3"/>
  <c r="AF510" i="3"/>
  <c r="AE510" i="3"/>
  <c r="AD510" i="3"/>
  <c r="AC510" i="3"/>
  <c r="AB510" i="3"/>
  <c r="AA510" i="3"/>
  <c r="Z510" i="3"/>
  <c r="Y510" i="3"/>
  <c r="X510" i="3"/>
  <c r="W510" i="3"/>
  <c r="V510" i="3"/>
  <c r="U510" i="3"/>
  <c r="S510" i="3"/>
  <c r="G510" i="3"/>
  <c r="F510" i="3"/>
  <c r="D510" i="3"/>
  <c r="C510" i="3"/>
  <c r="AF509" i="3"/>
  <c r="AE509" i="3"/>
  <c r="AD509" i="3"/>
  <c r="AC509" i="3"/>
  <c r="AB509" i="3"/>
  <c r="AA509" i="3"/>
  <c r="Z509" i="3"/>
  <c r="Y509" i="3"/>
  <c r="X509" i="3"/>
  <c r="W509" i="3"/>
  <c r="V509" i="3"/>
  <c r="U509" i="3"/>
  <c r="S509" i="3"/>
  <c r="G509" i="3"/>
  <c r="F509" i="3"/>
  <c r="D509" i="3"/>
  <c r="C509" i="3"/>
  <c r="AF508" i="3"/>
  <c r="AE508" i="3"/>
  <c r="AD508" i="3"/>
  <c r="AC508" i="3"/>
  <c r="AB508" i="3"/>
  <c r="AA508" i="3"/>
  <c r="Z508" i="3"/>
  <c r="Y508" i="3"/>
  <c r="X508" i="3"/>
  <c r="W508" i="3"/>
  <c r="V508" i="3"/>
  <c r="U508" i="3"/>
  <c r="S508" i="3"/>
  <c r="G508" i="3"/>
  <c r="F508" i="3"/>
  <c r="D508" i="3"/>
  <c r="C508" i="3"/>
  <c r="AF507" i="3"/>
  <c r="AE507" i="3"/>
  <c r="AD507" i="3"/>
  <c r="AC507" i="3"/>
  <c r="AB507" i="3"/>
  <c r="AA507" i="3"/>
  <c r="Z507" i="3"/>
  <c r="Y507" i="3"/>
  <c r="X507" i="3"/>
  <c r="W507" i="3"/>
  <c r="V507" i="3"/>
  <c r="U507" i="3"/>
  <c r="S507" i="3"/>
  <c r="G507" i="3"/>
  <c r="F507" i="3"/>
  <c r="D507" i="3"/>
  <c r="C507" i="3"/>
  <c r="AF506" i="3"/>
  <c r="AE506" i="3"/>
  <c r="AD506" i="3"/>
  <c r="AC506" i="3"/>
  <c r="AB506" i="3"/>
  <c r="AA506" i="3"/>
  <c r="Z506" i="3"/>
  <c r="Y506" i="3"/>
  <c r="X506" i="3"/>
  <c r="W506" i="3"/>
  <c r="V506" i="3"/>
  <c r="U506" i="3"/>
  <c r="S506" i="3"/>
  <c r="G506" i="3"/>
  <c r="F506" i="3"/>
  <c r="D506" i="3"/>
  <c r="C506" i="3"/>
  <c r="AF505" i="3"/>
  <c r="AE505" i="3"/>
  <c r="AD505" i="3"/>
  <c r="AC505" i="3"/>
  <c r="AB505" i="3"/>
  <c r="AA505" i="3"/>
  <c r="Z505" i="3"/>
  <c r="Y505" i="3"/>
  <c r="X505" i="3"/>
  <c r="W505" i="3"/>
  <c r="V505" i="3"/>
  <c r="U505" i="3"/>
  <c r="S505" i="3"/>
  <c r="G505" i="3"/>
  <c r="F505" i="3"/>
  <c r="D505" i="3"/>
  <c r="C505" i="3"/>
  <c r="AF504" i="3"/>
  <c r="AE504" i="3"/>
  <c r="AD504" i="3"/>
  <c r="AC504" i="3"/>
  <c r="AB504" i="3"/>
  <c r="AA504" i="3"/>
  <c r="Z504" i="3"/>
  <c r="Y504" i="3"/>
  <c r="X504" i="3"/>
  <c r="W504" i="3"/>
  <c r="V504" i="3"/>
  <c r="U504" i="3"/>
  <c r="S504" i="3"/>
  <c r="G504" i="3"/>
  <c r="F504" i="3"/>
  <c r="D504" i="3"/>
  <c r="C504" i="3"/>
  <c r="AF503" i="3"/>
  <c r="AE503" i="3"/>
  <c r="AD503" i="3"/>
  <c r="AC503" i="3"/>
  <c r="AB503" i="3"/>
  <c r="AA503" i="3"/>
  <c r="Z503" i="3"/>
  <c r="Y503" i="3"/>
  <c r="X503" i="3"/>
  <c r="W503" i="3"/>
  <c r="V503" i="3"/>
  <c r="U503" i="3"/>
  <c r="S503" i="3"/>
  <c r="G503" i="3"/>
  <c r="F503" i="3"/>
  <c r="D503" i="3"/>
  <c r="C503" i="3"/>
  <c r="AF502" i="3"/>
  <c r="AE502" i="3"/>
  <c r="AD502" i="3"/>
  <c r="AC502" i="3"/>
  <c r="AB502" i="3"/>
  <c r="AA502" i="3"/>
  <c r="Z502" i="3"/>
  <c r="Y502" i="3"/>
  <c r="X502" i="3"/>
  <c r="W502" i="3"/>
  <c r="V502" i="3"/>
  <c r="U502" i="3"/>
  <c r="S502" i="3"/>
  <c r="G502" i="3"/>
  <c r="F502" i="3"/>
  <c r="D502" i="3"/>
  <c r="C502" i="3"/>
  <c r="AF501" i="3"/>
  <c r="AE501" i="3"/>
  <c r="AD501" i="3"/>
  <c r="AC501" i="3"/>
  <c r="AB501" i="3"/>
  <c r="AA501" i="3"/>
  <c r="Z501" i="3"/>
  <c r="Y501" i="3"/>
  <c r="X501" i="3"/>
  <c r="W501" i="3"/>
  <c r="V501" i="3"/>
  <c r="U501" i="3"/>
  <c r="S501" i="3"/>
  <c r="G501" i="3"/>
  <c r="F501" i="3"/>
  <c r="D501" i="3"/>
  <c r="C501" i="3"/>
  <c r="AF500" i="3"/>
  <c r="AE500" i="3"/>
  <c r="AD500" i="3"/>
  <c r="AC500" i="3"/>
  <c r="AB500" i="3"/>
  <c r="AA500" i="3"/>
  <c r="Z500" i="3"/>
  <c r="Y500" i="3"/>
  <c r="X500" i="3"/>
  <c r="W500" i="3"/>
  <c r="V500" i="3"/>
  <c r="U500" i="3"/>
  <c r="S500" i="3"/>
  <c r="G500" i="3"/>
  <c r="F500" i="3"/>
  <c r="D500" i="3"/>
  <c r="C500" i="3"/>
  <c r="AF499" i="3"/>
  <c r="AE499" i="3"/>
  <c r="AD499" i="3"/>
  <c r="AC499" i="3"/>
  <c r="AB499" i="3"/>
  <c r="AA499" i="3"/>
  <c r="Z499" i="3"/>
  <c r="Y499" i="3"/>
  <c r="X499" i="3"/>
  <c r="W499" i="3"/>
  <c r="V499" i="3"/>
  <c r="U499" i="3"/>
  <c r="S499" i="3"/>
  <c r="G499" i="3"/>
  <c r="F499" i="3"/>
  <c r="D499" i="3"/>
  <c r="C499" i="3"/>
  <c r="AF498" i="3"/>
  <c r="AE498" i="3"/>
  <c r="AD498" i="3"/>
  <c r="AC498" i="3"/>
  <c r="AB498" i="3"/>
  <c r="AA498" i="3"/>
  <c r="Z498" i="3"/>
  <c r="Y498" i="3"/>
  <c r="X498" i="3"/>
  <c r="W498" i="3"/>
  <c r="V498" i="3"/>
  <c r="U498" i="3"/>
  <c r="S498" i="3"/>
  <c r="G498" i="3"/>
  <c r="F498" i="3"/>
  <c r="D498" i="3"/>
  <c r="C498" i="3"/>
  <c r="AF497" i="3"/>
  <c r="AE497" i="3"/>
  <c r="AD497" i="3"/>
  <c r="AC497" i="3"/>
  <c r="AB497" i="3"/>
  <c r="AA497" i="3"/>
  <c r="Z497" i="3"/>
  <c r="Y497" i="3"/>
  <c r="X497" i="3"/>
  <c r="W497" i="3"/>
  <c r="V497" i="3"/>
  <c r="U497" i="3"/>
  <c r="S497" i="3"/>
  <c r="G497" i="3"/>
  <c r="F497" i="3"/>
  <c r="D497" i="3"/>
  <c r="C497" i="3"/>
  <c r="AF496" i="3"/>
  <c r="AE496" i="3"/>
  <c r="AD496" i="3"/>
  <c r="AC496" i="3"/>
  <c r="AB496" i="3"/>
  <c r="AA496" i="3"/>
  <c r="Z496" i="3"/>
  <c r="Y496" i="3"/>
  <c r="X496" i="3"/>
  <c r="W496" i="3"/>
  <c r="V496" i="3"/>
  <c r="U496" i="3"/>
  <c r="S496" i="3"/>
  <c r="G496" i="3"/>
  <c r="F496" i="3"/>
  <c r="D496" i="3"/>
  <c r="C496" i="3"/>
  <c r="AF495" i="3"/>
  <c r="AE495" i="3"/>
  <c r="AD495" i="3"/>
  <c r="AC495" i="3"/>
  <c r="AB495" i="3"/>
  <c r="AA495" i="3"/>
  <c r="Z495" i="3"/>
  <c r="Y495" i="3"/>
  <c r="X495" i="3"/>
  <c r="W495" i="3"/>
  <c r="V495" i="3"/>
  <c r="U495" i="3"/>
  <c r="S495" i="3"/>
  <c r="G495" i="3"/>
  <c r="F495" i="3"/>
  <c r="D495" i="3"/>
  <c r="C495" i="3"/>
  <c r="AF494" i="3"/>
  <c r="AE494" i="3"/>
  <c r="AD494" i="3"/>
  <c r="AC494" i="3"/>
  <c r="AB494" i="3"/>
  <c r="AA494" i="3"/>
  <c r="Z494" i="3"/>
  <c r="Y494" i="3"/>
  <c r="X494" i="3"/>
  <c r="W494" i="3"/>
  <c r="V494" i="3"/>
  <c r="U494" i="3"/>
  <c r="S494" i="3"/>
  <c r="G494" i="3"/>
  <c r="F494" i="3"/>
  <c r="D494" i="3"/>
  <c r="C494" i="3"/>
  <c r="AF493" i="3"/>
  <c r="AE493" i="3"/>
  <c r="AD493" i="3"/>
  <c r="AC493" i="3"/>
  <c r="AB493" i="3"/>
  <c r="AA493" i="3"/>
  <c r="Z493" i="3"/>
  <c r="Y493" i="3"/>
  <c r="X493" i="3"/>
  <c r="W493" i="3"/>
  <c r="V493" i="3"/>
  <c r="U493" i="3"/>
  <c r="S493" i="3"/>
  <c r="G493" i="3"/>
  <c r="F493" i="3"/>
  <c r="D493" i="3"/>
  <c r="C493" i="3"/>
  <c r="AF492" i="3"/>
  <c r="AE492" i="3"/>
  <c r="AD492" i="3"/>
  <c r="AC492" i="3"/>
  <c r="AB492" i="3"/>
  <c r="AA492" i="3"/>
  <c r="Z492" i="3"/>
  <c r="Y492" i="3"/>
  <c r="X492" i="3"/>
  <c r="W492" i="3"/>
  <c r="V492" i="3"/>
  <c r="U492" i="3"/>
  <c r="S492" i="3"/>
  <c r="G492" i="3"/>
  <c r="F492" i="3"/>
  <c r="D492" i="3"/>
  <c r="C492" i="3"/>
  <c r="AF491" i="3"/>
  <c r="AE491" i="3"/>
  <c r="AD491" i="3"/>
  <c r="AC491" i="3"/>
  <c r="AB491" i="3"/>
  <c r="AA491" i="3"/>
  <c r="Z491" i="3"/>
  <c r="Y491" i="3"/>
  <c r="X491" i="3"/>
  <c r="W491" i="3"/>
  <c r="V491" i="3"/>
  <c r="U491" i="3"/>
  <c r="S491" i="3"/>
  <c r="G491" i="3"/>
  <c r="F491" i="3"/>
  <c r="D491" i="3"/>
  <c r="C491" i="3"/>
  <c r="AF490" i="3"/>
  <c r="AE490" i="3"/>
  <c r="AD490" i="3"/>
  <c r="AC490" i="3"/>
  <c r="AB490" i="3"/>
  <c r="AA490" i="3"/>
  <c r="Z490" i="3"/>
  <c r="Y490" i="3"/>
  <c r="X490" i="3"/>
  <c r="W490" i="3"/>
  <c r="V490" i="3"/>
  <c r="U490" i="3"/>
  <c r="S490" i="3"/>
  <c r="G490" i="3"/>
  <c r="F490" i="3"/>
  <c r="D490" i="3"/>
  <c r="C490" i="3"/>
  <c r="AF489" i="3"/>
  <c r="AE489" i="3"/>
  <c r="AD489" i="3"/>
  <c r="AC489" i="3"/>
  <c r="AB489" i="3"/>
  <c r="AA489" i="3"/>
  <c r="Z489" i="3"/>
  <c r="Y489" i="3"/>
  <c r="X489" i="3"/>
  <c r="W489" i="3"/>
  <c r="V489" i="3"/>
  <c r="U489" i="3"/>
  <c r="S489" i="3"/>
  <c r="G489" i="3"/>
  <c r="F489" i="3"/>
  <c r="D489" i="3"/>
  <c r="C489" i="3"/>
  <c r="AF488" i="3"/>
  <c r="AE488" i="3"/>
  <c r="AD488" i="3"/>
  <c r="AC488" i="3"/>
  <c r="AB488" i="3"/>
  <c r="AA488" i="3"/>
  <c r="Z488" i="3"/>
  <c r="Y488" i="3"/>
  <c r="X488" i="3"/>
  <c r="W488" i="3"/>
  <c r="V488" i="3"/>
  <c r="U488" i="3"/>
  <c r="S488" i="3"/>
  <c r="G488" i="3"/>
  <c r="F488" i="3"/>
  <c r="D488" i="3"/>
  <c r="C488" i="3"/>
  <c r="AF487" i="3"/>
  <c r="AE487" i="3"/>
  <c r="AD487" i="3"/>
  <c r="AC487" i="3"/>
  <c r="AB487" i="3"/>
  <c r="AA487" i="3"/>
  <c r="Z487" i="3"/>
  <c r="Y487" i="3"/>
  <c r="X487" i="3"/>
  <c r="W487" i="3"/>
  <c r="V487" i="3"/>
  <c r="U487" i="3"/>
  <c r="S487" i="3"/>
  <c r="G487" i="3"/>
  <c r="F487" i="3"/>
  <c r="D487" i="3"/>
  <c r="C487" i="3"/>
  <c r="AF486" i="3"/>
  <c r="AE486" i="3"/>
  <c r="AD486" i="3"/>
  <c r="AC486" i="3"/>
  <c r="AB486" i="3"/>
  <c r="AA486" i="3"/>
  <c r="Z486" i="3"/>
  <c r="Y486" i="3"/>
  <c r="X486" i="3"/>
  <c r="W486" i="3"/>
  <c r="V486" i="3"/>
  <c r="U486" i="3"/>
  <c r="S486" i="3"/>
  <c r="G486" i="3"/>
  <c r="F486" i="3"/>
  <c r="D486" i="3"/>
  <c r="C486" i="3"/>
  <c r="AF485" i="3"/>
  <c r="AE485" i="3"/>
  <c r="AD485" i="3"/>
  <c r="AC485" i="3"/>
  <c r="AB485" i="3"/>
  <c r="AA485" i="3"/>
  <c r="Z485" i="3"/>
  <c r="Y485" i="3"/>
  <c r="X485" i="3"/>
  <c r="W485" i="3"/>
  <c r="V485" i="3"/>
  <c r="U485" i="3"/>
  <c r="S485" i="3"/>
  <c r="G485" i="3"/>
  <c r="F485" i="3"/>
  <c r="D485" i="3"/>
  <c r="C485" i="3"/>
  <c r="AF484" i="3"/>
  <c r="AE484" i="3"/>
  <c r="AD484" i="3"/>
  <c r="AC484" i="3"/>
  <c r="AB484" i="3"/>
  <c r="AA484" i="3"/>
  <c r="Z484" i="3"/>
  <c r="Y484" i="3"/>
  <c r="X484" i="3"/>
  <c r="W484" i="3"/>
  <c r="V484" i="3"/>
  <c r="U484" i="3"/>
  <c r="S484" i="3"/>
  <c r="G484" i="3"/>
  <c r="F484" i="3"/>
  <c r="D484" i="3"/>
  <c r="C484" i="3"/>
  <c r="AF483" i="3"/>
  <c r="AE483" i="3"/>
  <c r="AD483" i="3"/>
  <c r="AC483" i="3"/>
  <c r="AB483" i="3"/>
  <c r="AA483" i="3"/>
  <c r="Z483" i="3"/>
  <c r="Y483" i="3"/>
  <c r="X483" i="3"/>
  <c r="W483" i="3"/>
  <c r="V483" i="3"/>
  <c r="U483" i="3"/>
  <c r="S483" i="3"/>
  <c r="G483" i="3"/>
  <c r="F483" i="3"/>
  <c r="D483" i="3"/>
  <c r="C483" i="3"/>
  <c r="AF482" i="3"/>
  <c r="AE482" i="3"/>
  <c r="AD482" i="3"/>
  <c r="AC482" i="3"/>
  <c r="AB482" i="3"/>
  <c r="AA482" i="3"/>
  <c r="Z482" i="3"/>
  <c r="Y482" i="3"/>
  <c r="X482" i="3"/>
  <c r="W482" i="3"/>
  <c r="V482" i="3"/>
  <c r="U482" i="3"/>
  <c r="S482" i="3"/>
  <c r="G482" i="3"/>
  <c r="F482" i="3"/>
  <c r="D482" i="3"/>
  <c r="C482" i="3"/>
  <c r="AF481" i="3"/>
  <c r="AE481" i="3"/>
  <c r="AD481" i="3"/>
  <c r="AC481" i="3"/>
  <c r="AB481" i="3"/>
  <c r="AA481" i="3"/>
  <c r="Z481" i="3"/>
  <c r="Y481" i="3"/>
  <c r="X481" i="3"/>
  <c r="W481" i="3"/>
  <c r="V481" i="3"/>
  <c r="U481" i="3"/>
  <c r="S481" i="3"/>
  <c r="G481" i="3"/>
  <c r="F481" i="3"/>
  <c r="D481" i="3"/>
  <c r="C481" i="3"/>
  <c r="AF480" i="3"/>
  <c r="AE480" i="3"/>
  <c r="AD480" i="3"/>
  <c r="AC480" i="3"/>
  <c r="AB480" i="3"/>
  <c r="AA480" i="3"/>
  <c r="Z480" i="3"/>
  <c r="Y480" i="3"/>
  <c r="X480" i="3"/>
  <c r="W480" i="3"/>
  <c r="V480" i="3"/>
  <c r="U480" i="3"/>
  <c r="S480" i="3"/>
  <c r="G480" i="3"/>
  <c r="F480" i="3"/>
  <c r="D480" i="3"/>
  <c r="C480" i="3"/>
  <c r="AF479" i="3"/>
  <c r="AE479" i="3"/>
  <c r="AD479" i="3"/>
  <c r="AC479" i="3"/>
  <c r="AB479" i="3"/>
  <c r="AA479" i="3"/>
  <c r="Z479" i="3"/>
  <c r="Y479" i="3"/>
  <c r="X479" i="3"/>
  <c r="W479" i="3"/>
  <c r="V479" i="3"/>
  <c r="U479" i="3"/>
  <c r="S479" i="3"/>
  <c r="G479" i="3"/>
  <c r="F479" i="3"/>
  <c r="D479" i="3"/>
  <c r="C479" i="3"/>
  <c r="AF478" i="3"/>
  <c r="AE478" i="3"/>
  <c r="AD478" i="3"/>
  <c r="AC478" i="3"/>
  <c r="AB478" i="3"/>
  <c r="AA478" i="3"/>
  <c r="Z478" i="3"/>
  <c r="Y478" i="3"/>
  <c r="X478" i="3"/>
  <c r="W478" i="3"/>
  <c r="V478" i="3"/>
  <c r="U478" i="3"/>
  <c r="S478" i="3"/>
  <c r="G478" i="3"/>
  <c r="F478" i="3"/>
  <c r="D478" i="3"/>
  <c r="C478" i="3"/>
  <c r="AF477" i="3"/>
  <c r="AE477" i="3"/>
  <c r="AD477" i="3"/>
  <c r="AC477" i="3"/>
  <c r="AB477" i="3"/>
  <c r="AA477" i="3"/>
  <c r="Z477" i="3"/>
  <c r="Y477" i="3"/>
  <c r="X477" i="3"/>
  <c r="W477" i="3"/>
  <c r="V477" i="3"/>
  <c r="U477" i="3"/>
  <c r="S477" i="3"/>
  <c r="G477" i="3"/>
  <c r="F477" i="3"/>
  <c r="D477" i="3"/>
  <c r="C477" i="3"/>
  <c r="AF476" i="3"/>
  <c r="AE476" i="3"/>
  <c r="AD476" i="3"/>
  <c r="AC476" i="3"/>
  <c r="AB476" i="3"/>
  <c r="AA476" i="3"/>
  <c r="Z476" i="3"/>
  <c r="Y476" i="3"/>
  <c r="X476" i="3"/>
  <c r="W476" i="3"/>
  <c r="V476" i="3"/>
  <c r="U476" i="3"/>
  <c r="S476" i="3"/>
  <c r="G476" i="3"/>
  <c r="F476" i="3"/>
  <c r="D476" i="3"/>
  <c r="C476" i="3"/>
  <c r="AF475" i="3"/>
  <c r="AE475" i="3"/>
  <c r="AD475" i="3"/>
  <c r="AC475" i="3"/>
  <c r="AB475" i="3"/>
  <c r="AA475" i="3"/>
  <c r="Z475" i="3"/>
  <c r="Y475" i="3"/>
  <c r="X475" i="3"/>
  <c r="W475" i="3"/>
  <c r="V475" i="3"/>
  <c r="U475" i="3"/>
  <c r="S475" i="3"/>
  <c r="G475" i="3"/>
  <c r="F475" i="3"/>
  <c r="D475" i="3"/>
  <c r="C475" i="3"/>
  <c r="AF474" i="3"/>
  <c r="AE474" i="3"/>
  <c r="AD474" i="3"/>
  <c r="AC474" i="3"/>
  <c r="AB474" i="3"/>
  <c r="AA474" i="3"/>
  <c r="Z474" i="3"/>
  <c r="Y474" i="3"/>
  <c r="X474" i="3"/>
  <c r="W474" i="3"/>
  <c r="V474" i="3"/>
  <c r="U474" i="3"/>
  <c r="S474" i="3"/>
  <c r="G474" i="3"/>
  <c r="F474" i="3"/>
  <c r="D474" i="3"/>
  <c r="C474" i="3"/>
  <c r="AF473" i="3"/>
  <c r="AE473" i="3"/>
  <c r="AD473" i="3"/>
  <c r="AC473" i="3"/>
  <c r="AB473" i="3"/>
  <c r="AA473" i="3"/>
  <c r="Z473" i="3"/>
  <c r="Y473" i="3"/>
  <c r="X473" i="3"/>
  <c r="W473" i="3"/>
  <c r="V473" i="3"/>
  <c r="U473" i="3"/>
  <c r="S473" i="3"/>
  <c r="G473" i="3"/>
  <c r="F473" i="3"/>
  <c r="D473" i="3"/>
  <c r="C473" i="3"/>
  <c r="AF472" i="3"/>
  <c r="AE472" i="3"/>
  <c r="AD472" i="3"/>
  <c r="AC472" i="3"/>
  <c r="AB472" i="3"/>
  <c r="AA472" i="3"/>
  <c r="Z472" i="3"/>
  <c r="Y472" i="3"/>
  <c r="X472" i="3"/>
  <c r="W472" i="3"/>
  <c r="V472" i="3"/>
  <c r="U472" i="3"/>
  <c r="S472" i="3"/>
  <c r="G472" i="3"/>
  <c r="F472" i="3"/>
  <c r="D472" i="3"/>
  <c r="C472" i="3"/>
  <c r="AF471" i="3"/>
  <c r="AE471" i="3"/>
  <c r="AD471" i="3"/>
  <c r="AC471" i="3"/>
  <c r="AB471" i="3"/>
  <c r="AA471" i="3"/>
  <c r="Z471" i="3"/>
  <c r="Y471" i="3"/>
  <c r="X471" i="3"/>
  <c r="W471" i="3"/>
  <c r="V471" i="3"/>
  <c r="U471" i="3"/>
  <c r="S471" i="3"/>
  <c r="G471" i="3"/>
  <c r="F471" i="3"/>
  <c r="D471" i="3"/>
  <c r="C471" i="3"/>
  <c r="AF470" i="3"/>
  <c r="AE470" i="3"/>
  <c r="AD470" i="3"/>
  <c r="AC470" i="3"/>
  <c r="AB470" i="3"/>
  <c r="AA470" i="3"/>
  <c r="Z470" i="3"/>
  <c r="Y470" i="3"/>
  <c r="X470" i="3"/>
  <c r="W470" i="3"/>
  <c r="V470" i="3"/>
  <c r="U470" i="3"/>
  <c r="S470" i="3"/>
  <c r="G470" i="3"/>
  <c r="F470" i="3"/>
  <c r="D470" i="3"/>
  <c r="C470" i="3"/>
  <c r="AF469" i="3"/>
  <c r="AE469" i="3"/>
  <c r="AD469" i="3"/>
  <c r="AC469" i="3"/>
  <c r="AB469" i="3"/>
  <c r="AA469" i="3"/>
  <c r="Z469" i="3"/>
  <c r="Y469" i="3"/>
  <c r="X469" i="3"/>
  <c r="W469" i="3"/>
  <c r="V469" i="3"/>
  <c r="U469" i="3"/>
  <c r="S469" i="3"/>
  <c r="G469" i="3"/>
  <c r="F469" i="3"/>
  <c r="D469" i="3"/>
  <c r="C469" i="3"/>
  <c r="AF468" i="3"/>
  <c r="AE468" i="3"/>
  <c r="AD468" i="3"/>
  <c r="AC468" i="3"/>
  <c r="AB468" i="3"/>
  <c r="AA468" i="3"/>
  <c r="Z468" i="3"/>
  <c r="Y468" i="3"/>
  <c r="X468" i="3"/>
  <c r="W468" i="3"/>
  <c r="V468" i="3"/>
  <c r="U468" i="3"/>
  <c r="S468" i="3"/>
  <c r="G468" i="3"/>
  <c r="F468" i="3"/>
  <c r="D468" i="3"/>
  <c r="C468" i="3"/>
  <c r="AF467" i="3"/>
  <c r="AE467" i="3"/>
  <c r="AD467" i="3"/>
  <c r="AC467" i="3"/>
  <c r="AB467" i="3"/>
  <c r="AA467" i="3"/>
  <c r="Z467" i="3"/>
  <c r="Y467" i="3"/>
  <c r="X467" i="3"/>
  <c r="W467" i="3"/>
  <c r="V467" i="3"/>
  <c r="U467" i="3"/>
  <c r="S467" i="3"/>
  <c r="G467" i="3"/>
  <c r="F467" i="3"/>
  <c r="D467" i="3"/>
  <c r="C467" i="3"/>
  <c r="AF466" i="3"/>
  <c r="AE466" i="3"/>
  <c r="AD466" i="3"/>
  <c r="AC466" i="3"/>
  <c r="AB466" i="3"/>
  <c r="AA466" i="3"/>
  <c r="Z466" i="3"/>
  <c r="Y466" i="3"/>
  <c r="X466" i="3"/>
  <c r="W466" i="3"/>
  <c r="V466" i="3"/>
  <c r="U466" i="3"/>
  <c r="S466" i="3"/>
  <c r="G466" i="3"/>
  <c r="F466" i="3"/>
  <c r="D466" i="3"/>
  <c r="C466" i="3"/>
  <c r="AF465" i="3"/>
  <c r="AE465" i="3"/>
  <c r="AD465" i="3"/>
  <c r="AC465" i="3"/>
  <c r="AB465" i="3"/>
  <c r="AA465" i="3"/>
  <c r="Z465" i="3"/>
  <c r="Y465" i="3"/>
  <c r="X465" i="3"/>
  <c r="W465" i="3"/>
  <c r="V465" i="3"/>
  <c r="U465" i="3"/>
  <c r="S465" i="3"/>
  <c r="G465" i="3"/>
  <c r="F465" i="3"/>
  <c r="D465" i="3"/>
  <c r="C465" i="3"/>
  <c r="AF464" i="3"/>
  <c r="AE464" i="3"/>
  <c r="AD464" i="3"/>
  <c r="AC464" i="3"/>
  <c r="AB464" i="3"/>
  <c r="AA464" i="3"/>
  <c r="Z464" i="3"/>
  <c r="Y464" i="3"/>
  <c r="X464" i="3"/>
  <c r="W464" i="3"/>
  <c r="V464" i="3"/>
  <c r="U464" i="3"/>
  <c r="S464" i="3"/>
  <c r="G464" i="3"/>
  <c r="F464" i="3"/>
  <c r="D464" i="3"/>
  <c r="C464" i="3"/>
  <c r="AF463" i="3"/>
  <c r="AE463" i="3"/>
  <c r="AD463" i="3"/>
  <c r="AC463" i="3"/>
  <c r="AB463" i="3"/>
  <c r="AA463" i="3"/>
  <c r="Z463" i="3"/>
  <c r="Y463" i="3"/>
  <c r="X463" i="3"/>
  <c r="W463" i="3"/>
  <c r="V463" i="3"/>
  <c r="U463" i="3"/>
  <c r="S463" i="3"/>
  <c r="G463" i="3"/>
  <c r="F463" i="3"/>
  <c r="D463" i="3"/>
  <c r="C463" i="3"/>
  <c r="AF462" i="3"/>
  <c r="AE462" i="3"/>
  <c r="AD462" i="3"/>
  <c r="AC462" i="3"/>
  <c r="AB462" i="3"/>
  <c r="AA462" i="3"/>
  <c r="Z462" i="3"/>
  <c r="Y462" i="3"/>
  <c r="X462" i="3"/>
  <c r="W462" i="3"/>
  <c r="V462" i="3"/>
  <c r="U462" i="3"/>
  <c r="S462" i="3"/>
  <c r="G462" i="3"/>
  <c r="F462" i="3"/>
  <c r="D462" i="3"/>
  <c r="C462" i="3"/>
  <c r="AF461" i="3"/>
  <c r="AE461" i="3"/>
  <c r="AD461" i="3"/>
  <c r="AC461" i="3"/>
  <c r="AB461" i="3"/>
  <c r="AA461" i="3"/>
  <c r="Z461" i="3"/>
  <c r="Y461" i="3"/>
  <c r="X461" i="3"/>
  <c r="W461" i="3"/>
  <c r="V461" i="3"/>
  <c r="U461" i="3"/>
  <c r="S461" i="3"/>
  <c r="G461" i="3"/>
  <c r="F461" i="3"/>
  <c r="D461" i="3"/>
  <c r="C461" i="3"/>
  <c r="AF460" i="3"/>
  <c r="AE460" i="3"/>
  <c r="AD460" i="3"/>
  <c r="AC460" i="3"/>
  <c r="AB460" i="3"/>
  <c r="AA460" i="3"/>
  <c r="Z460" i="3"/>
  <c r="Y460" i="3"/>
  <c r="X460" i="3"/>
  <c r="W460" i="3"/>
  <c r="V460" i="3"/>
  <c r="U460" i="3"/>
  <c r="S460" i="3"/>
  <c r="G460" i="3"/>
  <c r="F460" i="3"/>
  <c r="D460" i="3"/>
  <c r="C460" i="3"/>
  <c r="AF459" i="3"/>
  <c r="AE459" i="3"/>
  <c r="AD459" i="3"/>
  <c r="AC459" i="3"/>
  <c r="AB459" i="3"/>
  <c r="AA459" i="3"/>
  <c r="Z459" i="3"/>
  <c r="Y459" i="3"/>
  <c r="X459" i="3"/>
  <c r="W459" i="3"/>
  <c r="V459" i="3"/>
  <c r="U459" i="3"/>
  <c r="S459" i="3"/>
  <c r="G459" i="3"/>
  <c r="F459" i="3"/>
  <c r="D459" i="3"/>
  <c r="C459" i="3"/>
  <c r="AF458" i="3"/>
  <c r="AE458" i="3"/>
  <c r="AD458" i="3"/>
  <c r="AC458" i="3"/>
  <c r="AB458" i="3"/>
  <c r="AA458" i="3"/>
  <c r="Z458" i="3"/>
  <c r="Y458" i="3"/>
  <c r="X458" i="3"/>
  <c r="W458" i="3"/>
  <c r="V458" i="3"/>
  <c r="U458" i="3"/>
  <c r="S458" i="3"/>
  <c r="G458" i="3"/>
  <c r="F458" i="3"/>
  <c r="D458" i="3"/>
  <c r="C458" i="3"/>
  <c r="AF457" i="3"/>
  <c r="AE457" i="3"/>
  <c r="AD457" i="3"/>
  <c r="AC457" i="3"/>
  <c r="AB457" i="3"/>
  <c r="AA457" i="3"/>
  <c r="Z457" i="3"/>
  <c r="Y457" i="3"/>
  <c r="X457" i="3"/>
  <c r="W457" i="3"/>
  <c r="V457" i="3"/>
  <c r="U457" i="3"/>
  <c r="S457" i="3"/>
  <c r="G457" i="3"/>
  <c r="F457" i="3"/>
  <c r="D457" i="3"/>
  <c r="C457" i="3"/>
  <c r="AF456" i="3"/>
  <c r="AE456" i="3"/>
  <c r="AD456" i="3"/>
  <c r="AC456" i="3"/>
  <c r="AB456" i="3"/>
  <c r="AA456" i="3"/>
  <c r="Z456" i="3"/>
  <c r="Y456" i="3"/>
  <c r="X456" i="3"/>
  <c r="W456" i="3"/>
  <c r="V456" i="3"/>
  <c r="U456" i="3"/>
  <c r="S456" i="3"/>
  <c r="G456" i="3"/>
  <c r="F456" i="3"/>
  <c r="D456" i="3"/>
  <c r="C456" i="3"/>
  <c r="AF455" i="3"/>
  <c r="AE455" i="3"/>
  <c r="AD455" i="3"/>
  <c r="AC455" i="3"/>
  <c r="AB455" i="3"/>
  <c r="AA455" i="3"/>
  <c r="Z455" i="3"/>
  <c r="Y455" i="3"/>
  <c r="X455" i="3"/>
  <c r="W455" i="3"/>
  <c r="V455" i="3"/>
  <c r="U455" i="3"/>
  <c r="S455" i="3"/>
  <c r="G455" i="3"/>
  <c r="F455" i="3"/>
  <c r="D455" i="3"/>
  <c r="C455" i="3"/>
  <c r="AF454" i="3"/>
  <c r="AE454" i="3"/>
  <c r="AD454" i="3"/>
  <c r="AC454" i="3"/>
  <c r="AB454" i="3"/>
  <c r="AA454" i="3"/>
  <c r="Z454" i="3"/>
  <c r="Y454" i="3"/>
  <c r="X454" i="3"/>
  <c r="W454" i="3"/>
  <c r="V454" i="3"/>
  <c r="U454" i="3"/>
  <c r="S454" i="3"/>
  <c r="G454" i="3"/>
  <c r="F454" i="3"/>
  <c r="D454" i="3"/>
  <c r="C454" i="3"/>
  <c r="AF453" i="3"/>
  <c r="AE453" i="3"/>
  <c r="AD453" i="3"/>
  <c r="AC453" i="3"/>
  <c r="AB453" i="3"/>
  <c r="AA453" i="3"/>
  <c r="Z453" i="3"/>
  <c r="Y453" i="3"/>
  <c r="X453" i="3"/>
  <c r="W453" i="3"/>
  <c r="V453" i="3"/>
  <c r="U453" i="3"/>
  <c r="S453" i="3"/>
  <c r="G453" i="3"/>
  <c r="F453" i="3"/>
  <c r="D453" i="3"/>
  <c r="C453" i="3"/>
  <c r="AF452" i="3"/>
  <c r="AE452" i="3"/>
  <c r="AD452" i="3"/>
  <c r="AC452" i="3"/>
  <c r="AB452" i="3"/>
  <c r="AA452" i="3"/>
  <c r="Z452" i="3"/>
  <c r="Y452" i="3"/>
  <c r="X452" i="3"/>
  <c r="W452" i="3"/>
  <c r="V452" i="3"/>
  <c r="U452" i="3"/>
  <c r="S452" i="3"/>
  <c r="G452" i="3"/>
  <c r="F452" i="3"/>
  <c r="D452" i="3"/>
  <c r="C452" i="3"/>
  <c r="AF451" i="3"/>
  <c r="AE451" i="3"/>
  <c r="AD451" i="3"/>
  <c r="AC451" i="3"/>
  <c r="AB451" i="3"/>
  <c r="AA451" i="3"/>
  <c r="Z451" i="3"/>
  <c r="Y451" i="3"/>
  <c r="X451" i="3"/>
  <c r="W451" i="3"/>
  <c r="V451" i="3"/>
  <c r="U451" i="3"/>
  <c r="S451" i="3"/>
  <c r="G451" i="3"/>
  <c r="F451" i="3"/>
  <c r="D451" i="3"/>
  <c r="C451" i="3"/>
  <c r="AF450" i="3"/>
  <c r="AE450" i="3"/>
  <c r="AD450" i="3"/>
  <c r="AC450" i="3"/>
  <c r="AB450" i="3"/>
  <c r="AA450" i="3"/>
  <c r="Z450" i="3"/>
  <c r="Y450" i="3"/>
  <c r="X450" i="3"/>
  <c r="W450" i="3"/>
  <c r="V450" i="3"/>
  <c r="U450" i="3"/>
  <c r="S450" i="3"/>
  <c r="G450" i="3"/>
  <c r="F450" i="3"/>
  <c r="D450" i="3"/>
  <c r="C450" i="3"/>
  <c r="AF449" i="3"/>
  <c r="AE449" i="3"/>
  <c r="AD449" i="3"/>
  <c r="AC449" i="3"/>
  <c r="AB449" i="3"/>
  <c r="AA449" i="3"/>
  <c r="Z449" i="3"/>
  <c r="Y449" i="3"/>
  <c r="X449" i="3"/>
  <c r="W449" i="3"/>
  <c r="V449" i="3"/>
  <c r="U449" i="3"/>
  <c r="S449" i="3"/>
  <c r="G449" i="3"/>
  <c r="F449" i="3"/>
  <c r="D449" i="3"/>
  <c r="C449" i="3"/>
  <c r="AF448" i="3"/>
  <c r="AE448" i="3"/>
  <c r="AD448" i="3"/>
  <c r="AC448" i="3"/>
  <c r="AB448" i="3"/>
  <c r="AA448" i="3"/>
  <c r="Z448" i="3"/>
  <c r="Y448" i="3"/>
  <c r="X448" i="3"/>
  <c r="W448" i="3"/>
  <c r="V448" i="3"/>
  <c r="U448" i="3"/>
  <c r="S448" i="3"/>
  <c r="G448" i="3"/>
  <c r="F448" i="3"/>
  <c r="D448" i="3"/>
  <c r="C448" i="3"/>
  <c r="AF447" i="3"/>
  <c r="AE447" i="3"/>
  <c r="AD447" i="3"/>
  <c r="AC447" i="3"/>
  <c r="AB447" i="3"/>
  <c r="AA447" i="3"/>
  <c r="Z447" i="3"/>
  <c r="Y447" i="3"/>
  <c r="X447" i="3"/>
  <c r="W447" i="3"/>
  <c r="V447" i="3"/>
  <c r="U447" i="3"/>
  <c r="S447" i="3"/>
  <c r="G447" i="3"/>
  <c r="F447" i="3"/>
  <c r="D447" i="3"/>
  <c r="C447" i="3"/>
  <c r="AF446" i="3"/>
  <c r="AE446" i="3"/>
  <c r="AD446" i="3"/>
  <c r="AC446" i="3"/>
  <c r="AB446" i="3"/>
  <c r="AA446" i="3"/>
  <c r="Z446" i="3"/>
  <c r="Y446" i="3"/>
  <c r="X446" i="3"/>
  <c r="W446" i="3"/>
  <c r="V446" i="3"/>
  <c r="U446" i="3"/>
  <c r="S446" i="3"/>
  <c r="G446" i="3"/>
  <c r="F446" i="3"/>
  <c r="D446" i="3"/>
  <c r="C446" i="3"/>
  <c r="AF445" i="3"/>
  <c r="AE445" i="3"/>
  <c r="AD445" i="3"/>
  <c r="AC445" i="3"/>
  <c r="AB445" i="3"/>
  <c r="AA445" i="3"/>
  <c r="Z445" i="3"/>
  <c r="Y445" i="3"/>
  <c r="X445" i="3"/>
  <c r="W445" i="3"/>
  <c r="V445" i="3"/>
  <c r="U445" i="3"/>
  <c r="S445" i="3"/>
  <c r="G445" i="3"/>
  <c r="F445" i="3"/>
  <c r="D445" i="3"/>
  <c r="C445" i="3"/>
  <c r="AF444" i="3"/>
  <c r="AE444" i="3"/>
  <c r="AD444" i="3"/>
  <c r="AC444" i="3"/>
  <c r="AB444" i="3"/>
  <c r="AA444" i="3"/>
  <c r="Z444" i="3"/>
  <c r="Y444" i="3"/>
  <c r="X444" i="3"/>
  <c r="W444" i="3"/>
  <c r="V444" i="3"/>
  <c r="U444" i="3"/>
  <c r="S444" i="3"/>
  <c r="G444" i="3"/>
  <c r="F444" i="3"/>
  <c r="D444" i="3"/>
  <c r="C444" i="3"/>
  <c r="AF443" i="3"/>
  <c r="AE443" i="3"/>
  <c r="AD443" i="3"/>
  <c r="AC443" i="3"/>
  <c r="AB443" i="3"/>
  <c r="AA443" i="3"/>
  <c r="Z443" i="3"/>
  <c r="Y443" i="3"/>
  <c r="X443" i="3"/>
  <c r="W443" i="3"/>
  <c r="V443" i="3"/>
  <c r="U443" i="3"/>
  <c r="S443" i="3"/>
  <c r="G443" i="3"/>
  <c r="F443" i="3"/>
  <c r="D443" i="3"/>
  <c r="C443" i="3"/>
  <c r="AF442" i="3"/>
  <c r="AE442" i="3"/>
  <c r="AD442" i="3"/>
  <c r="AC442" i="3"/>
  <c r="AB442" i="3"/>
  <c r="AA442" i="3"/>
  <c r="Z442" i="3"/>
  <c r="Y442" i="3"/>
  <c r="X442" i="3"/>
  <c r="W442" i="3"/>
  <c r="V442" i="3"/>
  <c r="U442" i="3"/>
  <c r="S442" i="3"/>
  <c r="G442" i="3"/>
  <c r="F442" i="3"/>
  <c r="D442" i="3"/>
  <c r="C442" i="3"/>
  <c r="AF441" i="3"/>
  <c r="AE441" i="3"/>
  <c r="AD441" i="3"/>
  <c r="AC441" i="3"/>
  <c r="AB441" i="3"/>
  <c r="AA441" i="3"/>
  <c r="Z441" i="3"/>
  <c r="Y441" i="3"/>
  <c r="X441" i="3"/>
  <c r="W441" i="3"/>
  <c r="V441" i="3"/>
  <c r="U441" i="3"/>
  <c r="S441" i="3"/>
  <c r="G441" i="3"/>
  <c r="F441" i="3"/>
  <c r="D441" i="3"/>
  <c r="C441" i="3"/>
  <c r="AF440" i="3"/>
  <c r="AE440" i="3"/>
  <c r="AD440" i="3"/>
  <c r="AC440" i="3"/>
  <c r="AB440" i="3"/>
  <c r="AA440" i="3"/>
  <c r="Z440" i="3"/>
  <c r="Y440" i="3"/>
  <c r="X440" i="3"/>
  <c r="W440" i="3"/>
  <c r="V440" i="3"/>
  <c r="U440" i="3"/>
  <c r="S440" i="3"/>
  <c r="G440" i="3"/>
  <c r="F440" i="3"/>
  <c r="D440" i="3"/>
  <c r="C440" i="3"/>
  <c r="AF439" i="3"/>
  <c r="AE439" i="3"/>
  <c r="AD439" i="3"/>
  <c r="AC439" i="3"/>
  <c r="AB439" i="3"/>
  <c r="AA439" i="3"/>
  <c r="Z439" i="3"/>
  <c r="Y439" i="3"/>
  <c r="X439" i="3"/>
  <c r="W439" i="3"/>
  <c r="V439" i="3"/>
  <c r="U439" i="3"/>
  <c r="S439" i="3"/>
  <c r="G439" i="3"/>
  <c r="F439" i="3"/>
  <c r="D439" i="3"/>
  <c r="C439" i="3"/>
  <c r="AF438" i="3"/>
  <c r="AE438" i="3"/>
  <c r="AD438" i="3"/>
  <c r="AC438" i="3"/>
  <c r="AB438" i="3"/>
  <c r="AA438" i="3"/>
  <c r="Z438" i="3"/>
  <c r="Y438" i="3"/>
  <c r="X438" i="3"/>
  <c r="W438" i="3"/>
  <c r="V438" i="3"/>
  <c r="U438" i="3"/>
  <c r="S438" i="3"/>
  <c r="G438" i="3"/>
  <c r="F438" i="3"/>
  <c r="D438" i="3"/>
  <c r="C438" i="3"/>
  <c r="AF437" i="3"/>
  <c r="AE437" i="3"/>
  <c r="AD437" i="3"/>
  <c r="AC437" i="3"/>
  <c r="AB437" i="3"/>
  <c r="AA437" i="3"/>
  <c r="Z437" i="3"/>
  <c r="Y437" i="3"/>
  <c r="X437" i="3"/>
  <c r="W437" i="3"/>
  <c r="V437" i="3"/>
  <c r="U437" i="3"/>
  <c r="S437" i="3"/>
  <c r="G437" i="3"/>
  <c r="F437" i="3"/>
  <c r="D437" i="3"/>
  <c r="C437" i="3"/>
  <c r="AF436" i="3"/>
  <c r="AE436" i="3"/>
  <c r="AD436" i="3"/>
  <c r="AC436" i="3"/>
  <c r="AB436" i="3"/>
  <c r="AA436" i="3"/>
  <c r="Z436" i="3"/>
  <c r="Y436" i="3"/>
  <c r="X436" i="3"/>
  <c r="W436" i="3"/>
  <c r="V436" i="3"/>
  <c r="U436" i="3"/>
  <c r="S436" i="3"/>
  <c r="G436" i="3"/>
  <c r="F436" i="3"/>
  <c r="D436" i="3"/>
  <c r="C436" i="3"/>
  <c r="AF435" i="3"/>
  <c r="AE435" i="3"/>
  <c r="AD435" i="3"/>
  <c r="AC435" i="3"/>
  <c r="AB435" i="3"/>
  <c r="AA435" i="3"/>
  <c r="Z435" i="3"/>
  <c r="Y435" i="3"/>
  <c r="X435" i="3"/>
  <c r="W435" i="3"/>
  <c r="V435" i="3"/>
  <c r="U435" i="3"/>
  <c r="S435" i="3"/>
  <c r="G435" i="3"/>
  <c r="F435" i="3"/>
  <c r="D435" i="3"/>
  <c r="C435" i="3"/>
  <c r="AF434" i="3"/>
  <c r="AE434" i="3"/>
  <c r="AD434" i="3"/>
  <c r="AC434" i="3"/>
  <c r="AB434" i="3"/>
  <c r="AA434" i="3"/>
  <c r="Z434" i="3"/>
  <c r="Y434" i="3"/>
  <c r="X434" i="3"/>
  <c r="W434" i="3"/>
  <c r="V434" i="3"/>
  <c r="U434" i="3"/>
  <c r="S434" i="3"/>
  <c r="G434" i="3"/>
  <c r="F434" i="3"/>
  <c r="D434" i="3"/>
  <c r="C434" i="3"/>
  <c r="AF433" i="3"/>
  <c r="AE433" i="3"/>
  <c r="AD433" i="3"/>
  <c r="AC433" i="3"/>
  <c r="AB433" i="3"/>
  <c r="AA433" i="3"/>
  <c r="Z433" i="3"/>
  <c r="Y433" i="3"/>
  <c r="X433" i="3"/>
  <c r="W433" i="3"/>
  <c r="V433" i="3"/>
  <c r="U433" i="3"/>
  <c r="S433" i="3"/>
  <c r="G433" i="3"/>
  <c r="F433" i="3"/>
  <c r="D433" i="3"/>
  <c r="C433" i="3"/>
  <c r="AF432" i="3"/>
  <c r="AE432" i="3"/>
  <c r="AD432" i="3"/>
  <c r="AC432" i="3"/>
  <c r="AB432" i="3"/>
  <c r="AA432" i="3"/>
  <c r="Z432" i="3"/>
  <c r="Y432" i="3"/>
  <c r="X432" i="3"/>
  <c r="W432" i="3"/>
  <c r="V432" i="3"/>
  <c r="U432" i="3"/>
  <c r="S432" i="3"/>
  <c r="G432" i="3"/>
  <c r="F432" i="3"/>
  <c r="D432" i="3"/>
  <c r="C432" i="3"/>
  <c r="AF431" i="3"/>
  <c r="AE431" i="3"/>
  <c r="AD431" i="3"/>
  <c r="AC431" i="3"/>
  <c r="AB431" i="3"/>
  <c r="AA431" i="3"/>
  <c r="Z431" i="3"/>
  <c r="Y431" i="3"/>
  <c r="X431" i="3"/>
  <c r="W431" i="3"/>
  <c r="V431" i="3"/>
  <c r="U431" i="3"/>
  <c r="S431" i="3"/>
  <c r="G431" i="3"/>
  <c r="F431" i="3"/>
  <c r="D431" i="3"/>
  <c r="C431" i="3"/>
  <c r="AF430" i="3"/>
  <c r="AE430" i="3"/>
  <c r="AD430" i="3"/>
  <c r="AC430" i="3"/>
  <c r="AB430" i="3"/>
  <c r="AA430" i="3"/>
  <c r="Z430" i="3"/>
  <c r="Y430" i="3"/>
  <c r="X430" i="3"/>
  <c r="W430" i="3"/>
  <c r="V430" i="3"/>
  <c r="U430" i="3"/>
  <c r="S430" i="3"/>
  <c r="G430" i="3"/>
  <c r="F430" i="3"/>
  <c r="D430" i="3"/>
  <c r="C430" i="3"/>
  <c r="AF429" i="3"/>
  <c r="AE429" i="3"/>
  <c r="AD429" i="3"/>
  <c r="AC429" i="3"/>
  <c r="AB429" i="3"/>
  <c r="AA429" i="3"/>
  <c r="Z429" i="3"/>
  <c r="Y429" i="3"/>
  <c r="X429" i="3"/>
  <c r="W429" i="3"/>
  <c r="V429" i="3"/>
  <c r="U429" i="3"/>
  <c r="S429" i="3"/>
  <c r="G429" i="3"/>
  <c r="F429" i="3"/>
  <c r="D429" i="3"/>
  <c r="C429" i="3"/>
  <c r="AF428" i="3"/>
  <c r="AE428" i="3"/>
  <c r="AD428" i="3"/>
  <c r="AC428" i="3"/>
  <c r="AB428" i="3"/>
  <c r="AA428" i="3"/>
  <c r="Z428" i="3"/>
  <c r="Y428" i="3"/>
  <c r="X428" i="3"/>
  <c r="W428" i="3"/>
  <c r="V428" i="3"/>
  <c r="U428" i="3"/>
  <c r="S428" i="3"/>
  <c r="G428" i="3"/>
  <c r="F428" i="3"/>
  <c r="D428" i="3"/>
  <c r="C428" i="3"/>
  <c r="AF427" i="3"/>
  <c r="AE427" i="3"/>
  <c r="AD427" i="3"/>
  <c r="AC427" i="3"/>
  <c r="AB427" i="3"/>
  <c r="AA427" i="3"/>
  <c r="Z427" i="3"/>
  <c r="Y427" i="3"/>
  <c r="X427" i="3"/>
  <c r="W427" i="3"/>
  <c r="V427" i="3"/>
  <c r="U427" i="3"/>
  <c r="S427" i="3"/>
  <c r="G427" i="3"/>
  <c r="F427" i="3"/>
  <c r="D427" i="3"/>
  <c r="C427" i="3"/>
  <c r="AF426" i="3"/>
  <c r="AE426" i="3"/>
  <c r="AD426" i="3"/>
  <c r="AC426" i="3"/>
  <c r="AB426" i="3"/>
  <c r="AA426" i="3"/>
  <c r="Z426" i="3"/>
  <c r="Y426" i="3"/>
  <c r="X426" i="3"/>
  <c r="W426" i="3"/>
  <c r="V426" i="3"/>
  <c r="U426" i="3"/>
  <c r="S426" i="3"/>
  <c r="G426" i="3"/>
  <c r="F426" i="3"/>
  <c r="D426" i="3"/>
  <c r="C426" i="3"/>
  <c r="AF425" i="3"/>
  <c r="AE425" i="3"/>
  <c r="AD425" i="3"/>
  <c r="AC425" i="3"/>
  <c r="AB425" i="3"/>
  <c r="AA425" i="3"/>
  <c r="Z425" i="3"/>
  <c r="Y425" i="3"/>
  <c r="X425" i="3"/>
  <c r="W425" i="3"/>
  <c r="V425" i="3"/>
  <c r="U425" i="3"/>
  <c r="S425" i="3"/>
  <c r="G425" i="3"/>
  <c r="F425" i="3"/>
  <c r="D425" i="3"/>
  <c r="C425" i="3"/>
  <c r="AF424" i="3"/>
  <c r="AE424" i="3"/>
  <c r="AD424" i="3"/>
  <c r="AC424" i="3"/>
  <c r="AB424" i="3"/>
  <c r="AA424" i="3"/>
  <c r="Z424" i="3"/>
  <c r="Y424" i="3"/>
  <c r="X424" i="3"/>
  <c r="W424" i="3"/>
  <c r="V424" i="3"/>
  <c r="U424" i="3"/>
  <c r="S424" i="3"/>
  <c r="G424" i="3"/>
  <c r="F424" i="3"/>
  <c r="D424" i="3"/>
  <c r="C424" i="3"/>
  <c r="AF423" i="3"/>
  <c r="AE423" i="3"/>
  <c r="AD423" i="3"/>
  <c r="AC423" i="3"/>
  <c r="AB423" i="3"/>
  <c r="AA423" i="3"/>
  <c r="Z423" i="3"/>
  <c r="Y423" i="3"/>
  <c r="X423" i="3"/>
  <c r="W423" i="3"/>
  <c r="V423" i="3"/>
  <c r="U423" i="3"/>
  <c r="S423" i="3"/>
  <c r="G423" i="3"/>
  <c r="F423" i="3"/>
  <c r="D423" i="3"/>
  <c r="C423" i="3"/>
  <c r="AF422" i="3"/>
  <c r="AE422" i="3"/>
  <c r="AD422" i="3"/>
  <c r="AC422" i="3"/>
  <c r="AB422" i="3"/>
  <c r="AA422" i="3"/>
  <c r="Z422" i="3"/>
  <c r="Y422" i="3"/>
  <c r="X422" i="3"/>
  <c r="W422" i="3"/>
  <c r="V422" i="3"/>
  <c r="U422" i="3"/>
  <c r="S422" i="3"/>
  <c r="G422" i="3"/>
  <c r="F422" i="3"/>
  <c r="D422" i="3"/>
  <c r="C422" i="3"/>
  <c r="AF421" i="3"/>
  <c r="AE421" i="3"/>
  <c r="AD421" i="3"/>
  <c r="AC421" i="3"/>
  <c r="AB421" i="3"/>
  <c r="AA421" i="3"/>
  <c r="Z421" i="3"/>
  <c r="Y421" i="3"/>
  <c r="X421" i="3"/>
  <c r="W421" i="3"/>
  <c r="V421" i="3"/>
  <c r="U421" i="3"/>
  <c r="S421" i="3"/>
  <c r="G421" i="3"/>
  <c r="F421" i="3"/>
  <c r="D421" i="3"/>
  <c r="C421" i="3"/>
  <c r="AF420" i="3"/>
  <c r="AE420" i="3"/>
  <c r="AD420" i="3"/>
  <c r="AC420" i="3"/>
  <c r="AB420" i="3"/>
  <c r="AA420" i="3"/>
  <c r="Z420" i="3"/>
  <c r="Y420" i="3"/>
  <c r="X420" i="3"/>
  <c r="W420" i="3"/>
  <c r="V420" i="3"/>
  <c r="U420" i="3"/>
  <c r="S420" i="3"/>
  <c r="G420" i="3"/>
  <c r="F420" i="3"/>
  <c r="D420" i="3"/>
  <c r="C420" i="3"/>
  <c r="AF419" i="3"/>
  <c r="AE419" i="3"/>
  <c r="AD419" i="3"/>
  <c r="AC419" i="3"/>
  <c r="AB419" i="3"/>
  <c r="AA419" i="3"/>
  <c r="Z419" i="3"/>
  <c r="Y419" i="3"/>
  <c r="X419" i="3"/>
  <c r="W419" i="3"/>
  <c r="V419" i="3"/>
  <c r="U419" i="3"/>
  <c r="S419" i="3"/>
  <c r="G419" i="3"/>
  <c r="F419" i="3"/>
  <c r="D419" i="3"/>
  <c r="C419" i="3"/>
  <c r="AF418" i="3"/>
  <c r="AE418" i="3"/>
  <c r="AD418" i="3"/>
  <c r="AC418" i="3"/>
  <c r="AB418" i="3"/>
  <c r="AA418" i="3"/>
  <c r="Z418" i="3"/>
  <c r="Y418" i="3"/>
  <c r="X418" i="3"/>
  <c r="W418" i="3"/>
  <c r="V418" i="3"/>
  <c r="U418" i="3"/>
  <c r="S418" i="3"/>
  <c r="G418" i="3"/>
  <c r="F418" i="3"/>
  <c r="D418" i="3"/>
  <c r="C418" i="3"/>
  <c r="AF417" i="3"/>
  <c r="AE417" i="3"/>
  <c r="AD417" i="3"/>
  <c r="AC417" i="3"/>
  <c r="AB417" i="3"/>
  <c r="AA417" i="3"/>
  <c r="Z417" i="3"/>
  <c r="Y417" i="3"/>
  <c r="X417" i="3"/>
  <c r="W417" i="3"/>
  <c r="V417" i="3"/>
  <c r="U417" i="3"/>
  <c r="S417" i="3"/>
  <c r="G417" i="3"/>
  <c r="F417" i="3"/>
  <c r="D417" i="3"/>
  <c r="C417" i="3"/>
  <c r="AF416" i="3"/>
  <c r="AE416" i="3"/>
  <c r="AD416" i="3"/>
  <c r="AC416" i="3"/>
  <c r="AB416" i="3"/>
  <c r="AA416" i="3"/>
  <c r="Z416" i="3"/>
  <c r="Y416" i="3"/>
  <c r="X416" i="3"/>
  <c r="W416" i="3"/>
  <c r="V416" i="3"/>
  <c r="U416" i="3"/>
  <c r="S416" i="3"/>
  <c r="G416" i="3"/>
  <c r="F416" i="3"/>
  <c r="D416" i="3"/>
  <c r="C416" i="3"/>
  <c r="AF415" i="3"/>
  <c r="AE415" i="3"/>
  <c r="AD415" i="3"/>
  <c r="AC415" i="3"/>
  <c r="AB415" i="3"/>
  <c r="AA415" i="3"/>
  <c r="Z415" i="3"/>
  <c r="Y415" i="3"/>
  <c r="X415" i="3"/>
  <c r="W415" i="3"/>
  <c r="V415" i="3"/>
  <c r="U415" i="3"/>
  <c r="S415" i="3"/>
  <c r="G415" i="3"/>
  <c r="F415" i="3"/>
  <c r="D415" i="3"/>
  <c r="C415" i="3"/>
  <c r="AF414" i="3"/>
  <c r="AE414" i="3"/>
  <c r="AD414" i="3"/>
  <c r="AC414" i="3"/>
  <c r="AB414" i="3"/>
  <c r="AA414" i="3"/>
  <c r="Z414" i="3"/>
  <c r="Y414" i="3"/>
  <c r="X414" i="3"/>
  <c r="W414" i="3"/>
  <c r="V414" i="3"/>
  <c r="U414" i="3"/>
  <c r="S414" i="3"/>
  <c r="G414" i="3"/>
  <c r="F414" i="3"/>
  <c r="D414" i="3"/>
  <c r="C414" i="3"/>
  <c r="AF413" i="3"/>
  <c r="AE413" i="3"/>
  <c r="AD413" i="3"/>
  <c r="AC413" i="3"/>
  <c r="AB413" i="3"/>
  <c r="AA413" i="3"/>
  <c r="Z413" i="3"/>
  <c r="Y413" i="3"/>
  <c r="X413" i="3"/>
  <c r="W413" i="3"/>
  <c r="V413" i="3"/>
  <c r="U413" i="3"/>
  <c r="S413" i="3"/>
  <c r="G413" i="3"/>
  <c r="F413" i="3"/>
  <c r="D413" i="3"/>
  <c r="C413" i="3"/>
  <c r="AF412" i="3"/>
  <c r="AE412" i="3"/>
  <c r="AD412" i="3"/>
  <c r="AC412" i="3"/>
  <c r="AB412" i="3"/>
  <c r="AA412" i="3"/>
  <c r="Z412" i="3"/>
  <c r="Y412" i="3"/>
  <c r="X412" i="3"/>
  <c r="W412" i="3"/>
  <c r="V412" i="3"/>
  <c r="U412" i="3"/>
  <c r="S412" i="3"/>
  <c r="G412" i="3"/>
  <c r="F412" i="3"/>
  <c r="D412" i="3"/>
  <c r="C412" i="3"/>
  <c r="AF411" i="3"/>
  <c r="AE411" i="3"/>
  <c r="AD411" i="3"/>
  <c r="AC411" i="3"/>
  <c r="AB411" i="3"/>
  <c r="AA411" i="3"/>
  <c r="Z411" i="3"/>
  <c r="Y411" i="3"/>
  <c r="X411" i="3"/>
  <c r="W411" i="3"/>
  <c r="V411" i="3"/>
  <c r="U411" i="3"/>
  <c r="S411" i="3"/>
  <c r="G411" i="3"/>
  <c r="F411" i="3"/>
  <c r="D411" i="3"/>
  <c r="C411" i="3"/>
  <c r="AF410" i="3"/>
  <c r="AE410" i="3"/>
  <c r="AD410" i="3"/>
  <c r="AC410" i="3"/>
  <c r="AB410" i="3"/>
  <c r="AA410" i="3"/>
  <c r="Z410" i="3"/>
  <c r="Y410" i="3"/>
  <c r="X410" i="3"/>
  <c r="W410" i="3"/>
  <c r="V410" i="3"/>
  <c r="U410" i="3"/>
  <c r="S410" i="3"/>
  <c r="G410" i="3"/>
  <c r="F410" i="3"/>
  <c r="D410" i="3"/>
  <c r="C410" i="3"/>
  <c r="AF409" i="3"/>
  <c r="AE409" i="3"/>
  <c r="AD409" i="3"/>
  <c r="AC409" i="3"/>
  <c r="AB409" i="3"/>
  <c r="AA409" i="3"/>
  <c r="Z409" i="3"/>
  <c r="Y409" i="3"/>
  <c r="X409" i="3"/>
  <c r="W409" i="3"/>
  <c r="V409" i="3"/>
  <c r="U409" i="3"/>
  <c r="S409" i="3"/>
  <c r="G409" i="3"/>
  <c r="F409" i="3"/>
  <c r="D409" i="3"/>
  <c r="C409" i="3"/>
  <c r="AF408" i="3"/>
  <c r="AE408" i="3"/>
  <c r="AD408" i="3"/>
  <c r="AC408" i="3"/>
  <c r="AB408" i="3"/>
  <c r="AA408" i="3"/>
  <c r="Z408" i="3"/>
  <c r="Y408" i="3"/>
  <c r="X408" i="3"/>
  <c r="W408" i="3"/>
  <c r="V408" i="3"/>
  <c r="U408" i="3"/>
  <c r="S408" i="3"/>
  <c r="G408" i="3"/>
  <c r="F408" i="3"/>
  <c r="D408" i="3"/>
  <c r="C408" i="3"/>
  <c r="AF407" i="3"/>
  <c r="AE407" i="3"/>
  <c r="AD407" i="3"/>
  <c r="AC407" i="3"/>
  <c r="AB407" i="3"/>
  <c r="AA407" i="3"/>
  <c r="Z407" i="3"/>
  <c r="Y407" i="3"/>
  <c r="X407" i="3"/>
  <c r="W407" i="3"/>
  <c r="V407" i="3"/>
  <c r="U407" i="3"/>
  <c r="S407" i="3"/>
  <c r="G407" i="3"/>
  <c r="F407" i="3"/>
  <c r="D407" i="3"/>
  <c r="C407" i="3"/>
  <c r="AF406" i="3"/>
  <c r="AE406" i="3"/>
  <c r="AD406" i="3"/>
  <c r="AC406" i="3"/>
  <c r="AB406" i="3"/>
  <c r="AA406" i="3"/>
  <c r="Z406" i="3"/>
  <c r="Y406" i="3"/>
  <c r="X406" i="3"/>
  <c r="W406" i="3"/>
  <c r="V406" i="3"/>
  <c r="U406" i="3"/>
  <c r="S406" i="3"/>
  <c r="G406" i="3"/>
  <c r="F406" i="3"/>
  <c r="D406" i="3"/>
  <c r="C406" i="3"/>
  <c r="AF405" i="3"/>
  <c r="AE405" i="3"/>
  <c r="AD405" i="3"/>
  <c r="AC405" i="3"/>
  <c r="AB405" i="3"/>
  <c r="AA405" i="3"/>
  <c r="Z405" i="3"/>
  <c r="Y405" i="3"/>
  <c r="X405" i="3"/>
  <c r="W405" i="3"/>
  <c r="V405" i="3"/>
  <c r="U405" i="3"/>
  <c r="S405" i="3"/>
  <c r="G405" i="3"/>
  <c r="F405" i="3"/>
  <c r="D405" i="3"/>
  <c r="C405" i="3"/>
  <c r="AF404" i="3"/>
  <c r="AE404" i="3"/>
  <c r="AD404" i="3"/>
  <c r="AC404" i="3"/>
  <c r="AB404" i="3"/>
  <c r="AA404" i="3"/>
  <c r="Z404" i="3"/>
  <c r="Y404" i="3"/>
  <c r="X404" i="3"/>
  <c r="W404" i="3"/>
  <c r="V404" i="3"/>
  <c r="U404" i="3"/>
  <c r="S404" i="3"/>
  <c r="G404" i="3"/>
  <c r="F404" i="3"/>
  <c r="D404" i="3"/>
  <c r="C404" i="3"/>
  <c r="AF403" i="3"/>
  <c r="AE403" i="3"/>
  <c r="AD403" i="3"/>
  <c r="AC403" i="3"/>
  <c r="AB403" i="3"/>
  <c r="AA403" i="3"/>
  <c r="Z403" i="3"/>
  <c r="Y403" i="3"/>
  <c r="X403" i="3"/>
  <c r="W403" i="3"/>
  <c r="V403" i="3"/>
  <c r="U403" i="3"/>
  <c r="S403" i="3"/>
  <c r="G403" i="3"/>
  <c r="F403" i="3"/>
  <c r="D403" i="3"/>
  <c r="C403" i="3"/>
  <c r="AF402" i="3"/>
  <c r="AE402" i="3"/>
  <c r="AD402" i="3"/>
  <c r="AC402" i="3"/>
  <c r="AB402" i="3"/>
  <c r="AA402" i="3"/>
  <c r="Z402" i="3"/>
  <c r="Y402" i="3"/>
  <c r="X402" i="3"/>
  <c r="W402" i="3"/>
  <c r="V402" i="3"/>
  <c r="U402" i="3"/>
  <c r="S402" i="3"/>
  <c r="G402" i="3"/>
  <c r="F402" i="3"/>
  <c r="D402" i="3"/>
  <c r="C402" i="3"/>
  <c r="AF401" i="3"/>
  <c r="AE401" i="3"/>
  <c r="AD401" i="3"/>
  <c r="AC401" i="3"/>
  <c r="AB401" i="3"/>
  <c r="AA401" i="3"/>
  <c r="Z401" i="3"/>
  <c r="Y401" i="3"/>
  <c r="X401" i="3"/>
  <c r="W401" i="3"/>
  <c r="V401" i="3"/>
  <c r="U401" i="3"/>
  <c r="S401" i="3"/>
  <c r="G401" i="3"/>
  <c r="F401" i="3"/>
  <c r="D401" i="3"/>
  <c r="C401" i="3"/>
  <c r="AF400" i="3"/>
  <c r="AE400" i="3"/>
  <c r="AD400" i="3"/>
  <c r="AC400" i="3"/>
  <c r="AB400" i="3"/>
  <c r="AA400" i="3"/>
  <c r="Z400" i="3"/>
  <c r="Y400" i="3"/>
  <c r="X400" i="3"/>
  <c r="W400" i="3"/>
  <c r="V400" i="3"/>
  <c r="U400" i="3"/>
  <c r="S400" i="3"/>
  <c r="G400" i="3"/>
  <c r="F400" i="3"/>
  <c r="D400" i="3"/>
  <c r="C400" i="3"/>
  <c r="AF399" i="3"/>
  <c r="AE399" i="3"/>
  <c r="AD399" i="3"/>
  <c r="AC399" i="3"/>
  <c r="AB399" i="3"/>
  <c r="AA399" i="3"/>
  <c r="Z399" i="3"/>
  <c r="Y399" i="3"/>
  <c r="X399" i="3"/>
  <c r="W399" i="3"/>
  <c r="V399" i="3"/>
  <c r="U399" i="3"/>
  <c r="S399" i="3"/>
  <c r="G399" i="3"/>
  <c r="F399" i="3"/>
  <c r="D399" i="3"/>
  <c r="C399" i="3"/>
  <c r="AF398" i="3"/>
  <c r="AE398" i="3"/>
  <c r="AD398" i="3"/>
  <c r="AC398" i="3"/>
  <c r="AB398" i="3"/>
  <c r="AA398" i="3"/>
  <c r="Z398" i="3"/>
  <c r="Y398" i="3"/>
  <c r="X398" i="3"/>
  <c r="W398" i="3"/>
  <c r="V398" i="3"/>
  <c r="U398" i="3"/>
  <c r="S398" i="3"/>
  <c r="G398" i="3"/>
  <c r="F398" i="3"/>
  <c r="D398" i="3"/>
  <c r="C398" i="3"/>
  <c r="AF397" i="3"/>
  <c r="AE397" i="3"/>
  <c r="AD397" i="3"/>
  <c r="AC397" i="3"/>
  <c r="AB397" i="3"/>
  <c r="AA397" i="3"/>
  <c r="Z397" i="3"/>
  <c r="Y397" i="3"/>
  <c r="X397" i="3"/>
  <c r="W397" i="3"/>
  <c r="V397" i="3"/>
  <c r="U397" i="3"/>
  <c r="S397" i="3"/>
  <c r="G397" i="3"/>
  <c r="F397" i="3"/>
  <c r="D397" i="3"/>
  <c r="C397" i="3"/>
  <c r="AF396" i="3"/>
  <c r="AE396" i="3"/>
  <c r="AD396" i="3"/>
  <c r="AC396" i="3"/>
  <c r="AB396" i="3"/>
  <c r="AA396" i="3"/>
  <c r="Z396" i="3"/>
  <c r="Y396" i="3"/>
  <c r="X396" i="3"/>
  <c r="W396" i="3"/>
  <c r="V396" i="3"/>
  <c r="U396" i="3"/>
  <c r="S396" i="3"/>
  <c r="G396" i="3"/>
  <c r="F396" i="3"/>
  <c r="D396" i="3"/>
  <c r="C396" i="3"/>
  <c r="AF395" i="3"/>
  <c r="AE395" i="3"/>
  <c r="AD395" i="3"/>
  <c r="AC395" i="3"/>
  <c r="AB395" i="3"/>
  <c r="AA395" i="3"/>
  <c r="Z395" i="3"/>
  <c r="Y395" i="3"/>
  <c r="X395" i="3"/>
  <c r="W395" i="3"/>
  <c r="V395" i="3"/>
  <c r="U395" i="3"/>
  <c r="S395" i="3"/>
  <c r="G395" i="3"/>
  <c r="F395" i="3"/>
  <c r="D395" i="3"/>
  <c r="C395" i="3"/>
  <c r="AF394" i="3"/>
  <c r="AE394" i="3"/>
  <c r="AD394" i="3"/>
  <c r="AC394" i="3"/>
  <c r="AB394" i="3"/>
  <c r="AA394" i="3"/>
  <c r="Z394" i="3"/>
  <c r="Y394" i="3"/>
  <c r="X394" i="3"/>
  <c r="W394" i="3"/>
  <c r="V394" i="3"/>
  <c r="U394" i="3"/>
  <c r="S394" i="3"/>
  <c r="G394" i="3"/>
  <c r="F394" i="3"/>
  <c r="D394" i="3"/>
  <c r="C394" i="3"/>
  <c r="AF393" i="3"/>
  <c r="AE393" i="3"/>
  <c r="AD393" i="3"/>
  <c r="AC393" i="3"/>
  <c r="AB393" i="3"/>
  <c r="AA393" i="3"/>
  <c r="Z393" i="3"/>
  <c r="Y393" i="3"/>
  <c r="X393" i="3"/>
  <c r="W393" i="3"/>
  <c r="V393" i="3"/>
  <c r="U393" i="3"/>
  <c r="S393" i="3"/>
  <c r="G393" i="3"/>
  <c r="F393" i="3"/>
  <c r="D393" i="3"/>
  <c r="C393" i="3"/>
  <c r="AF392" i="3"/>
  <c r="AE392" i="3"/>
  <c r="AD392" i="3"/>
  <c r="AC392" i="3"/>
  <c r="AB392" i="3"/>
  <c r="AA392" i="3"/>
  <c r="Z392" i="3"/>
  <c r="Y392" i="3"/>
  <c r="X392" i="3"/>
  <c r="W392" i="3"/>
  <c r="V392" i="3"/>
  <c r="U392" i="3"/>
  <c r="S392" i="3"/>
  <c r="G392" i="3"/>
  <c r="F392" i="3"/>
  <c r="D392" i="3"/>
  <c r="C392" i="3"/>
  <c r="AF391" i="3"/>
  <c r="AE391" i="3"/>
  <c r="AD391" i="3"/>
  <c r="AC391" i="3"/>
  <c r="AB391" i="3"/>
  <c r="AA391" i="3"/>
  <c r="Z391" i="3"/>
  <c r="Y391" i="3"/>
  <c r="X391" i="3"/>
  <c r="W391" i="3"/>
  <c r="V391" i="3"/>
  <c r="U391" i="3"/>
  <c r="S391" i="3"/>
  <c r="G391" i="3"/>
  <c r="F391" i="3"/>
  <c r="D391" i="3"/>
  <c r="C391" i="3"/>
  <c r="AF390" i="3"/>
  <c r="AE390" i="3"/>
  <c r="AD390" i="3"/>
  <c r="AC390" i="3"/>
  <c r="AB390" i="3"/>
  <c r="AA390" i="3"/>
  <c r="Z390" i="3"/>
  <c r="Y390" i="3"/>
  <c r="X390" i="3"/>
  <c r="W390" i="3"/>
  <c r="V390" i="3"/>
  <c r="U390" i="3"/>
  <c r="S390" i="3"/>
  <c r="G390" i="3"/>
  <c r="F390" i="3"/>
  <c r="D390" i="3"/>
  <c r="C390" i="3"/>
  <c r="AF389" i="3"/>
  <c r="AE389" i="3"/>
  <c r="AD389" i="3"/>
  <c r="AC389" i="3"/>
  <c r="AB389" i="3"/>
  <c r="AA389" i="3"/>
  <c r="Z389" i="3"/>
  <c r="Y389" i="3"/>
  <c r="X389" i="3"/>
  <c r="W389" i="3"/>
  <c r="V389" i="3"/>
  <c r="U389" i="3"/>
  <c r="S389" i="3"/>
  <c r="G389" i="3"/>
  <c r="F389" i="3"/>
  <c r="D389" i="3"/>
  <c r="C389" i="3"/>
  <c r="AF388" i="3"/>
  <c r="AE388" i="3"/>
  <c r="AD388" i="3"/>
  <c r="AC388" i="3"/>
  <c r="AB388" i="3"/>
  <c r="AA388" i="3"/>
  <c r="Z388" i="3"/>
  <c r="Y388" i="3"/>
  <c r="X388" i="3"/>
  <c r="W388" i="3"/>
  <c r="V388" i="3"/>
  <c r="U388" i="3"/>
  <c r="S388" i="3"/>
  <c r="G388" i="3"/>
  <c r="F388" i="3"/>
  <c r="D388" i="3"/>
  <c r="C388" i="3"/>
  <c r="AF387" i="3"/>
  <c r="AE387" i="3"/>
  <c r="AD387" i="3"/>
  <c r="AC387" i="3"/>
  <c r="AB387" i="3"/>
  <c r="AA387" i="3"/>
  <c r="Z387" i="3"/>
  <c r="Y387" i="3"/>
  <c r="X387" i="3"/>
  <c r="W387" i="3"/>
  <c r="V387" i="3"/>
  <c r="U387" i="3"/>
  <c r="S387" i="3"/>
  <c r="G387" i="3"/>
  <c r="F387" i="3"/>
  <c r="D387" i="3"/>
  <c r="C387" i="3"/>
  <c r="AF386" i="3"/>
  <c r="AE386" i="3"/>
  <c r="AD386" i="3"/>
  <c r="AC386" i="3"/>
  <c r="AB386" i="3"/>
  <c r="AA386" i="3"/>
  <c r="Z386" i="3"/>
  <c r="Y386" i="3"/>
  <c r="X386" i="3"/>
  <c r="W386" i="3"/>
  <c r="V386" i="3"/>
  <c r="U386" i="3"/>
  <c r="S386" i="3"/>
  <c r="G386" i="3"/>
  <c r="F386" i="3"/>
  <c r="D386" i="3"/>
  <c r="C386" i="3"/>
  <c r="AF385" i="3"/>
  <c r="AE385" i="3"/>
  <c r="AD385" i="3"/>
  <c r="AC385" i="3"/>
  <c r="AB385" i="3"/>
  <c r="AA385" i="3"/>
  <c r="Z385" i="3"/>
  <c r="Y385" i="3"/>
  <c r="X385" i="3"/>
  <c r="W385" i="3"/>
  <c r="V385" i="3"/>
  <c r="U385" i="3"/>
  <c r="S385" i="3"/>
  <c r="G385" i="3"/>
  <c r="F385" i="3"/>
  <c r="D385" i="3"/>
  <c r="C385" i="3"/>
  <c r="AF384" i="3"/>
  <c r="AE384" i="3"/>
  <c r="AD384" i="3"/>
  <c r="AC384" i="3"/>
  <c r="AB384" i="3"/>
  <c r="AA384" i="3"/>
  <c r="Z384" i="3"/>
  <c r="Y384" i="3"/>
  <c r="X384" i="3"/>
  <c r="W384" i="3"/>
  <c r="V384" i="3"/>
  <c r="U384" i="3"/>
  <c r="S384" i="3"/>
  <c r="G384" i="3"/>
  <c r="F384" i="3"/>
  <c r="D384" i="3"/>
  <c r="C384" i="3"/>
  <c r="AF383" i="3"/>
  <c r="AE383" i="3"/>
  <c r="AD383" i="3"/>
  <c r="AC383" i="3"/>
  <c r="AB383" i="3"/>
  <c r="AA383" i="3"/>
  <c r="Z383" i="3"/>
  <c r="Y383" i="3"/>
  <c r="X383" i="3"/>
  <c r="W383" i="3"/>
  <c r="V383" i="3"/>
  <c r="U383" i="3"/>
  <c r="S383" i="3"/>
  <c r="G383" i="3"/>
  <c r="F383" i="3"/>
  <c r="D383" i="3"/>
  <c r="C383" i="3"/>
  <c r="AF382" i="3"/>
  <c r="AE382" i="3"/>
  <c r="AD382" i="3"/>
  <c r="AC382" i="3"/>
  <c r="AB382" i="3"/>
  <c r="AA382" i="3"/>
  <c r="Z382" i="3"/>
  <c r="Y382" i="3"/>
  <c r="X382" i="3"/>
  <c r="W382" i="3"/>
  <c r="V382" i="3"/>
  <c r="U382" i="3"/>
  <c r="S382" i="3"/>
  <c r="G382" i="3"/>
  <c r="F382" i="3"/>
  <c r="D382" i="3"/>
  <c r="C382" i="3"/>
  <c r="AF381" i="3"/>
  <c r="AE381" i="3"/>
  <c r="AD381" i="3"/>
  <c r="AC381" i="3"/>
  <c r="AB381" i="3"/>
  <c r="AA381" i="3"/>
  <c r="Z381" i="3"/>
  <c r="Y381" i="3"/>
  <c r="X381" i="3"/>
  <c r="W381" i="3"/>
  <c r="V381" i="3"/>
  <c r="U381" i="3"/>
  <c r="S381" i="3"/>
  <c r="G381" i="3"/>
  <c r="F381" i="3"/>
  <c r="D381" i="3"/>
  <c r="C381" i="3"/>
  <c r="AF380" i="3"/>
  <c r="AE380" i="3"/>
  <c r="AD380" i="3"/>
  <c r="AC380" i="3"/>
  <c r="AB380" i="3"/>
  <c r="AA380" i="3"/>
  <c r="Z380" i="3"/>
  <c r="Y380" i="3"/>
  <c r="X380" i="3"/>
  <c r="W380" i="3"/>
  <c r="V380" i="3"/>
  <c r="U380" i="3"/>
  <c r="S380" i="3"/>
  <c r="G380" i="3"/>
  <c r="F380" i="3"/>
  <c r="D380" i="3"/>
  <c r="C380" i="3"/>
  <c r="AF379" i="3"/>
  <c r="AE379" i="3"/>
  <c r="AD379" i="3"/>
  <c r="AC379" i="3"/>
  <c r="AB379" i="3"/>
  <c r="AA379" i="3"/>
  <c r="Z379" i="3"/>
  <c r="Y379" i="3"/>
  <c r="X379" i="3"/>
  <c r="W379" i="3"/>
  <c r="V379" i="3"/>
  <c r="U379" i="3"/>
  <c r="S379" i="3"/>
  <c r="G379" i="3"/>
  <c r="F379" i="3"/>
  <c r="D379" i="3"/>
  <c r="C379" i="3"/>
  <c r="AF378" i="3"/>
  <c r="AE378" i="3"/>
  <c r="AD378" i="3"/>
  <c r="AC378" i="3"/>
  <c r="AB378" i="3"/>
  <c r="AA378" i="3"/>
  <c r="Z378" i="3"/>
  <c r="Y378" i="3"/>
  <c r="X378" i="3"/>
  <c r="W378" i="3"/>
  <c r="V378" i="3"/>
  <c r="U378" i="3"/>
  <c r="S378" i="3"/>
  <c r="G378" i="3"/>
  <c r="F378" i="3"/>
  <c r="D378" i="3"/>
  <c r="C378" i="3"/>
  <c r="AF377" i="3"/>
  <c r="AE377" i="3"/>
  <c r="AD377" i="3"/>
  <c r="AC377" i="3"/>
  <c r="AB377" i="3"/>
  <c r="AA377" i="3"/>
  <c r="Z377" i="3"/>
  <c r="Y377" i="3"/>
  <c r="X377" i="3"/>
  <c r="W377" i="3"/>
  <c r="V377" i="3"/>
  <c r="U377" i="3"/>
  <c r="S377" i="3"/>
  <c r="G377" i="3"/>
  <c r="F377" i="3"/>
  <c r="D377" i="3"/>
  <c r="C377" i="3"/>
  <c r="AF376" i="3"/>
  <c r="AE376" i="3"/>
  <c r="AD376" i="3"/>
  <c r="AC376" i="3"/>
  <c r="AB376" i="3"/>
  <c r="AA376" i="3"/>
  <c r="Z376" i="3"/>
  <c r="Y376" i="3"/>
  <c r="X376" i="3"/>
  <c r="W376" i="3"/>
  <c r="V376" i="3"/>
  <c r="U376" i="3"/>
  <c r="S376" i="3"/>
  <c r="G376" i="3"/>
  <c r="F376" i="3"/>
  <c r="D376" i="3"/>
  <c r="C376" i="3"/>
  <c r="AF375" i="3"/>
  <c r="AE375" i="3"/>
  <c r="AD375" i="3"/>
  <c r="AC375" i="3"/>
  <c r="AB375" i="3"/>
  <c r="AA375" i="3"/>
  <c r="Z375" i="3"/>
  <c r="Y375" i="3"/>
  <c r="X375" i="3"/>
  <c r="W375" i="3"/>
  <c r="V375" i="3"/>
  <c r="U375" i="3"/>
  <c r="S375" i="3"/>
  <c r="G375" i="3"/>
  <c r="F375" i="3"/>
  <c r="D375" i="3"/>
  <c r="C375" i="3"/>
  <c r="AF374" i="3"/>
  <c r="AE374" i="3"/>
  <c r="AD374" i="3"/>
  <c r="AC374" i="3"/>
  <c r="AB374" i="3"/>
  <c r="AA374" i="3"/>
  <c r="Z374" i="3"/>
  <c r="Y374" i="3"/>
  <c r="X374" i="3"/>
  <c r="W374" i="3"/>
  <c r="V374" i="3"/>
  <c r="U374" i="3"/>
  <c r="S374" i="3"/>
  <c r="G374" i="3"/>
  <c r="F374" i="3"/>
  <c r="D374" i="3"/>
  <c r="C374" i="3"/>
  <c r="AF373" i="3"/>
  <c r="AE373" i="3"/>
  <c r="AD373" i="3"/>
  <c r="AC373" i="3"/>
  <c r="AB373" i="3"/>
  <c r="AA373" i="3"/>
  <c r="Z373" i="3"/>
  <c r="Y373" i="3"/>
  <c r="X373" i="3"/>
  <c r="W373" i="3"/>
  <c r="V373" i="3"/>
  <c r="U373" i="3"/>
  <c r="S373" i="3"/>
  <c r="G373" i="3"/>
  <c r="F373" i="3"/>
  <c r="D373" i="3"/>
  <c r="C373" i="3"/>
  <c r="AF372" i="3"/>
  <c r="AE372" i="3"/>
  <c r="AD372" i="3"/>
  <c r="AC372" i="3"/>
  <c r="AB372" i="3"/>
  <c r="AA372" i="3"/>
  <c r="Z372" i="3"/>
  <c r="Y372" i="3"/>
  <c r="X372" i="3"/>
  <c r="W372" i="3"/>
  <c r="V372" i="3"/>
  <c r="U372" i="3"/>
  <c r="S372" i="3"/>
  <c r="G372" i="3"/>
  <c r="F372" i="3"/>
  <c r="D372" i="3"/>
  <c r="C372" i="3"/>
  <c r="AF371" i="3"/>
  <c r="AE371" i="3"/>
  <c r="AD371" i="3"/>
  <c r="AC371" i="3"/>
  <c r="AB371" i="3"/>
  <c r="AA371" i="3"/>
  <c r="Z371" i="3"/>
  <c r="Y371" i="3"/>
  <c r="X371" i="3"/>
  <c r="W371" i="3"/>
  <c r="V371" i="3"/>
  <c r="U371" i="3"/>
  <c r="S371" i="3"/>
  <c r="G371" i="3"/>
  <c r="F371" i="3"/>
  <c r="D371" i="3"/>
  <c r="C371" i="3"/>
  <c r="AF370" i="3"/>
  <c r="AE370" i="3"/>
  <c r="AD370" i="3"/>
  <c r="AC370" i="3"/>
  <c r="AB370" i="3"/>
  <c r="AA370" i="3"/>
  <c r="Z370" i="3"/>
  <c r="Y370" i="3"/>
  <c r="X370" i="3"/>
  <c r="W370" i="3"/>
  <c r="V370" i="3"/>
  <c r="U370" i="3"/>
  <c r="S370" i="3"/>
  <c r="G370" i="3"/>
  <c r="F370" i="3"/>
  <c r="D370" i="3"/>
  <c r="C370" i="3"/>
  <c r="AF369" i="3"/>
  <c r="AE369" i="3"/>
  <c r="AD369" i="3"/>
  <c r="AC369" i="3"/>
  <c r="AB369" i="3"/>
  <c r="AA369" i="3"/>
  <c r="Z369" i="3"/>
  <c r="Y369" i="3"/>
  <c r="X369" i="3"/>
  <c r="W369" i="3"/>
  <c r="V369" i="3"/>
  <c r="U369" i="3"/>
  <c r="S369" i="3"/>
  <c r="G369" i="3"/>
  <c r="F369" i="3"/>
  <c r="D369" i="3"/>
  <c r="C369" i="3"/>
  <c r="AF368" i="3"/>
  <c r="AE368" i="3"/>
  <c r="AD368" i="3"/>
  <c r="AC368" i="3"/>
  <c r="AB368" i="3"/>
  <c r="AA368" i="3"/>
  <c r="Z368" i="3"/>
  <c r="Y368" i="3"/>
  <c r="X368" i="3"/>
  <c r="W368" i="3"/>
  <c r="V368" i="3"/>
  <c r="U368" i="3"/>
  <c r="S368" i="3"/>
  <c r="G368" i="3"/>
  <c r="F368" i="3"/>
  <c r="D368" i="3"/>
  <c r="C368" i="3"/>
  <c r="AF367" i="3"/>
  <c r="AE367" i="3"/>
  <c r="AD367" i="3"/>
  <c r="AC367" i="3"/>
  <c r="AB367" i="3"/>
  <c r="AA367" i="3"/>
  <c r="Z367" i="3"/>
  <c r="Y367" i="3"/>
  <c r="X367" i="3"/>
  <c r="W367" i="3"/>
  <c r="V367" i="3"/>
  <c r="U367" i="3"/>
  <c r="S367" i="3"/>
  <c r="G367" i="3"/>
  <c r="F367" i="3"/>
  <c r="D367" i="3"/>
  <c r="C367" i="3"/>
  <c r="AF366" i="3"/>
  <c r="AE366" i="3"/>
  <c r="AD366" i="3"/>
  <c r="AC366" i="3"/>
  <c r="AB366" i="3"/>
  <c r="AA366" i="3"/>
  <c r="Z366" i="3"/>
  <c r="Y366" i="3"/>
  <c r="X366" i="3"/>
  <c r="W366" i="3"/>
  <c r="V366" i="3"/>
  <c r="U366" i="3"/>
  <c r="S366" i="3"/>
  <c r="G366" i="3"/>
  <c r="F366" i="3"/>
  <c r="D366" i="3"/>
  <c r="C366" i="3"/>
  <c r="AF365" i="3"/>
  <c r="AE365" i="3"/>
  <c r="AD365" i="3"/>
  <c r="AC365" i="3"/>
  <c r="AB365" i="3"/>
  <c r="AA365" i="3"/>
  <c r="Z365" i="3"/>
  <c r="Y365" i="3"/>
  <c r="X365" i="3"/>
  <c r="W365" i="3"/>
  <c r="V365" i="3"/>
  <c r="U365" i="3"/>
  <c r="S365" i="3"/>
  <c r="G365" i="3"/>
  <c r="F365" i="3"/>
  <c r="D365" i="3"/>
  <c r="C365" i="3"/>
  <c r="AF364" i="3"/>
  <c r="AE364" i="3"/>
  <c r="AD364" i="3"/>
  <c r="AC364" i="3"/>
  <c r="AB364" i="3"/>
  <c r="AA364" i="3"/>
  <c r="Z364" i="3"/>
  <c r="Y364" i="3"/>
  <c r="X364" i="3"/>
  <c r="W364" i="3"/>
  <c r="V364" i="3"/>
  <c r="U364" i="3"/>
  <c r="S364" i="3"/>
  <c r="G364" i="3"/>
  <c r="F364" i="3"/>
  <c r="D364" i="3"/>
  <c r="C364" i="3"/>
  <c r="AF363" i="3"/>
  <c r="AE363" i="3"/>
  <c r="AD363" i="3"/>
  <c r="AC363" i="3"/>
  <c r="AB363" i="3"/>
  <c r="AA363" i="3"/>
  <c r="Z363" i="3"/>
  <c r="Y363" i="3"/>
  <c r="X363" i="3"/>
  <c r="W363" i="3"/>
  <c r="V363" i="3"/>
  <c r="U363" i="3"/>
  <c r="S363" i="3"/>
  <c r="G363" i="3"/>
  <c r="F363" i="3"/>
  <c r="D363" i="3"/>
  <c r="C363" i="3"/>
  <c r="AF362" i="3"/>
  <c r="AE362" i="3"/>
  <c r="AD362" i="3"/>
  <c r="AC362" i="3"/>
  <c r="AB362" i="3"/>
  <c r="AA362" i="3"/>
  <c r="Z362" i="3"/>
  <c r="Y362" i="3"/>
  <c r="X362" i="3"/>
  <c r="W362" i="3"/>
  <c r="V362" i="3"/>
  <c r="U362" i="3"/>
  <c r="S362" i="3"/>
  <c r="G362" i="3"/>
  <c r="F362" i="3"/>
  <c r="D362" i="3"/>
  <c r="C362" i="3"/>
  <c r="AF361" i="3"/>
  <c r="AE361" i="3"/>
  <c r="AD361" i="3"/>
  <c r="AC361" i="3"/>
  <c r="AB361" i="3"/>
  <c r="AA361" i="3"/>
  <c r="Z361" i="3"/>
  <c r="Y361" i="3"/>
  <c r="X361" i="3"/>
  <c r="W361" i="3"/>
  <c r="V361" i="3"/>
  <c r="U361" i="3"/>
  <c r="S361" i="3"/>
  <c r="G361" i="3"/>
  <c r="F361" i="3"/>
  <c r="D361" i="3"/>
  <c r="C361" i="3"/>
  <c r="AF360" i="3"/>
  <c r="AE360" i="3"/>
  <c r="AD360" i="3"/>
  <c r="AC360" i="3"/>
  <c r="AB360" i="3"/>
  <c r="AA360" i="3"/>
  <c r="Z360" i="3"/>
  <c r="Y360" i="3"/>
  <c r="X360" i="3"/>
  <c r="W360" i="3"/>
  <c r="V360" i="3"/>
  <c r="U360" i="3"/>
  <c r="S360" i="3"/>
  <c r="G360" i="3"/>
  <c r="F360" i="3"/>
  <c r="D360" i="3"/>
  <c r="C360" i="3"/>
  <c r="AF359" i="3"/>
  <c r="AE359" i="3"/>
  <c r="AD359" i="3"/>
  <c r="AC359" i="3"/>
  <c r="AB359" i="3"/>
  <c r="AA359" i="3"/>
  <c r="Z359" i="3"/>
  <c r="Y359" i="3"/>
  <c r="X359" i="3"/>
  <c r="W359" i="3"/>
  <c r="V359" i="3"/>
  <c r="U359" i="3"/>
  <c r="S359" i="3"/>
  <c r="G359" i="3"/>
  <c r="F359" i="3"/>
  <c r="D359" i="3"/>
  <c r="C359" i="3"/>
  <c r="AF358" i="3"/>
  <c r="AE358" i="3"/>
  <c r="AD358" i="3"/>
  <c r="AC358" i="3"/>
  <c r="AB358" i="3"/>
  <c r="AA358" i="3"/>
  <c r="Z358" i="3"/>
  <c r="Y358" i="3"/>
  <c r="X358" i="3"/>
  <c r="W358" i="3"/>
  <c r="V358" i="3"/>
  <c r="U358" i="3"/>
  <c r="S358" i="3"/>
  <c r="G358" i="3"/>
  <c r="F358" i="3"/>
  <c r="D358" i="3"/>
  <c r="C358" i="3"/>
  <c r="AF357" i="3"/>
  <c r="AE357" i="3"/>
  <c r="AD357" i="3"/>
  <c r="AC357" i="3"/>
  <c r="AB357" i="3"/>
  <c r="AA357" i="3"/>
  <c r="Z357" i="3"/>
  <c r="Y357" i="3"/>
  <c r="X357" i="3"/>
  <c r="W357" i="3"/>
  <c r="V357" i="3"/>
  <c r="U357" i="3"/>
  <c r="S357" i="3"/>
  <c r="G357" i="3"/>
  <c r="F357" i="3"/>
  <c r="D357" i="3"/>
  <c r="C357" i="3"/>
  <c r="AF356" i="3"/>
  <c r="AE356" i="3"/>
  <c r="AD356" i="3"/>
  <c r="AC356" i="3"/>
  <c r="AB356" i="3"/>
  <c r="AA356" i="3"/>
  <c r="Z356" i="3"/>
  <c r="Y356" i="3"/>
  <c r="X356" i="3"/>
  <c r="W356" i="3"/>
  <c r="V356" i="3"/>
  <c r="U356" i="3"/>
  <c r="S356" i="3"/>
  <c r="G356" i="3"/>
  <c r="F356" i="3"/>
  <c r="D356" i="3"/>
  <c r="C356" i="3"/>
  <c r="AF355" i="3"/>
  <c r="AE355" i="3"/>
  <c r="AD355" i="3"/>
  <c r="AC355" i="3"/>
  <c r="AB355" i="3"/>
  <c r="AA355" i="3"/>
  <c r="Z355" i="3"/>
  <c r="Y355" i="3"/>
  <c r="X355" i="3"/>
  <c r="W355" i="3"/>
  <c r="V355" i="3"/>
  <c r="U355" i="3"/>
  <c r="S355" i="3"/>
  <c r="G355" i="3"/>
  <c r="F355" i="3"/>
  <c r="D355" i="3"/>
  <c r="C355" i="3"/>
  <c r="AF354" i="3"/>
  <c r="AE354" i="3"/>
  <c r="AD354" i="3"/>
  <c r="AC354" i="3"/>
  <c r="AB354" i="3"/>
  <c r="AA354" i="3"/>
  <c r="Z354" i="3"/>
  <c r="Y354" i="3"/>
  <c r="X354" i="3"/>
  <c r="W354" i="3"/>
  <c r="V354" i="3"/>
  <c r="U354" i="3"/>
  <c r="S354" i="3"/>
  <c r="G354" i="3"/>
  <c r="F354" i="3"/>
  <c r="D354" i="3"/>
  <c r="C354" i="3"/>
  <c r="AF353" i="3"/>
  <c r="AE353" i="3"/>
  <c r="AD353" i="3"/>
  <c r="AC353" i="3"/>
  <c r="AB353" i="3"/>
  <c r="AA353" i="3"/>
  <c r="Z353" i="3"/>
  <c r="Y353" i="3"/>
  <c r="X353" i="3"/>
  <c r="W353" i="3"/>
  <c r="V353" i="3"/>
  <c r="U353" i="3"/>
  <c r="S353" i="3"/>
  <c r="G353" i="3"/>
  <c r="F353" i="3"/>
  <c r="D353" i="3"/>
  <c r="C353" i="3"/>
  <c r="AF352" i="3"/>
  <c r="AE352" i="3"/>
  <c r="AD352" i="3"/>
  <c r="AC352" i="3"/>
  <c r="AB352" i="3"/>
  <c r="AA352" i="3"/>
  <c r="Z352" i="3"/>
  <c r="Y352" i="3"/>
  <c r="X352" i="3"/>
  <c r="W352" i="3"/>
  <c r="V352" i="3"/>
  <c r="U352" i="3"/>
  <c r="S352" i="3"/>
  <c r="G352" i="3"/>
  <c r="F352" i="3"/>
  <c r="D352" i="3"/>
  <c r="C352" i="3"/>
  <c r="AF351" i="3"/>
  <c r="AE351" i="3"/>
  <c r="AD351" i="3"/>
  <c r="AC351" i="3"/>
  <c r="AB351" i="3"/>
  <c r="AA351" i="3"/>
  <c r="Z351" i="3"/>
  <c r="Y351" i="3"/>
  <c r="X351" i="3"/>
  <c r="W351" i="3"/>
  <c r="V351" i="3"/>
  <c r="U351" i="3"/>
  <c r="S351" i="3"/>
  <c r="G351" i="3"/>
  <c r="F351" i="3"/>
  <c r="D351" i="3"/>
  <c r="C351" i="3"/>
  <c r="AF350" i="3"/>
  <c r="AE350" i="3"/>
  <c r="AD350" i="3"/>
  <c r="AC350" i="3"/>
  <c r="AB350" i="3"/>
  <c r="AA350" i="3"/>
  <c r="Z350" i="3"/>
  <c r="Y350" i="3"/>
  <c r="X350" i="3"/>
  <c r="W350" i="3"/>
  <c r="V350" i="3"/>
  <c r="U350" i="3"/>
  <c r="S350" i="3"/>
  <c r="G350" i="3"/>
  <c r="F350" i="3"/>
  <c r="D350" i="3"/>
  <c r="C350" i="3"/>
  <c r="AF349" i="3"/>
  <c r="AE349" i="3"/>
  <c r="AD349" i="3"/>
  <c r="AC349" i="3"/>
  <c r="AB349" i="3"/>
  <c r="AA349" i="3"/>
  <c r="Z349" i="3"/>
  <c r="Y349" i="3"/>
  <c r="X349" i="3"/>
  <c r="W349" i="3"/>
  <c r="V349" i="3"/>
  <c r="U349" i="3"/>
  <c r="S349" i="3"/>
  <c r="G349" i="3"/>
  <c r="F349" i="3"/>
  <c r="D349" i="3"/>
  <c r="C349" i="3"/>
  <c r="AF348" i="3"/>
  <c r="AE348" i="3"/>
  <c r="AD348" i="3"/>
  <c r="AC348" i="3"/>
  <c r="AB348" i="3"/>
  <c r="AA348" i="3"/>
  <c r="Z348" i="3"/>
  <c r="Y348" i="3"/>
  <c r="X348" i="3"/>
  <c r="W348" i="3"/>
  <c r="V348" i="3"/>
  <c r="U348" i="3"/>
  <c r="S348" i="3"/>
  <c r="G348" i="3"/>
  <c r="F348" i="3"/>
  <c r="D348" i="3"/>
  <c r="C348" i="3"/>
  <c r="AF347" i="3"/>
  <c r="AE347" i="3"/>
  <c r="AD347" i="3"/>
  <c r="AC347" i="3"/>
  <c r="AB347" i="3"/>
  <c r="AA347" i="3"/>
  <c r="Z347" i="3"/>
  <c r="Y347" i="3"/>
  <c r="X347" i="3"/>
  <c r="W347" i="3"/>
  <c r="V347" i="3"/>
  <c r="U347" i="3"/>
  <c r="S347" i="3"/>
  <c r="G347" i="3"/>
  <c r="F347" i="3"/>
  <c r="D347" i="3"/>
  <c r="C347" i="3"/>
  <c r="AF346" i="3"/>
  <c r="AE346" i="3"/>
  <c r="AD346" i="3"/>
  <c r="AC346" i="3"/>
  <c r="AB346" i="3"/>
  <c r="AA346" i="3"/>
  <c r="Z346" i="3"/>
  <c r="Y346" i="3"/>
  <c r="X346" i="3"/>
  <c r="W346" i="3"/>
  <c r="V346" i="3"/>
  <c r="U346" i="3"/>
  <c r="S346" i="3"/>
  <c r="G346" i="3"/>
  <c r="F346" i="3"/>
  <c r="D346" i="3"/>
  <c r="C346" i="3"/>
  <c r="AF345" i="3"/>
  <c r="AE345" i="3"/>
  <c r="AD345" i="3"/>
  <c r="AC345" i="3"/>
  <c r="AB345" i="3"/>
  <c r="AA345" i="3"/>
  <c r="Z345" i="3"/>
  <c r="Y345" i="3"/>
  <c r="X345" i="3"/>
  <c r="W345" i="3"/>
  <c r="V345" i="3"/>
  <c r="U345" i="3"/>
  <c r="S345" i="3"/>
  <c r="G345" i="3"/>
  <c r="F345" i="3"/>
  <c r="D345" i="3"/>
  <c r="C345" i="3"/>
  <c r="AF344" i="3"/>
  <c r="AE344" i="3"/>
  <c r="AD344" i="3"/>
  <c r="AC344" i="3"/>
  <c r="AB344" i="3"/>
  <c r="AA344" i="3"/>
  <c r="Z344" i="3"/>
  <c r="Y344" i="3"/>
  <c r="X344" i="3"/>
  <c r="W344" i="3"/>
  <c r="V344" i="3"/>
  <c r="U344" i="3"/>
  <c r="S344" i="3"/>
  <c r="G344" i="3"/>
  <c r="F344" i="3"/>
  <c r="D344" i="3"/>
  <c r="C344" i="3"/>
  <c r="AF343" i="3"/>
  <c r="AE343" i="3"/>
  <c r="AD343" i="3"/>
  <c r="AC343" i="3"/>
  <c r="AB343" i="3"/>
  <c r="AA343" i="3"/>
  <c r="Z343" i="3"/>
  <c r="Y343" i="3"/>
  <c r="X343" i="3"/>
  <c r="W343" i="3"/>
  <c r="V343" i="3"/>
  <c r="U343" i="3"/>
  <c r="S343" i="3"/>
  <c r="G343" i="3"/>
  <c r="F343" i="3"/>
  <c r="D343" i="3"/>
  <c r="C343" i="3"/>
  <c r="AF342" i="3"/>
  <c r="AE342" i="3"/>
  <c r="AD342" i="3"/>
  <c r="AC342" i="3"/>
  <c r="AB342" i="3"/>
  <c r="AA342" i="3"/>
  <c r="Z342" i="3"/>
  <c r="Y342" i="3"/>
  <c r="X342" i="3"/>
  <c r="W342" i="3"/>
  <c r="V342" i="3"/>
  <c r="U342" i="3"/>
  <c r="S342" i="3"/>
  <c r="G342" i="3"/>
  <c r="F342" i="3"/>
  <c r="D342" i="3"/>
  <c r="C342" i="3"/>
  <c r="AF341" i="3"/>
  <c r="AE341" i="3"/>
  <c r="AD341" i="3"/>
  <c r="AC341" i="3"/>
  <c r="AB341" i="3"/>
  <c r="AA341" i="3"/>
  <c r="Z341" i="3"/>
  <c r="Y341" i="3"/>
  <c r="X341" i="3"/>
  <c r="W341" i="3"/>
  <c r="V341" i="3"/>
  <c r="U341" i="3"/>
  <c r="S341" i="3"/>
  <c r="G341" i="3"/>
  <c r="F341" i="3"/>
  <c r="D341" i="3"/>
  <c r="C341" i="3"/>
  <c r="AF340" i="3"/>
  <c r="AE340" i="3"/>
  <c r="AD340" i="3"/>
  <c r="AC340" i="3"/>
  <c r="AB340" i="3"/>
  <c r="AA340" i="3"/>
  <c r="Z340" i="3"/>
  <c r="Y340" i="3"/>
  <c r="X340" i="3"/>
  <c r="W340" i="3"/>
  <c r="V340" i="3"/>
  <c r="U340" i="3"/>
  <c r="S340" i="3"/>
  <c r="G340" i="3"/>
  <c r="F340" i="3"/>
  <c r="D340" i="3"/>
  <c r="C340" i="3"/>
  <c r="AF339" i="3"/>
  <c r="AE339" i="3"/>
  <c r="AD339" i="3"/>
  <c r="AC339" i="3"/>
  <c r="AB339" i="3"/>
  <c r="AA339" i="3"/>
  <c r="Z339" i="3"/>
  <c r="Y339" i="3"/>
  <c r="X339" i="3"/>
  <c r="W339" i="3"/>
  <c r="V339" i="3"/>
  <c r="U339" i="3"/>
  <c r="S339" i="3"/>
  <c r="G339" i="3"/>
  <c r="F339" i="3"/>
  <c r="D339" i="3"/>
  <c r="C339" i="3"/>
  <c r="AF338" i="3"/>
  <c r="AE338" i="3"/>
  <c r="AD338" i="3"/>
  <c r="AC338" i="3"/>
  <c r="AB338" i="3"/>
  <c r="AA338" i="3"/>
  <c r="Z338" i="3"/>
  <c r="Y338" i="3"/>
  <c r="X338" i="3"/>
  <c r="W338" i="3"/>
  <c r="V338" i="3"/>
  <c r="U338" i="3"/>
  <c r="S338" i="3"/>
  <c r="G338" i="3"/>
  <c r="F338" i="3"/>
  <c r="D338" i="3"/>
  <c r="C338" i="3"/>
  <c r="AF337" i="3"/>
  <c r="AE337" i="3"/>
  <c r="AD337" i="3"/>
  <c r="AC337" i="3"/>
  <c r="AB337" i="3"/>
  <c r="AA337" i="3"/>
  <c r="Z337" i="3"/>
  <c r="Y337" i="3"/>
  <c r="X337" i="3"/>
  <c r="W337" i="3"/>
  <c r="V337" i="3"/>
  <c r="U337" i="3"/>
  <c r="S337" i="3"/>
  <c r="G337" i="3"/>
  <c r="F337" i="3"/>
  <c r="D337" i="3"/>
  <c r="C337" i="3"/>
  <c r="AF336" i="3"/>
  <c r="AE336" i="3"/>
  <c r="AD336" i="3"/>
  <c r="AC336" i="3"/>
  <c r="AB336" i="3"/>
  <c r="AA336" i="3"/>
  <c r="Z336" i="3"/>
  <c r="Y336" i="3"/>
  <c r="X336" i="3"/>
  <c r="W336" i="3"/>
  <c r="V336" i="3"/>
  <c r="U336" i="3"/>
  <c r="S336" i="3"/>
  <c r="G336" i="3"/>
  <c r="F336" i="3"/>
  <c r="D336" i="3"/>
  <c r="C336" i="3"/>
  <c r="AF335" i="3"/>
  <c r="AE335" i="3"/>
  <c r="AD335" i="3"/>
  <c r="AC335" i="3"/>
  <c r="AB335" i="3"/>
  <c r="AA335" i="3"/>
  <c r="Z335" i="3"/>
  <c r="Y335" i="3"/>
  <c r="X335" i="3"/>
  <c r="W335" i="3"/>
  <c r="V335" i="3"/>
  <c r="U335" i="3"/>
  <c r="S335" i="3"/>
  <c r="G335" i="3"/>
  <c r="F335" i="3"/>
  <c r="D335" i="3"/>
  <c r="C335" i="3"/>
  <c r="AF334" i="3"/>
  <c r="AE334" i="3"/>
  <c r="AD334" i="3"/>
  <c r="AC334" i="3"/>
  <c r="AB334" i="3"/>
  <c r="AA334" i="3"/>
  <c r="Z334" i="3"/>
  <c r="Y334" i="3"/>
  <c r="X334" i="3"/>
  <c r="W334" i="3"/>
  <c r="V334" i="3"/>
  <c r="U334" i="3"/>
  <c r="S334" i="3"/>
  <c r="G334" i="3"/>
  <c r="F334" i="3"/>
  <c r="D334" i="3"/>
  <c r="C334" i="3"/>
  <c r="AF333" i="3"/>
  <c r="AE333" i="3"/>
  <c r="AD333" i="3"/>
  <c r="AC333" i="3"/>
  <c r="AB333" i="3"/>
  <c r="AA333" i="3"/>
  <c r="Z333" i="3"/>
  <c r="Y333" i="3"/>
  <c r="X333" i="3"/>
  <c r="W333" i="3"/>
  <c r="V333" i="3"/>
  <c r="U333" i="3"/>
  <c r="S333" i="3"/>
  <c r="G333" i="3"/>
  <c r="F333" i="3"/>
  <c r="D333" i="3"/>
  <c r="C333" i="3"/>
  <c r="AF332" i="3"/>
  <c r="AE332" i="3"/>
  <c r="AD332" i="3"/>
  <c r="AC332" i="3"/>
  <c r="AB332" i="3"/>
  <c r="AA332" i="3"/>
  <c r="Z332" i="3"/>
  <c r="Y332" i="3"/>
  <c r="X332" i="3"/>
  <c r="W332" i="3"/>
  <c r="V332" i="3"/>
  <c r="U332" i="3"/>
  <c r="S332" i="3"/>
  <c r="G332" i="3"/>
  <c r="F332" i="3"/>
  <c r="D332" i="3"/>
  <c r="C332" i="3"/>
  <c r="AF331" i="3"/>
  <c r="AE331" i="3"/>
  <c r="AD331" i="3"/>
  <c r="AC331" i="3"/>
  <c r="AB331" i="3"/>
  <c r="AA331" i="3"/>
  <c r="Z331" i="3"/>
  <c r="Y331" i="3"/>
  <c r="X331" i="3"/>
  <c r="W331" i="3"/>
  <c r="V331" i="3"/>
  <c r="U331" i="3"/>
  <c r="S331" i="3"/>
  <c r="G331" i="3"/>
  <c r="F331" i="3"/>
  <c r="D331" i="3"/>
  <c r="C331" i="3"/>
  <c r="AF330" i="3"/>
  <c r="AE330" i="3"/>
  <c r="AD330" i="3"/>
  <c r="AC330" i="3"/>
  <c r="AB330" i="3"/>
  <c r="AA330" i="3"/>
  <c r="Z330" i="3"/>
  <c r="Y330" i="3"/>
  <c r="X330" i="3"/>
  <c r="W330" i="3"/>
  <c r="V330" i="3"/>
  <c r="U330" i="3"/>
  <c r="S330" i="3"/>
  <c r="G330" i="3"/>
  <c r="F330" i="3"/>
  <c r="D330" i="3"/>
  <c r="C330" i="3"/>
  <c r="AF329" i="3"/>
  <c r="AE329" i="3"/>
  <c r="AD329" i="3"/>
  <c r="AC329" i="3"/>
  <c r="AB329" i="3"/>
  <c r="AA329" i="3"/>
  <c r="Z329" i="3"/>
  <c r="Y329" i="3"/>
  <c r="X329" i="3"/>
  <c r="W329" i="3"/>
  <c r="V329" i="3"/>
  <c r="U329" i="3"/>
  <c r="S329" i="3"/>
  <c r="G329" i="3"/>
  <c r="F329" i="3"/>
  <c r="D329" i="3"/>
  <c r="C329" i="3"/>
  <c r="AF328" i="3"/>
  <c r="AE328" i="3"/>
  <c r="AD328" i="3"/>
  <c r="AC328" i="3"/>
  <c r="AB328" i="3"/>
  <c r="AA328" i="3"/>
  <c r="Z328" i="3"/>
  <c r="Y328" i="3"/>
  <c r="X328" i="3"/>
  <c r="W328" i="3"/>
  <c r="V328" i="3"/>
  <c r="U328" i="3"/>
  <c r="S328" i="3"/>
  <c r="G328" i="3"/>
  <c r="F328" i="3"/>
  <c r="D328" i="3"/>
  <c r="C328" i="3"/>
  <c r="AF327" i="3"/>
  <c r="AE327" i="3"/>
  <c r="AD327" i="3"/>
  <c r="AC327" i="3"/>
  <c r="AB327" i="3"/>
  <c r="AA327" i="3"/>
  <c r="Z327" i="3"/>
  <c r="Y327" i="3"/>
  <c r="X327" i="3"/>
  <c r="W327" i="3"/>
  <c r="V327" i="3"/>
  <c r="U327" i="3"/>
  <c r="S327" i="3"/>
  <c r="G327" i="3"/>
  <c r="F327" i="3"/>
  <c r="D327" i="3"/>
  <c r="C327" i="3"/>
  <c r="AF326" i="3"/>
  <c r="AE326" i="3"/>
  <c r="AD326" i="3"/>
  <c r="AC326" i="3"/>
  <c r="AB326" i="3"/>
  <c r="AA326" i="3"/>
  <c r="Z326" i="3"/>
  <c r="Y326" i="3"/>
  <c r="X326" i="3"/>
  <c r="W326" i="3"/>
  <c r="V326" i="3"/>
  <c r="U326" i="3"/>
  <c r="S326" i="3"/>
  <c r="G326" i="3"/>
  <c r="F326" i="3"/>
  <c r="D326" i="3"/>
  <c r="C326" i="3"/>
  <c r="AF325" i="3"/>
  <c r="AE325" i="3"/>
  <c r="AD325" i="3"/>
  <c r="AC325" i="3"/>
  <c r="AB325" i="3"/>
  <c r="AA325" i="3"/>
  <c r="Z325" i="3"/>
  <c r="Y325" i="3"/>
  <c r="X325" i="3"/>
  <c r="W325" i="3"/>
  <c r="V325" i="3"/>
  <c r="U325" i="3"/>
  <c r="S325" i="3"/>
  <c r="G325" i="3"/>
  <c r="F325" i="3"/>
  <c r="D325" i="3"/>
  <c r="C325" i="3"/>
  <c r="AF324" i="3"/>
  <c r="AE324" i="3"/>
  <c r="AD324" i="3"/>
  <c r="AC324" i="3"/>
  <c r="AB324" i="3"/>
  <c r="AA324" i="3"/>
  <c r="Z324" i="3"/>
  <c r="Y324" i="3"/>
  <c r="X324" i="3"/>
  <c r="W324" i="3"/>
  <c r="V324" i="3"/>
  <c r="U324" i="3"/>
  <c r="S324" i="3"/>
  <c r="G324" i="3"/>
  <c r="F324" i="3"/>
  <c r="D324" i="3"/>
  <c r="C324" i="3"/>
  <c r="AF323" i="3"/>
  <c r="AE323" i="3"/>
  <c r="AD323" i="3"/>
  <c r="AC323" i="3"/>
  <c r="AB323" i="3"/>
  <c r="AA323" i="3"/>
  <c r="Z323" i="3"/>
  <c r="Y323" i="3"/>
  <c r="X323" i="3"/>
  <c r="W323" i="3"/>
  <c r="V323" i="3"/>
  <c r="U323" i="3"/>
  <c r="S323" i="3"/>
  <c r="G323" i="3"/>
  <c r="F323" i="3"/>
  <c r="D323" i="3"/>
  <c r="C323" i="3"/>
  <c r="AF322" i="3"/>
  <c r="AE322" i="3"/>
  <c r="AD322" i="3"/>
  <c r="AC322" i="3"/>
  <c r="AB322" i="3"/>
  <c r="AA322" i="3"/>
  <c r="Z322" i="3"/>
  <c r="Y322" i="3"/>
  <c r="X322" i="3"/>
  <c r="W322" i="3"/>
  <c r="V322" i="3"/>
  <c r="U322" i="3"/>
  <c r="S322" i="3"/>
  <c r="G322" i="3"/>
  <c r="F322" i="3"/>
  <c r="D322" i="3"/>
  <c r="C322" i="3"/>
  <c r="AF321" i="3"/>
  <c r="AE321" i="3"/>
  <c r="AD321" i="3"/>
  <c r="AC321" i="3"/>
  <c r="AB321" i="3"/>
  <c r="AA321" i="3"/>
  <c r="Z321" i="3"/>
  <c r="Y321" i="3"/>
  <c r="X321" i="3"/>
  <c r="W321" i="3"/>
  <c r="V321" i="3"/>
  <c r="U321" i="3"/>
  <c r="S321" i="3"/>
  <c r="G321" i="3"/>
  <c r="F321" i="3"/>
  <c r="D321" i="3"/>
  <c r="C321" i="3"/>
  <c r="AF320" i="3"/>
  <c r="AE320" i="3"/>
  <c r="AD320" i="3"/>
  <c r="AC320" i="3"/>
  <c r="AB320" i="3"/>
  <c r="AA320" i="3"/>
  <c r="Z320" i="3"/>
  <c r="Y320" i="3"/>
  <c r="X320" i="3"/>
  <c r="W320" i="3"/>
  <c r="V320" i="3"/>
  <c r="U320" i="3"/>
  <c r="S320" i="3"/>
  <c r="G320" i="3"/>
  <c r="F320" i="3"/>
  <c r="D320" i="3"/>
  <c r="C320" i="3"/>
  <c r="AF319" i="3"/>
  <c r="AE319" i="3"/>
  <c r="AD319" i="3"/>
  <c r="AC319" i="3"/>
  <c r="AB319" i="3"/>
  <c r="AA319" i="3"/>
  <c r="Z319" i="3"/>
  <c r="Y319" i="3"/>
  <c r="X319" i="3"/>
  <c r="W319" i="3"/>
  <c r="V319" i="3"/>
  <c r="U319" i="3"/>
  <c r="S319" i="3"/>
  <c r="G319" i="3"/>
  <c r="F319" i="3"/>
  <c r="D319" i="3"/>
  <c r="C319" i="3"/>
  <c r="AF318" i="3"/>
  <c r="AE318" i="3"/>
  <c r="AD318" i="3"/>
  <c r="AC318" i="3"/>
  <c r="AB318" i="3"/>
  <c r="AA318" i="3"/>
  <c r="Z318" i="3"/>
  <c r="Y318" i="3"/>
  <c r="X318" i="3"/>
  <c r="W318" i="3"/>
  <c r="V318" i="3"/>
  <c r="U318" i="3"/>
  <c r="S318" i="3"/>
  <c r="G318" i="3"/>
  <c r="F318" i="3"/>
  <c r="D318" i="3"/>
  <c r="C318" i="3"/>
  <c r="AF317" i="3"/>
  <c r="AE317" i="3"/>
  <c r="AD317" i="3"/>
  <c r="AC317" i="3"/>
  <c r="AB317" i="3"/>
  <c r="AA317" i="3"/>
  <c r="Z317" i="3"/>
  <c r="Y317" i="3"/>
  <c r="X317" i="3"/>
  <c r="W317" i="3"/>
  <c r="V317" i="3"/>
  <c r="U317" i="3"/>
  <c r="S317" i="3"/>
  <c r="G317" i="3"/>
  <c r="F317" i="3"/>
  <c r="D317" i="3"/>
  <c r="C317" i="3"/>
  <c r="AF316" i="3"/>
  <c r="AE316" i="3"/>
  <c r="AD316" i="3"/>
  <c r="AC316" i="3"/>
  <c r="AB316" i="3"/>
  <c r="AA316" i="3"/>
  <c r="Z316" i="3"/>
  <c r="Y316" i="3"/>
  <c r="X316" i="3"/>
  <c r="W316" i="3"/>
  <c r="V316" i="3"/>
  <c r="U316" i="3"/>
  <c r="S316" i="3"/>
  <c r="G316" i="3"/>
  <c r="F316" i="3"/>
  <c r="D316" i="3"/>
  <c r="C316" i="3"/>
  <c r="AF315" i="3"/>
  <c r="AE315" i="3"/>
  <c r="AD315" i="3"/>
  <c r="AC315" i="3"/>
  <c r="AB315" i="3"/>
  <c r="AA315" i="3"/>
  <c r="Z315" i="3"/>
  <c r="Y315" i="3"/>
  <c r="X315" i="3"/>
  <c r="W315" i="3"/>
  <c r="V315" i="3"/>
  <c r="U315" i="3"/>
  <c r="S315" i="3"/>
  <c r="G315" i="3"/>
  <c r="F315" i="3"/>
  <c r="D315" i="3"/>
  <c r="C315" i="3"/>
  <c r="AF314" i="3"/>
  <c r="AE314" i="3"/>
  <c r="AD314" i="3"/>
  <c r="AC314" i="3"/>
  <c r="AB314" i="3"/>
  <c r="AA314" i="3"/>
  <c r="Z314" i="3"/>
  <c r="Y314" i="3"/>
  <c r="X314" i="3"/>
  <c r="W314" i="3"/>
  <c r="V314" i="3"/>
  <c r="U314" i="3"/>
  <c r="S314" i="3"/>
  <c r="G314" i="3"/>
  <c r="F314" i="3"/>
  <c r="D314" i="3"/>
  <c r="C314" i="3"/>
  <c r="AF313" i="3"/>
  <c r="AE313" i="3"/>
  <c r="AD313" i="3"/>
  <c r="AC313" i="3"/>
  <c r="AB313" i="3"/>
  <c r="AA313" i="3"/>
  <c r="Z313" i="3"/>
  <c r="Y313" i="3"/>
  <c r="X313" i="3"/>
  <c r="W313" i="3"/>
  <c r="V313" i="3"/>
  <c r="U313" i="3"/>
  <c r="S313" i="3"/>
  <c r="G313" i="3"/>
  <c r="F313" i="3"/>
  <c r="D313" i="3"/>
  <c r="C313" i="3"/>
  <c r="AF312" i="3"/>
  <c r="AE312" i="3"/>
  <c r="AD312" i="3"/>
  <c r="AC312" i="3"/>
  <c r="AB312" i="3"/>
  <c r="AA312" i="3"/>
  <c r="Z312" i="3"/>
  <c r="Y312" i="3"/>
  <c r="X312" i="3"/>
  <c r="W312" i="3"/>
  <c r="V312" i="3"/>
  <c r="U312" i="3"/>
  <c r="S312" i="3"/>
  <c r="G312" i="3"/>
  <c r="F312" i="3"/>
  <c r="D312" i="3"/>
  <c r="C312" i="3"/>
  <c r="AF311" i="3"/>
  <c r="AE311" i="3"/>
  <c r="AD311" i="3"/>
  <c r="AC311" i="3"/>
  <c r="AB311" i="3"/>
  <c r="AA311" i="3"/>
  <c r="Z311" i="3"/>
  <c r="Y311" i="3"/>
  <c r="X311" i="3"/>
  <c r="W311" i="3"/>
  <c r="V311" i="3"/>
  <c r="U311" i="3"/>
  <c r="S311" i="3"/>
  <c r="G311" i="3"/>
  <c r="F311" i="3"/>
  <c r="D311" i="3"/>
  <c r="C311" i="3"/>
  <c r="AF310" i="3"/>
  <c r="AE310" i="3"/>
  <c r="AD310" i="3"/>
  <c r="AC310" i="3"/>
  <c r="AB310" i="3"/>
  <c r="AA310" i="3"/>
  <c r="Z310" i="3"/>
  <c r="Y310" i="3"/>
  <c r="X310" i="3"/>
  <c r="W310" i="3"/>
  <c r="V310" i="3"/>
  <c r="U310" i="3"/>
  <c r="S310" i="3"/>
  <c r="G310" i="3"/>
  <c r="F310" i="3"/>
  <c r="D310" i="3"/>
  <c r="C310" i="3"/>
  <c r="AF309" i="3"/>
  <c r="AE309" i="3"/>
  <c r="AD309" i="3"/>
  <c r="AC309" i="3"/>
  <c r="AB309" i="3"/>
  <c r="AA309" i="3"/>
  <c r="Z309" i="3"/>
  <c r="Y309" i="3"/>
  <c r="X309" i="3"/>
  <c r="W309" i="3"/>
  <c r="V309" i="3"/>
  <c r="U309" i="3"/>
  <c r="S309" i="3"/>
  <c r="G309" i="3"/>
  <c r="F309" i="3"/>
  <c r="D309" i="3"/>
  <c r="C309" i="3"/>
  <c r="AF308" i="3"/>
  <c r="AE308" i="3"/>
  <c r="AD308" i="3"/>
  <c r="AC308" i="3"/>
  <c r="AB308" i="3"/>
  <c r="AA308" i="3"/>
  <c r="Z308" i="3"/>
  <c r="Y308" i="3"/>
  <c r="X308" i="3"/>
  <c r="W308" i="3"/>
  <c r="V308" i="3"/>
  <c r="U308" i="3"/>
  <c r="S308" i="3"/>
  <c r="G308" i="3"/>
  <c r="F308" i="3"/>
  <c r="D308" i="3"/>
  <c r="C308" i="3"/>
  <c r="AF307" i="3"/>
  <c r="AE307" i="3"/>
  <c r="AD307" i="3"/>
  <c r="AC307" i="3"/>
  <c r="AB307" i="3"/>
  <c r="AA307" i="3"/>
  <c r="Z307" i="3"/>
  <c r="Y307" i="3"/>
  <c r="X307" i="3"/>
  <c r="W307" i="3"/>
  <c r="V307" i="3"/>
  <c r="U307" i="3"/>
  <c r="S307" i="3"/>
  <c r="G307" i="3"/>
  <c r="F307" i="3"/>
  <c r="D307" i="3"/>
  <c r="C307" i="3"/>
  <c r="AF306" i="3"/>
  <c r="AE306" i="3"/>
  <c r="AD306" i="3"/>
  <c r="AC306" i="3"/>
  <c r="AB306" i="3"/>
  <c r="AA306" i="3"/>
  <c r="Z306" i="3"/>
  <c r="Y306" i="3"/>
  <c r="X306" i="3"/>
  <c r="W306" i="3"/>
  <c r="V306" i="3"/>
  <c r="U306" i="3"/>
  <c r="S306" i="3"/>
  <c r="G306" i="3"/>
  <c r="F306" i="3"/>
  <c r="D306" i="3"/>
  <c r="C306" i="3"/>
  <c r="AF305" i="3"/>
  <c r="AE305" i="3"/>
  <c r="AD305" i="3"/>
  <c r="AC305" i="3"/>
  <c r="AB305" i="3"/>
  <c r="AA305" i="3"/>
  <c r="Z305" i="3"/>
  <c r="Y305" i="3"/>
  <c r="X305" i="3"/>
  <c r="W305" i="3"/>
  <c r="V305" i="3"/>
  <c r="U305" i="3"/>
  <c r="S305" i="3"/>
  <c r="G305" i="3"/>
  <c r="F305" i="3"/>
  <c r="D305" i="3"/>
  <c r="C305" i="3"/>
  <c r="AF304" i="3"/>
  <c r="AE304" i="3"/>
  <c r="AD304" i="3"/>
  <c r="AC304" i="3"/>
  <c r="AB304" i="3"/>
  <c r="AA304" i="3"/>
  <c r="Z304" i="3"/>
  <c r="Y304" i="3"/>
  <c r="X304" i="3"/>
  <c r="W304" i="3"/>
  <c r="V304" i="3"/>
  <c r="U304" i="3"/>
  <c r="S304" i="3"/>
  <c r="G304" i="3"/>
  <c r="F304" i="3"/>
  <c r="D304" i="3"/>
  <c r="C304" i="3"/>
  <c r="AF303" i="3"/>
  <c r="AE303" i="3"/>
  <c r="AD303" i="3"/>
  <c r="AC303" i="3"/>
  <c r="AB303" i="3"/>
  <c r="AA303" i="3"/>
  <c r="Z303" i="3"/>
  <c r="Y303" i="3"/>
  <c r="X303" i="3"/>
  <c r="W303" i="3"/>
  <c r="V303" i="3"/>
  <c r="U303" i="3"/>
  <c r="S303" i="3"/>
  <c r="G303" i="3"/>
  <c r="F303" i="3"/>
  <c r="D303" i="3"/>
  <c r="C303" i="3"/>
  <c r="AF302" i="3"/>
  <c r="AE302" i="3"/>
  <c r="AD302" i="3"/>
  <c r="AC302" i="3"/>
  <c r="AB302" i="3"/>
  <c r="AA302" i="3"/>
  <c r="Z302" i="3"/>
  <c r="Y302" i="3"/>
  <c r="X302" i="3"/>
  <c r="W302" i="3"/>
  <c r="V302" i="3"/>
  <c r="U302" i="3"/>
  <c r="S302" i="3"/>
  <c r="G302" i="3"/>
  <c r="F302" i="3"/>
  <c r="D302" i="3"/>
  <c r="C302" i="3"/>
  <c r="AF301" i="3"/>
  <c r="AE301" i="3"/>
  <c r="AD301" i="3"/>
  <c r="AC301" i="3"/>
  <c r="AB301" i="3"/>
  <c r="AA301" i="3"/>
  <c r="Z301" i="3"/>
  <c r="Y301" i="3"/>
  <c r="X301" i="3"/>
  <c r="W301" i="3"/>
  <c r="V301" i="3"/>
  <c r="U301" i="3"/>
  <c r="S301" i="3"/>
  <c r="G301" i="3"/>
  <c r="F301" i="3"/>
  <c r="D301" i="3"/>
  <c r="C301" i="3"/>
  <c r="AF300" i="3"/>
  <c r="AE300" i="3"/>
  <c r="AD300" i="3"/>
  <c r="AC300" i="3"/>
  <c r="AB300" i="3"/>
  <c r="AA300" i="3"/>
  <c r="Z300" i="3"/>
  <c r="Y300" i="3"/>
  <c r="X300" i="3"/>
  <c r="W300" i="3"/>
  <c r="V300" i="3"/>
  <c r="U300" i="3"/>
  <c r="S300" i="3"/>
  <c r="G300" i="3"/>
  <c r="F300" i="3"/>
  <c r="D300" i="3"/>
  <c r="C300" i="3"/>
  <c r="AF299" i="3"/>
  <c r="AE299" i="3"/>
  <c r="AD299" i="3"/>
  <c r="AC299" i="3"/>
  <c r="AB299" i="3"/>
  <c r="AA299" i="3"/>
  <c r="Z299" i="3"/>
  <c r="Y299" i="3"/>
  <c r="X299" i="3"/>
  <c r="W299" i="3"/>
  <c r="V299" i="3"/>
  <c r="U299" i="3"/>
  <c r="S299" i="3"/>
  <c r="G299" i="3"/>
  <c r="F299" i="3"/>
  <c r="D299" i="3"/>
  <c r="C299" i="3"/>
  <c r="AF298" i="3"/>
  <c r="AE298" i="3"/>
  <c r="AD298" i="3"/>
  <c r="AC298" i="3"/>
  <c r="AB298" i="3"/>
  <c r="AA298" i="3"/>
  <c r="Z298" i="3"/>
  <c r="Y298" i="3"/>
  <c r="X298" i="3"/>
  <c r="W298" i="3"/>
  <c r="V298" i="3"/>
  <c r="U298" i="3"/>
  <c r="S298" i="3"/>
  <c r="G298" i="3"/>
  <c r="F298" i="3"/>
  <c r="D298" i="3"/>
  <c r="C298" i="3"/>
  <c r="AF297" i="3"/>
  <c r="AE297" i="3"/>
  <c r="AD297" i="3"/>
  <c r="AC297" i="3"/>
  <c r="AB297" i="3"/>
  <c r="AA297" i="3"/>
  <c r="Z297" i="3"/>
  <c r="Y297" i="3"/>
  <c r="X297" i="3"/>
  <c r="W297" i="3"/>
  <c r="V297" i="3"/>
  <c r="U297" i="3"/>
  <c r="S297" i="3"/>
  <c r="G297" i="3"/>
  <c r="F297" i="3"/>
  <c r="D297" i="3"/>
  <c r="C297" i="3"/>
  <c r="AF296" i="3"/>
  <c r="AE296" i="3"/>
  <c r="AD296" i="3"/>
  <c r="AC296" i="3"/>
  <c r="AB296" i="3"/>
  <c r="AA296" i="3"/>
  <c r="Z296" i="3"/>
  <c r="Y296" i="3"/>
  <c r="X296" i="3"/>
  <c r="W296" i="3"/>
  <c r="V296" i="3"/>
  <c r="U296" i="3"/>
  <c r="S296" i="3"/>
  <c r="G296" i="3"/>
  <c r="F296" i="3"/>
  <c r="D296" i="3"/>
  <c r="C296" i="3"/>
  <c r="AF295" i="3"/>
  <c r="AE295" i="3"/>
  <c r="AD295" i="3"/>
  <c r="AC295" i="3"/>
  <c r="AB295" i="3"/>
  <c r="AA295" i="3"/>
  <c r="Z295" i="3"/>
  <c r="Y295" i="3"/>
  <c r="X295" i="3"/>
  <c r="W295" i="3"/>
  <c r="V295" i="3"/>
  <c r="U295" i="3"/>
  <c r="S295" i="3"/>
  <c r="G295" i="3"/>
  <c r="F295" i="3"/>
  <c r="D295" i="3"/>
  <c r="C295" i="3"/>
  <c r="AF294" i="3"/>
  <c r="AE294" i="3"/>
  <c r="AD294" i="3"/>
  <c r="AC294" i="3"/>
  <c r="AB294" i="3"/>
  <c r="AA294" i="3"/>
  <c r="Z294" i="3"/>
  <c r="Y294" i="3"/>
  <c r="X294" i="3"/>
  <c r="W294" i="3"/>
  <c r="V294" i="3"/>
  <c r="U294" i="3"/>
  <c r="S294" i="3"/>
  <c r="G294" i="3"/>
  <c r="F294" i="3"/>
  <c r="D294" i="3"/>
  <c r="C294" i="3"/>
  <c r="AF293" i="3"/>
  <c r="AE293" i="3"/>
  <c r="AD293" i="3"/>
  <c r="AC293" i="3"/>
  <c r="AB293" i="3"/>
  <c r="AA293" i="3"/>
  <c r="Z293" i="3"/>
  <c r="Y293" i="3"/>
  <c r="X293" i="3"/>
  <c r="W293" i="3"/>
  <c r="V293" i="3"/>
  <c r="U293" i="3"/>
  <c r="S293" i="3"/>
  <c r="G293" i="3"/>
  <c r="F293" i="3"/>
  <c r="D293" i="3"/>
  <c r="C293" i="3"/>
  <c r="AF292" i="3"/>
  <c r="AE292" i="3"/>
  <c r="AD292" i="3"/>
  <c r="AC292" i="3"/>
  <c r="AB292" i="3"/>
  <c r="AA292" i="3"/>
  <c r="Z292" i="3"/>
  <c r="Y292" i="3"/>
  <c r="X292" i="3"/>
  <c r="W292" i="3"/>
  <c r="V292" i="3"/>
  <c r="U292" i="3"/>
  <c r="S292" i="3"/>
  <c r="G292" i="3"/>
  <c r="F292" i="3"/>
  <c r="D292" i="3"/>
  <c r="C292" i="3"/>
  <c r="AF291" i="3"/>
  <c r="AE291" i="3"/>
  <c r="AD291" i="3"/>
  <c r="AC291" i="3"/>
  <c r="AB291" i="3"/>
  <c r="AA291" i="3"/>
  <c r="Z291" i="3"/>
  <c r="Y291" i="3"/>
  <c r="X291" i="3"/>
  <c r="W291" i="3"/>
  <c r="V291" i="3"/>
  <c r="U291" i="3"/>
  <c r="S291" i="3"/>
  <c r="G291" i="3"/>
  <c r="F291" i="3"/>
  <c r="D291" i="3"/>
  <c r="C291" i="3"/>
  <c r="AF290" i="3"/>
  <c r="AE290" i="3"/>
  <c r="AD290" i="3"/>
  <c r="AC290" i="3"/>
  <c r="AB290" i="3"/>
  <c r="AA290" i="3"/>
  <c r="Z290" i="3"/>
  <c r="Y290" i="3"/>
  <c r="X290" i="3"/>
  <c r="W290" i="3"/>
  <c r="V290" i="3"/>
  <c r="U290" i="3"/>
  <c r="S290" i="3"/>
  <c r="G290" i="3"/>
  <c r="F290" i="3"/>
  <c r="D290" i="3"/>
  <c r="C290" i="3"/>
  <c r="AF289" i="3"/>
  <c r="AE289" i="3"/>
  <c r="AD289" i="3"/>
  <c r="AC289" i="3"/>
  <c r="AB289" i="3"/>
  <c r="AA289" i="3"/>
  <c r="Z289" i="3"/>
  <c r="Y289" i="3"/>
  <c r="X289" i="3"/>
  <c r="W289" i="3"/>
  <c r="V289" i="3"/>
  <c r="U289" i="3"/>
  <c r="S289" i="3"/>
  <c r="G289" i="3"/>
  <c r="F289" i="3"/>
  <c r="D289" i="3"/>
  <c r="C289" i="3"/>
  <c r="AF288" i="3"/>
  <c r="AE288" i="3"/>
  <c r="AD288" i="3"/>
  <c r="AC288" i="3"/>
  <c r="AB288" i="3"/>
  <c r="AA288" i="3"/>
  <c r="Z288" i="3"/>
  <c r="Y288" i="3"/>
  <c r="X288" i="3"/>
  <c r="W288" i="3"/>
  <c r="V288" i="3"/>
  <c r="U288" i="3"/>
  <c r="S288" i="3"/>
  <c r="G288" i="3"/>
  <c r="F288" i="3"/>
  <c r="D288" i="3"/>
  <c r="C288" i="3"/>
  <c r="AF287" i="3"/>
  <c r="AE287" i="3"/>
  <c r="AD287" i="3"/>
  <c r="AC287" i="3"/>
  <c r="AB287" i="3"/>
  <c r="AA287" i="3"/>
  <c r="Z287" i="3"/>
  <c r="Y287" i="3"/>
  <c r="X287" i="3"/>
  <c r="W287" i="3"/>
  <c r="V287" i="3"/>
  <c r="U287" i="3"/>
  <c r="S287" i="3"/>
  <c r="G287" i="3"/>
  <c r="F287" i="3"/>
  <c r="D287" i="3"/>
  <c r="C287" i="3"/>
  <c r="AF286" i="3"/>
  <c r="AE286" i="3"/>
  <c r="AD286" i="3"/>
  <c r="AC286" i="3"/>
  <c r="AB286" i="3"/>
  <c r="AA286" i="3"/>
  <c r="Z286" i="3"/>
  <c r="Y286" i="3"/>
  <c r="X286" i="3"/>
  <c r="W286" i="3"/>
  <c r="V286" i="3"/>
  <c r="U286" i="3"/>
  <c r="S286" i="3"/>
  <c r="G286" i="3"/>
  <c r="F286" i="3"/>
  <c r="D286" i="3"/>
  <c r="C286" i="3"/>
  <c r="AF285" i="3"/>
  <c r="AE285" i="3"/>
  <c r="AD285" i="3"/>
  <c r="AC285" i="3"/>
  <c r="AB285" i="3"/>
  <c r="AA285" i="3"/>
  <c r="Z285" i="3"/>
  <c r="Y285" i="3"/>
  <c r="X285" i="3"/>
  <c r="W285" i="3"/>
  <c r="V285" i="3"/>
  <c r="U285" i="3"/>
  <c r="S285" i="3"/>
  <c r="G285" i="3"/>
  <c r="F285" i="3"/>
  <c r="D285" i="3"/>
  <c r="C285" i="3"/>
  <c r="AF284" i="3"/>
  <c r="AE284" i="3"/>
  <c r="AD284" i="3"/>
  <c r="AC284" i="3"/>
  <c r="AB284" i="3"/>
  <c r="AA284" i="3"/>
  <c r="Z284" i="3"/>
  <c r="Y284" i="3"/>
  <c r="X284" i="3"/>
  <c r="W284" i="3"/>
  <c r="V284" i="3"/>
  <c r="U284" i="3"/>
  <c r="S284" i="3"/>
  <c r="G284" i="3"/>
  <c r="F284" i="3"/>
  <c r="D284" i="3"/>
  <c r="C284" i="3"/>
  <c r="AF283" i="3"/>
  <c r="AE283" i="3"/>
  <c r="AD283" i="3"/>
  <c r="AC283" i="3"/>
  <c r="AB283" i="3"/>
  <c r="AA283" i="3"/>
  <c r="Z283" i="3"/>
  <c r="Y283" i="3"/>
  <c r="X283" i="3"/>
  <c r="W283" i="3"/>
  <c r="V283" i="3"/>
  <c r="U283" i="3"/>
  <c r="S283" i="3"/>
  <c r="G283" i="3"/>
  <c r="F283" i="3"/>
  <c r="D283" i="3"/>
  <c r="C283" i="3"/>
  <c r="AF282" i="3"/>
  <c r="AE282" i="3"/>
  <c r="AD282" i="3"/>
  <c r="AC282" i="3"/>
  <c r="AB282" i="3"/>
  <c r="AA282" i="3"/>
  <c r="Z282" i="3"/>
  <c r="Y282" i="3"/>
  <c r="X282" i="3"/>
  <c r="W282" i="3"/>
  <c r="V282" i="3"/>
  <c r="U282" i="3"/>
  <c r="S282" i="3"/>
  <c r="G282" i="3"/>
  <c r="F282" i="3"/>
  <c r="D282" i="3"/>
  <c r="C282" i="3"/>
  <c r="AF281" i="3"/>
  <c r="AE281" i="3"/>
  <c r="AD281" i="3"/>
  <c r="AC281" i="3"/>
  <c r="AB281" i="3"/>
  <c r="AA281" i="3"/>
  <c r="Z281" i="3"/>
  <c r="Y281" i="3"/>
  <c r="X281" i="3"/>
  <c r="W281" i="3"/>
  <c r="V281" i="3"/>
  <c r="U281" i="3"/>
  <c r="S281" i="3"/>
  <c r="G281" i="3"/>
  <c r="F281" i="3"/>
  <c r="D281" i="3"/>
  <c r="C281" i="3"/>
  <c r="AF280" i="3"/>
  <c r="AE280" i="3"/>
  <c r="AD280" i="3"/>
  <c r="AC280" i="3"/>
  <c r="AB280" i="3"/>
  <c r="AA280" i="3"/>
  <c r="Z280" i="3"/>
  <c r="Y280" i="3"/>
  <c r="X280" i="3"/>
  <c r="W280" i="3"/>
  <c r="V280" i="3"/>
  <c r="U280" i="3"/>
  <c r="S280" i="3"/>
  <c r="G280" i="3"/>
  <c r="F280" i="3"/>
  <c r="D280" i="3"/>
  <c r="C280" i="3"/>
  <c r="AF279" i="3"/>
  <c r="AE279" i="3"/>
  <c r="AD279" i="3"/>
  <c r="AC279" i="3"/>
  <c r="AB279" i="3"/>
  <c r="AA279" i="3"/>
  <c r="Z279" i="3"/>
  <c r="Y279" i="3"/>
  <c r="X279" i="3"/>
  <c r="W279" i="3"/>
  <c r="V279" i="3"/>
  <c r="U279" i="3"/>
  <c r="S279" i="3"/>
  <c r="G279" i="3"/>
  <c r="F279" i="3"/>
  <c r="D279" i="3"/>
  <c r="C279" i="3"/>
  <c r="AF278" i="3"/>
  <c r="AE278" i="3"/>
  <c r="AD278" i="3"/>
  <c r="AC278" i="3"/>
  <c r="AB278" i="3"/>
  <c r="AA278" i="3"/>
  <c r="Z278" i="3"/>
  <c r="Y278" i="3"/>
  <c r="X278" i="3"/>
  <c r="W278" i="3"/>
  <c r="V278" i="3"/>
  <c r="U278" i="3"/>
  <c r="S278" i="3"/>
  <c r="G278" i="3"/>
  <c r="F278" i="3"/>
  <c r="D278" i="3"/>
  <c r="C278" i="3"/>
  <c r="AF277" i="3"/>
  <c r="AE277" i="3"/>
  <c r="AD277" i="3"/>
  <c r="AC277" i="3"/>
  <c r="AB277" i="3"/>
  <c r="AA277" i="3"/>
  <c r="Z277" i="3"/>
  <c r="Y277" i="3"/>
  <c r="X277" i="3"/>
  <c r="W277" i="3"/>
  <c r="V277" i="3"/>
  <c r="U277" i="3"/>
  <c r="S277" i="3"/>
  <c r="G277" i="3"/>
  <c r="F277" i="3"/>
  <c r="D277" i="3"/>
  <c r="C277" i="3"/>
  <c r="AF276" i="3"/>
  <c r="AE276" i="3"/>
  <c r="AD276" i="3"/>
  <c r="AC276" i="3"/>
  <c r="AB276" i="3"/>
  <c r="AA276" i="3"/>
  <c r="Z276" i="3"/>
  <c r="Y276" i="3"/>
  <c r="X276" i="3"/>
  <c r="W276" i="3"/>
  <c r="V276" i="3"/>
  <c r="U276" i="3"/>
  <c r="S276" i="3"/>
  <c r="G276" i="3"/>
  <c r="F276" i="3"/>
  <c r="D276" i="3"/>
  <c r="C276" i="3"/>
  <c r="AF275" i="3"/>
  <c r="AE275" i="3"/>
  <c r="AD275" i="3"/>
  <c r="AC275" i="3"/>
  <c r="AB275" i="3"/>
  <c r="AA275" i="3"/>
  <c r="Z275" i="3"/>
  <c r="Y275" i="3"/>
  <c r="X275" i="3"/>
  <c r="W275" i="3"/>
  <c r="V275" i="3"/>
  <c r="U275" i="3"/>
  <c r="S275" i="3"/>
  <c r="G275" i="3"/>
  <c r="F275" i="3"/>
  <c r="D275" i="3"/>
  <c r="C275" i="3"/>
  <c r="AF274" i="3"/>
  <c r="AE274" i="3"/>
  <c r="AD274" i="3"/>
  <c r="AC274" i="3"/>
  <c r="AB274" i="3"/>
  <c r="AA274" i="3"/>
  <c r="Z274" i="3"/>
  <c r="Y274" i="3"/>
  <c r="X274" i="3"/>
  <c r="W274" i="3"/>
  <c r="V274" i="3"/>
  <c r="U274" i="3"/>
  <c r="S274" i="3"/>
  <c r="G274" i="3"/>
  <c r="F274" i="3"/>
  <c r="D274" i="3"/>
  <c r="C274" i="3"/>
  <c r="AF273" i="3"/>
  <c r="AE273" i="3"/>
  <c r="AD273" i="3"/>
  <c r="AC273" i="3"/>
  <c r="AB273" i="3"/>
  <c r="AA273" i="3"/>
  <c r="Z273" i="3"/>
  <c r="Y273" i="3"/>
  <c r="X273" i="3"/>
  <c r="W273" i="3"/>
  <c r="V273" i="3"/>
  <c r="U273" i="3"/>
  <c r="S273" i="3"/>
  <c r="G273" i="3"/>
  <c r="F273" i="3"/>
  <c r="D273" i="3"/>
  <c r="C273" i="3"/>
  <c r="AF272" i="3"/>
  <c r="AE272" i="3"/>
  <c r="AD272" i="3"/>
  <c r="AC272" i="3"/>
  <c r="AB272" i="3"/>
  <c r="AA272" i="3"/>
  <c r="Z272" i="3"/>
  <c r="Y272" i="3"/>
  <c r="X272" i="3"/>
  <c r="W272" i="3"/>
  <c r="V272" i="3"/>
  <c r="U272" i="3"/>
  <c r="S272" i="3"/>
  <c r="G272" i="3"/>
  <c r="F272" i="3"/>
  <c r="D272" i="3"/>
  <c r="C272" i="3"/>
  <c r="AF271" i="3"/>
  <c r="AE271" i="3"/>
  <c r="AD271" i="3"/>
  <c r="AC271" i="3"/>
  <c r="AB271" i="3"/>
  <c r="AA271" i="3"/>
  <c r="Z271" i="3"/>
  <c r="Y271" i="3"/>
  <c r="X271" i="3"/>
  <c r="W271" i="3"/>
  <c r="V271" i="3"/>
  <c r="U271" i="3"/>
  <c r="S271" i="3"/>
  <c r="G271" i="3"/>
  <c r="F271" i="3"/>
  <c r="D271" i="3"/>
  <c r="C271" i="3"/>
  <c r="AF270" i="3"/>
  <c r="AE270" i="3"/>
  <c r="AD270" i="3"/>
  <c r="AC270" i="3"/>
  <c r="AB270" i="3"/>
  <c r="AA270" i="3"/>
  <c r="Z270" i="3"/>
  <c r="Y270" i="3"/>
  <c r="X270" i="3"/>
  <c r="W270" i="3"/>
  <c r="V270" i="3"/>
  <c r="U270" i="3"/>
  <c r="S270" i="3"/>
  <c r="G270" i="3"/>
  <c r="F270" i="3"/>
  <c r="D270" i="3"/>
  <c r="C270" i="3"/>
  <c r="AF269" i="3"/>
  <c r="AE269" i="3"/>
  <c r="AD269" i="3"/>
  <c r="AC269" i="3"/>
  <c r="AB269" i="3"/>
  <c r="AA269" i="3"/>
  <c r="Z269" i="3"/>
  <c r="Y269" i="3"/>
  <c r="X269" i="3"/>
  <c r="W269" i="3"/>
  <c r="V269" i="3"/>
  <c r="U269" i="3"/>
  <c r="S269" i="3"/>
  <c r="G269" i="3"/>
  <c r="F269" i="3"/>
  <c r="D269" i="3"/>
  <c r="C269" i="3"/>
  <c r="AF268" i="3"/>
  <c r="AE268" i="3"/>
  <c r="AD268" i="3"/>
  <c r="AC268" i="3"/>
  <c r="AB268" i="3"/>
  <c r="AA268" i="3"/>
  <c r="Z268" i="3"/>
  <c r="Y268" i="3"/>
  <c r="X268" i="3"/>
  <c r="W268" i="3"/>
  <c r="V268" i="3"/>
  <c r="U268" i="3"/>
  <c r="S268" i="3"/>
  <c r="G268" i="3"/>
  <c r="F268" i="3"/>
  <c r="D268" i="3"/>
  <c r="C268" i="3"/>
  <c r="AF267" i="3"/>
  <c r="AE267" i="3"/>
  <c r="AD267" i="3"/>
  <c r="AC267" i="3"/>
  <c r="AB267" i="3"/>
  <c r="AA267" i="3"/>
  <c r="Z267" i="3"/>
  <c r="Y267" i="3"/>
  <c r="X267" i="3"/>
  <c r="W267" i="3"/>
  <c r="V267" i="3"/>
  <c r="U267" i="3"/>
  <c r="S267" i="3"/>
  <c r="G267" i="3"/>
  <c r="F267" i="3"/>
  <c r="D267" i="3"/>
  <c r="C267" i="3"/>
  <c r="AF266" i="3"/>
  <c r="AE266" i="3"/>
  <c r="AD266" i="3"/>
  <c r="AC266" i="3"/>
  <c r="AB266" i="3"/>
  <c r="AA266" i="3"/>
  <c r="Z266" i="3"/>
  <c r="Y266" i="3"/>
  <c r="X266" i="3"/>
  <c r="W266" i="3"/>
  <c r="V266" i="3"/>
  <c r="U266" i="3"/>
  <c r="S266" i="3"/>
  <c r="G266" i="3"/>
  <c r="F266" i="3"/>
  <c r="D266" i="3"/>
  <c r="C266" i="3"/>
  <c r="AF265" i="3"/>
  <c r="AE265" i="3"/>
  <c r="AD265" i="3"/>
  <c r="AC265" i="3"/>
  <c r="AB265" i="3"/>
  <c r="AA265" i="3"/>
  <c r="Z265" i="3"/>
  <c r="Y265" i="3"/>
  <c r="X265" i="3"/>
  <c r="W265" i="3"/>
  <c r="V265" i="3"/>
  <c r="U265" i="3"/>
  <c r="S265" i="3"/>
  <c r="G265" i="3"/>
  <c r="F265" i="3"/>
  <c r="D265" i="3"/>
  <c r="C265" i="3"/>
  <c r="AF264" i="3"/>
  <c r="AE264" i="3"/>
  <c r="AD264" i="3"/>
  <c r="AC264" i="3"/>
  <c r="AB264" i="3"/>
  <c r="AA264" i="3"/>
  <c r="Z264" i="3"/>
  <c r="Y264" i="3"/>
  <c r="X264" i="3"/>
  <c r="W264" i="3"/>
  <c r="V264" i="3"/>
  <c r="U264" i="3"/>
  <c r="S264" i="3"/>
  <c r="G264" i="3"/>
  <c r="F264" i="3"/>
  <c r="D264" i="3"/>
  <c r="C264" i="3"/>
  <c r="AF263" i="3"/>
  <c r="AE263" i="3"/>
  <c r="AD263" i="3"/>
  <c r="AC263" i="3"/>
  <c r="AB263" i="3"/>
  <c r="AA263" i="3"/>
  <c r="Z263" i="3"/>
  <c r="Y263" i="3"/>
  <c r="X263" i="3"/>
  <c r="W263" i="3"/>
  <c r="V263" i="3"/>
  <c r="U263" i="3"/>
  <c r="S263" i="3"/>
  <c r="G263" i="3"/>
  <c r="F263" i="3"/>
  <c r="D263" i="3"/>
  <c r="C263" i="3"/>
  <c r="AF262" i="3"/>
  <c r="AE262" i="3"/>
  <c r="AD262" i="3"/>
  <c r="AC262" i="3"/>
  <c r="AB262" i="3"/>
  <c r="AA262" i="3"/>
  <c r="Z262" i="3"/>
  <c r="Y262" i="3"/>
  <c r="X262" i="3"/>
  <c r="W262" i="3"/>
  <c r="V262" i="3"/>
  <c r="U262" i="3"/>
  <c r="S262" i="3"/>
  <c r="G262" i="3"/>
  <c r="F262" i="3"/>
  <c r="D262" i="3"/>
  <c r="C262" i="3"/>
  <c r="AF261" i="3"/>
  <c r="AE261" i="3"/>
  <c r="AD261" i="3"/>
  <c r="AC261" i="3"/>
  <c r="AB261" i="3"/>
  <c r="AA261" i="3"/>
  <c r="Z261" i="3"/>
  <c r="Y261" i="3"/>
  <c r="X261" i="3"/>
  <c r="W261" i="3"/>
  <c r="V261" i="3"/>
  <c r="U261" i="3"/>
  <c r="S261" i="3"/>
  <c r="G261" i="3"/>
  <c r="F261" i="3"/>
  <c r="D261" i="3"/>
  <c r="C261" i="3"/>
  <c r="AF260" i="3"/>
  <c r="AE260" i="3"/>
  <c r="AD260" i="3"/>
  <c r="AC260" i="3"/>
  <c r="AB260" i="3"/>
  <c r="AA260" i="3"/>
  <c r="Z260" i="3"/>
  <c r="Y260" i="3"/>
  <c r="X260" i="3"/>
  <c r="W260" i="3"/>
  <c r="V260" i="3"/>
  <c r="U260" i="3"/>
  <c r="S260" i="3"/>
  <c r="G260" i="3"/>
  <c r="F260" i="3"/>
  <c r="D260" i="3"/>
  <c r="C260" i="3"/>
  <c r="AF259" i="3"/>
  <c r="AE259" i="3"/>
  <c r="AD259" i="3"/>
  <c r="AC259" i="3"/>
  <c r="AB259" i="3"/>
  <c r="AA259" i="3"/>
  <c r="Z259" i="3"/>
  <c r="Y259" i="3"/>
  <c r="X259" i="3"/>
  <c r="W259" i="3"/>
  <c r="V259" i="3"/>
  <c r="U259" i="3"/>
  <c r="S259" i="3"/>
  <c r="G259" i="3"/>
  <c r="F259" i="3"/>
  <c r="D259" i="3"/>
  <c r="C259" i="3"/>
  <c r="AF258" i="3"/>
  <c r="AE258" i="3"/>
  <c r="AD258" i="3"/>
  <c r="AC258" i="3"/>
  <c r="AB258" i="3"/>
  <c r="AA258" i="3"/>
  <c r="Z258" i="3"/>
  <c r="Y258" i="3"/>
  <c r="X258" i="3"/>
  <c r="W258" i="3"/>
  <c r="V258" i="3"/>
  <c r="U258" i="3"/>
  <c r="S258" i="3"/>
  <c r="G258" i="3"/>
  <c r="F258" i="3"/>
  <c r="D258" i="3"/>
  <c r="C258" i="3"/>
  <c r="AF257" i="3"/>
  <c r="AE257" i="3"/>
  <c r="AD257" i="3"/>
  <c r="AC257" i="3"/>
  <c r="AB257" i="3"/>
  <c r="AA257" i="3"/>
  <c r="Z257" i="3"/>
  <c r="Y257" i="3"/>
  <c r="X257" i="3"/>
  <c r="W257" i="3"/>
  <c r="V257" i="3"/>
  <c r="U257" i="3"/>
  <c r="S257" i="3"/>
  <c r="G257" i="3"/>
  <c r="F257" i="3"/>
  <c r="D257" i="3"/>
  <c r="C257" i="3"/>
  <c r="AF256" i="3"/>
  <c r="AE256" i="3"/>
  <c r="AD256" i="3"/>
  <c r="AC256" i="3"/>
  <c r="AB256" i="3"/>
  <c r="AA256" i="3"/>
  <c r="Z256" i="3"/>
  <c r="Y256" i="3"/>
  <c r="X256" i="3"/>
  <c r="W256" i="3"/>
  <c r="V256" i="3"/>
  <c r="U256" i="3"/>
  <c r="S256" i="3"/>
  <c r="G256" i="3"/>
  <c r="F256" i="3"/>
  <c r="D256" i="3"/>
  <c r="C256" i="3"/>
  <c r="AF255" i="3"/>
  <c r="AE255" i="3"/>
  <c r="AD255" i="3"/>
  <c r="AC255" i="3"/>
  <c r="AB255" i="3"/>
  <c r="AA255" i="3"/>
  <c r="Z255" i="3"/>
  <c r="Y255" i="3"/>
  <c r="X255" i="3"/>
  <c r="W255" i="3"/>
  <c r="V255" i="3"/>
  <c r="U255" i="3"/>
  <c r="S255" i="3"/>
  <c r="G255" i="3"/>
  <c r="F255" i="3"/>
  <c r="D255" i="3"/>
  <c r="C255" i="3"/>
  <c r="AF254" i="3"/>
  <c r="AE254" i="3"/>
  <c r="AD254" i="3"/>
  <c r="AC254" i="3"/>
  <c r="AB254" i="3"/>
  <c r="AA254" i="3"/>
  <c r="Z254" i="3"/>
  <c r="Y254" i="3"/>
  <c r="X254" i="3"/>
  <c r="W254" i="3"/>
  <c r="V254" i="3"/>
  <c r="U254" i="3"/>
  <c r="S254" i="3"/>
  <c r="G254" i="3"/>
  <c r="F254" i="3"/>
  <c r="D254" i="3"/>
  <c r="C254" i="3"/>
  <c r="AF253" i="3"/>
  <c r="AE253" i="3"/>
  <c r="AD253" i="3"/>
  <c r="AC253" i="3"/>
  <c r="AB253" i="3"/>
  <c r="AA253" i="3"/>
  <c r="Z253" i="3"/>
  <c r="Y253" i="3"/>
  <c r="X253" i="3"/>
  <c r="W253" i="3"/>
  <c r="V253" i="3"/>
  <c r="U253" i="3"/>
  <c r="S253" i="3"/>
  <c r="G253" i="3"/>
  <c r="F253" i="3"/>
  <c r="D253" i="3"/>
  <c r="C253" i="3"/>
  <c r="AF252" i="3"/>
  <c r="AE252" i="3"/>
  <c r="AD252" i="3"/>
  <c r="AC252" i="3"/>
  <c r="AB252" i="3"/>
  <c r="AA252" i="3"/>
  <c r="Z252" i="3"/>
  <c r="Y252" i="3"/>
  <c r="X252" i="3"/>
  <c r="W252" i="3"/>
  <c r="V252" i="3"/>
  <c r="U252" i="3"/>
  <c r="S252" i="3"/>
  <c r="G252" i="3"/>
  <c r="F252" i="3"/>
  <c r="D252" i="3"/>
  <c r="C252" i="3"/>
  <c r="AF251" i="3"/>
  <c r="AE251" i="3"/>
  <c r="AD251" i="3"/>
  <c r="AC251" i="3"/>
  <c r="AB251" i="3"/>
  <c r="AA251" i="3"/>
  <c r="Z251" i="3"/>
  <c r="Y251" i="3"/>
  <c r="X251" i="3"/>
  <c r="W251" i="3"/>
  <c r="V251" i="3"/>
  <c r="U251" i="3"/>
  <c r="S251" i="3"/>
  <c r="G251" i="3"/>
  <c r="F251" i="3"/>
  <c r="D251" i="3"/>
  <c r="C251" i="3"/>
  <c r="AF250" i="3"/>
  <c r="AE250" i="3"/>
  <c r="AD250" i="3"/>
  <c r="AC250" i="3"/>
  <c r="AB250" i="3"/>
  <c r="AA250" i="3"/>
  <c r="Z250" i="3"/>
  <c r="Y250" i="3"/>
  <c r="X250" i="3"/>
  <c r="W250" i="3"/>
  <c r="V250" i="3"/>
  <c r="U250" i="3"/>
  <c r="S250" i="3"/>
  <c r="G250" i="3"/>
  <c r="F250" i="3"/>
  <c r="D250" i="3"/>
  <c r="C250" i="3"/>
  <c r="AF249" i="3"/>
  <c r="AE249" i="3"/>
  <c r="AD249" i="3"/>
  <c r="AC249" i="3"/>
  <c r="AB249" i="3"/>
  <c r="AA249" i="3"/>
  <c r="Z249" i="3"/>
  <c r="Y249" i="3"/>
  <c r="X249" i="3"/>
  <c r="W249" i="3"/>
  <c r="V249" i="3"/>
  <c r="U249" i="3"/>
  <c r="S249" i="3"/>
  <c r="G249" i="3"/>
  <c r="F249" i="3"/>
  <c r="D249" i="3"/>
  <c r="C249" i="3"/>
  <c r="AF248" i="3"/>
  <c r="AE248" i="3"/>
  <c r="AD248" i="3"/>
  <c r="AC248" i="3"/>
  <c r="AB248" i="3"/>
  <c r="AA248" i="3"/>
  <c r="Z248" i="3"/>
  <c r="Y248" i="3"/>
  <c r="X248" i="3"/>
  <c r="W248" i="3"/>
  <c r="V248" i="3"/>
  <c r="U248" i="3"/>
  <c r="S248" i="3"/>
  <c r="G248" i="3"/>
  <c r="F248" i="3"/>
  <c r="D248" i="3"/>
  <c r="C248" i="3"/>
  <c r="AF247" i="3"/>
  <c r="AE247" i="3"/>
  <c r="AD247" i="3"/>
  <c r="AC247" i="3"/>
  <c r="AB247" i="3"/>
  <c r="AA247" i="3"/>
  <c r="Z247" i="3"/>
  <c r="Y247" i="3"/>
  <c r="X247" i="3"/>
  <c r="W247" i="3"/>
  <c r="V247" i="3"/>
  <c r="U247" i="3"/>
  <c r="S247" i="3"/>
  <c r="G247" i="3"/>
  <c r="F247" i="3"/>
  <c r="D247" i="3"/>
  <c r="C247" i="3"/>
  <c r="AF246" i="3"/>
  <c r="AE246" i="3"/>
  <c r="AD246" i="3"/>
  <c r="AC246" i="3"/>
  <c r="AB246" i="3"/>
  <c r="AA246" i="3"/>
  <c r="Z246" i="3"/>
  <c r="Y246" i="3"/>
  <c r="X246" i="3"/>
  <c r="W246" i="3"/>
  <c r="V246" i="3"/>
  <c r="U246" i="3"/>
  <c r="S246" i="3"/>
  <c r="G246" i="3"/>
  <c r="F246" i="3"/>
  <c r="D246" i="3"/>
  <c r="C246" i="3"/>
  <c r="AF245" i="3"/>
  <c r="AE245" i="3"/>
  <c r="AD245" i="3"/>
  <c r="AC245" i="3"/>
  <c r="AB245" i="3"/>
  <c r="AA245" i="3"/>
  <c r="Z245" i="3"/>
  <c r="Y245" i="3"/>
  <c r="X245" i="3"/>
  <c r="W245" i="3"/>
  <c r="V245" i="3"/>
  <c r="U245" i="3"/>
  <c r="S245" i="3"/>
  <c r="G245" i="3"/>
  <c r="F245" i="3"/>
  <c r="D245" i="3"/>
  <c r="C245" i="3"/>
  <c r="AF244" i="3"/>
  <c r="AE244" i="3"/>
  <c r="AD244" i="3"/>
  <c r="AC244" i="3"/>
  <c r="AB244" i="3"/>
  <c r="AA244" i="3"/>
  <c r="Z244" i="3"/>
  <c r="Y244" i="3"/>
  <c r="X244" i="3"/>
  <c r="W244" i="3"/>
  <c r="V244" i="3"/>
  <c r="U244" i="3"/>
  <c r="S244" i="3"/>
  <c r="G244" i="3"/>
  <c r="F244" i="3"/>
  <c r="D244" i="3"/>
  <c r="C244" i="3"/>
  <c r="AF243" i="3"/>
  <c r="AE243" i="3"/>
  <c r="AD243" i="3"/>
  <c r="AC243" i="3"/>
  <c r="AB243" i="3"/>
  <c r="AA243" i="3"/>
  <c r="Z243" i="3"/>
  <c r="Y243" i="3"/>
  <c r="X243" i="3"/>
  <c r="W243" i="3"/>
  <c r="V243" i="3"/>
  <c r="U243" i="3"/>
  <c r="S243" i="3"/>
  <c r="G243" i="3"/>
  <c r="F243" i="3"/>
  <c r="D243" i="3"/>
  <c r="C243" i="3"/>
  <c r="AF242" i="3"/>
  <c r="AE242" i="3"/>
  <c r="AD242" i="3"/>
  <c r="AC242" i="3"/>
  <c r="AB242" i="3"/>
  <c r="AA242" i="3"/>
  <c r="Z242" i="3"/>
  <c r="Y242" i="3"/>
  <c r="X242" i="3"/>
  <c r="W242" i="3"/>
  <c r="V242" i="3"/>
  <c r="U242" i="3"/>
  <c r="S242" i="3"/>
  <c r="G242" i="3"/>
  <c r="F242" i="3"/>
  <c r="D242" i="3"/>
  <c r="C242" i="3"/>
  <c r="AF241" i="3"/>
  <c r="AE241" i="3"/>
  <c r="AD241" i="3"/>
  <c r="AC241" i="3"/>
  <c r="AB241" i="3"/>
  <c r="AA241" i="3"/>
  <c r="Z241" i="3"/>
  <c r="Y241" i="3"/>
  <c r="X241" i="3"/>
  <c r="W241" i="3"/>
  <c r="V241" i="3"/>
  <c r="U241" i="3"/>
  <c r="S241" i="3"/>
  <c r="G241" i="3"/>
  <c r="F241" i="3"/>
  <c r="D241" i="3"/>
  <c r="C241" i="3"/>
  <c r="AF240" i="3"/>
  <c r="AE240" i="3"/>
  <c r="AD240" i="3"/>
  <c r="AC240" i="3"/>
  <c r="AB240" i="3"/>
  <c r="AA240" i="3"/>
  <c r="Z240" i="3"/>
  <c r="Y240" i="3"/>
  <c r="X240" i="3"/>
  <c r="W240" i="3"/>
  <c r="V240" i="3"/>
  <c r="U240" i="3"/>
  <c r="S240" i="3"/>
  <c r="G240" i="3"/>
  <c r="F240" i="3"/>
  <c r="D240" i="3"/>
  <c r="C240" i="3"/>
  <c r="AF239" i="3"/>
  <c r="AE239" i="3"/>
  <c r="AD239" i="3"/>
  <c r="AC239" i="3"/>
  <c r="AB239" i="3"/>
  <c r="AA239" i="3"/>
  <c r="Z239" i="3"/>
  <c r="Y239" i="3"/>
  <c r="X239" i="3"/>
  <c r="W239" i="3"/>
  <c r="V239" i="3"/>
  <c r="U239" i="3"/>
  <c r="S239" i="3"/>
  <c r="G239" i="3"/>
  <c r="F239" i="3"/>
  <c r="D239" i="3"/>
  <c r="C239" i="3"/>
  <c r="AF238" i="3"/>
  <c r="AE238" i="3"/>
  <c r="AD238" i="3"/>
  <c r="AC238" i="3"/>
  <c r="AB238" i="3"/>
  <c r="AA238" i="3"/>
  <c r="Z238" i="3"/>
  <c r="Y238" i="3"/>
  <c r="X238" i="3"/>
  <c r="W238" i="3"/>
  <c r="V238" i="3"/>
  <c r="U238" i="3"/>
  <c r="S238" i="3"/>
  <c r="G238" i="3"/>
  <c r="F238" i="3"/>
  <c r="D238" i="3"/>
  <c r="C238" i="3"/>
  <c r="AF237" i="3"/>
  <c r="AE237" i="3"/>
  <c r="AD237" i="3"/>
  <c r="AC237" i="3"/>
  <c r="AB237" i="3"/>
  <c r="AA237" i="3"/>
  <c r="Z237" i="3"/>
  <c r="Y237" i="3"/>
  <c r="X237" i="3"/>
  <c r="W237" i="3"/>
  <c r="V237" i="3"/>
  <c r="U237" i="3"/>
  <c r="S237" i="3"/>
  <c r="G237" i="3"/>
  <c r="F237" i="3"/>
  <c r="D237" i="3"/>
  <c r="C237" i="3"/>
  <c r="AF236" i="3"/>
  <c r="AE236" i="3"/>
  <c r="AD236" i="3"/>
  <c r="AC236" i="3"/>
  <c r="AB236" i="3"/>
  <c r="AA236" i="3"/>
  <c r="Z236" i="3"/>
  <c r="Y236" i="3"/>
  <c r="X236" i="3"/>
  <c r="W236" i="3"/>
  <c r="V236" i="3"/>
  <c r="U236" i="3"/>
  <c r="S236" i="3"/>
  <c r="G236" i="3"/>
  <c r="F236" i="3"/>
  <c r="D236" i="3"/>
  <c r="C236" i="3"/>
  <c r="AF235" i="3"/>
  <c r="AE235" i="3"/>
  <c r="AD235" i="3"/>
  <c r="AC235" i="3"/>
  <c r="AB235" i="3"/>
  <c r="AA235" i="3"/>
  <c r="Z235" i="3"/>
  <c r="Y235" i="3"/>
  <c r="X235" i="3"/>
  <c r="W235" i="3"/>
  <c r="V235" i="3"/>
  <c r="U235" i="3"/>
  <c r="S235" i="3"/>
  <c r="G235" i="3"/>
  <c r="F235" i="3"/>
  <c r="D235" i="3"/>
  <c r="C235" i="3"/>
  <c r="AF234" i="3"/>
  <c r="AE234" i="3"/>
  <c r="AD234" i="3"/>
  <c r="AC234" i="3"/>
  <c r="AB234" i="3"/>
  <c r="AA234" i="3"/>
  <c r="Z234" i="3"/>
  <c r="Y234" i="3"/>
  <c r="X234" i="3"/>
  <c r="W234" i="3"/>
  <c r="V234" i="3"/>
  <c r="U234" i="3"/>
  <c r="S234" i="3"/>
  <c r="G234" i="3"/>
  <c r="F234" i="3"/>
  <c r="D234" i="3"/>
  <c r="C234" i="3"/>
  <c r="AF233" i="3"/>
  <c r="AE233" i="3"/>
  <c r="AD233" i="3"/>
  <c r="AC233" i="3"/>
  <c r="AB233" i="3"/>
  <c r="AA233" i="3"/>
  <c r="Z233" i="3"/>
  <c r="Y233" i="3"/>
  <c r="X233" i="3"/>
  <c r="W233" i="3"/>
  <c r="V233" i="3"/>
  <c r="U233" i="3"/>
  <c r="S233" i="3"/>
  <c r="G233" i="3"/>
  <c r="F233" i="3"/>
  <c r="D233" i="3"/>
  <c r="C233" i="3"/>
  <c r="AF232" i="3"/>
  <c r="AE232" i="3"/>
  <c r="AD232" i="3"/>
  <c r="AC232" i="3"/>
  <c r="AB232" i="3"/>
  <c r="AA232" i="3"/>
  <c r="Z232" i="3"/>
  <c r="Y232" i="3"/>
  <c r="X232" i="3"/>
  <c r="W232" i="3"/>
  <c r="V232" i="3"/>
  <c r="U232" i="3"/>
  <c r="S232" i="3"/>
  <c r="G232" i="3"/>
  <c r="F232" i="3"/>
  <c r="D232" i="3"/>
  <c r="C232" i="3"/>
  <c r="AF231" i="3"/>
  <c r="AE231" i="3"/>
  <c r="AD231" i="3"/>
  <c r="AC231" i="3"/>
  <c r="AB231" i="3"/>
  <c r="AA231" i="3"/>
  <c r="Z231" i="3"/>
  <c r="Y231" i="3"/>
  <c r="X231" i="3"/>
  <c r="W231" i="3"/>
  <c r="V231" i="3"/>
  <c r="U231" i="3"/>
  <c r="S231" i="3"/>
  <c r="G231" i="3"/>
  <c r="F231" i="3"/>
  <c r="D231" i="3"/>
  <c r="C231" i="3"/>
  <c r="AF230" i="3"/>
  <c r="AE230" i="3"/>
  <c r="AD230" i="3"/>
  <c r="AC230" i="3"/>
  <c r="AB230" i="3"/>
  <c r="AA230" i="3"/>
  <c r="Z230" i="3"/>
  <c r="Y230" i="3"/>
  <c r="X230" i="3"/>
  <c r="W230" i="3"/>
  <c r="V230" i="3"/>
  <c r="U230" i="3"/>
  <c r="S230" i="3"/>
  <c r="G230" i="3"/>
  <c r="F230" i="3"/>
  <c r="D230" i="3"/>
  <c r="C230" i="3"/>
  <c r="AF229" i="3"/>
  <c r="AE229" i="3"/>
  <c r="AD229" i="3"/>
  <c r="AC229" i="3"/>
  <c r="AB229" i="3"/>
  <c r="AA229" i="3"/>
  <c r="Z229" i="3"/>
  <c r="Y229" i="3"/>
  <c r="X229" i="3"/>
  <c r="W229" i="3"/>
  <c r="V229" i="3"/>
  <c r="U229" i="3"/>
  <c r="S229" i="3"/>
  <c r="G229" i="3"/>
  <c r="F229" i="3"/>
  <c r="D229" i="3"/>
  <c r="C229" i="3"/>
  <c r="AF228" i="3"/>
  <c r="AE228" i="3"/>
  <c r="AD228" i="3"/>
  <c r="AC228" i="3"/>
  <c r="AB228" i="3"/>
  <c r="AA228" i="3"/>
  <c r="Z228" i="3"/>
  <c r="Y228" i="3"/>
  <c r="X228" i="3"/>
  <c r="W228" i="3"/>
  <c r="V228" i="3"/>
  <c r="U228" i="3"/>
  <c r="S228" i="3"/>
  <c r="G228" i="3"/>
  <c r="F228" i="3"/>
  <c r="D228" i="3"/>
  <c r="C228" i="3"/>
  <c r="AF227" i="3"/>
  <c r="AE227" i="3"/>
  <c r="AD227" i="3"/>
  <c r="AC227" i="3"/>
  <c r="AB227" i="3"/>
  <c r="AA227" i="3"/>
  <c r="Z227" i="3"/>
  <c r="Y227" i="3"/>
  <c r="X227" i="3"/>
  <c r="W227" i="3"/>
  <c r="V227" i="3"/>
  <c r="U227" i="3"/>
  <c r="S227" i="3"/>
  <c r="G227" i="3"/>
  <c r="F227" i="3"/>
  <c r="D227" i="3"/>
  <c r="C227" i="3"/>
  <c r="AF226" i="3"/>
  <c r="AE226" i="3"/>
  <c r="AD226" i="3"/>
  <c r="AC226" i="3"/>
  <c r="AB226" i="3"/>
  <c r="AA226" i="3"/>
  <c r="Z226" i="3"/>
  <c r="Y226" i="3"/>
  <c r="X226" i="3"/>
  <c r="W226" i="3"/>
  <c r="V226" i="3"/>
  <c r="U226" i="3"/>
  <c r="S226" i="3"/>
  <c r="G226" i="3"/>
  <c r="F226" i="3"/>
  <c r="D226" i="3"/>
  <c r="C226" i="3"/>
  <c r="AF225" i="3"/>
  <c r="AE225" i="3"/>
  <c r="AD225" i="3"/>
  <c r="AC225" i="3"/>
  <c r="AB225" i="3"/>
  <c r="AA225" i="3"/>
  <c r="Z225" i="3"/>
  <c r="Y225" i="3"/>
  <c r="X225" i="3"/>
  <c r="W225" i="3"/>
  <c r="V225" i="3"/>
  <c r="U225" i="3"/>
  <c r="S225" i="3"/>
  <c r="G225" i="3"/>
  <c r="F225" i="3"/>
  <c r="D225" i="3"/>
  <c r="C225" i="3"/>
  <c r="AF224" i="3"/>
  <c r="AE224" i="3"/>
  <c r="AD224" i="3"/>
  <c r="AC224" i="3"/>
  <c r="AB224" i="3"/>
  <c r="AA224" i="3"/>
  <c r="Z224" i="3"/>
  <c r="Y224" i="3"/>
  <c r="X224" i="3"/>
  <c r="W224" i="3"/>
  <c r="V224" i="3"/>
  <c r="U224" i="3"/>
  <c r="S224" i="3"/>
  <c r="G224" i="3"/>
  <c r="F224" i="3"/>
  <c r="D224" i="3"/>
  <c r="C224" i="3"/>
  <c r="AF223" i="3"/>
  <c r="AE223" i="3"/>
  <c r="AD223" i="3"/>
  <c r="AC223" i="3"/>
  <c r="AB223" i="3"/>
  <c r="AA223" i="3"/>
  <c r="Z223" i="3"/>
  <c r="Y223" i="3"/>
  <c r="X223" i="3"/>
  <c r="W223" i="3"/>
  <c r="V223" i="3"/>
  <c r="U223" i="3"/>
  <c r="S223" i="3"/>
  <c r="G223" i="3"/>
  <c r="F223" i="3"/>
  <c r="D223" i="3"/>
  <c r="C223" i="3"/>
  <c r="AF222" i="3"/>
  <c r="AE222" i="3"/>
  <c r="AD222" i="3"/>
  <c r="AC222" i="3"/>
  <c r="AB222" i="3"/>
  <c r="AA222" i="3"/>
  <c r="Z222" i="3"/>
  <c r="Y222" i="3"/>
  <c r="X222" i="3"/>
  <c r="W222" i="3"/>
  <c r="V222" i="3"/>
  <c r="U222" i="3"/>
  <c r="S222" i="3"/>
  <c r="G222" i="3"/>
  <c r="F222" i="3"/>
  <c r="D222" i="3"/>
  <c r="C222" i="3"/>
  <c r="AF221" i="3"/>
  <c r="AE221" i="3"/>
  <c r="AD221" i="3"/>
  <c r="AC221" i="3"/>
  <c r="AB221" i="3"/>
  <c r="AA221" i="3"/>
  <c r="Z221" i="3"/>
  <c r="Y221" i="3"/>
  <c r="X221" i="3"/>
  <c r="W221" i="3"/>
  <c r="V221" i="3"/>
  <c r="U221" i="3"/>
  <c r="S221" i="3"/>
  <c r="G221" i="3"/>
  <c r="F221" i="3"/>
  <c r="D221" i="3"/>
  <c r="C221" i="3"/>
  <c r="AF220" i="3"/>
  <c r="AE220" i="3"/>
  <c r="AD220" i="3"/>
  <c r="AC220" i="3"/>
  <c r="AB220" i="3"/>
  <c r="AA220" i="3"/>
  <c r="Z220" i="3"/>
  <c r="Y220" i="3"/>
  <c r="X220" i="3"/>
  <c r="W220" i="3"/>
  <c r="V220" i="3"/>
  <c r="U220" i="3"/>
  <c r="S220" i="3"/>
  <c r="G220" i="3"/>
  <c r="F220" i="3"/>
  <c r="D220" i="3"/>
  <c r="C220" i="3"/>
  <c r="AF219" i="3"/>
  <c r="AE219" i="3"/>
  <c r="AD219" i="3"/>
  <c r="AC219" i="3"/>
  <c r="AB219" i="3"/>
  <c r="AA219" i="3"/>
  <c r="Z219" i="3"/>
  <c r="Y219" i="3"/>
  <c r="X219" i="3"/>
  <c r="W219" i="3"/>
  <c r="V219" i="3"/>
  <c r="U219" i="3"/>
  <c r="S219" i="3"/>
  <c r="G219" i="3"/>
  <c r="F219" i="3"/>
  <c r="D219" i="3"/>
  <c r="C219" i="3"/>
  <c r="AF218" i="3"/>
  <c r="AE218" i="3"/>
  <c r="AD218" i="3"/>
  <c r="AC218" i="3"/>
  <c r="AB218" i="3"/>
  <c r="AA218" i="3"/>
  <c r="Z218" i="3"/>
  <c r="Y218" i="3"/>
  <c r="X218" i="3"/>
  <c r="W218" i="3"/>
  <c r="V218" i="3"/>
  <c r="U218" i="3"/>
  <c r="S218" i="3"/>
  <c r="G218" i="3"/>
  <c r="F218" i="3"/>
  <c r="D218" i="3"/>
  <c r="C218" i="3"/>
  <c r="AF217" i="3"/>
  <c r="AE217" i="3"/>
  <c r="AD217" i="3"/>
  <c r="AC217" i="3"/>
  <c r="AB217" i="3"/>
  <c r="AA217" i="3"/>
  <c r="Z217" i="3"/>
  <c r="Y217" i="3"/>
  <c r="X217" i="3"/>
  <c r="W217" i="3"/>
  <c r="V217" i="3"/>
  <c r="U217" i="3"/>
  <c r="S217" i="3"/>
  <c r="G217" i="3"/>
  <c r="F217" i="3"/>
  <c r="D217" i="3"/>
  <c r="C217" i="3"/>
  <c r="AF216" i="3"/>
  <c r="AE216" i="3"/>
  <c r="AD216" i="3"/>
  <c r="AC216" i="3"/>
  <c r="AB216" i="3"/>
  <c r="AA216" i="3"/>
  <c r="Z216" i="3"/>
  <c r="Y216" i="3"/>
  <c r="X216" i="3"/>
  <c r="W216" i="3"/>
  <c r="V216" i="3"/>
  <c r="U216" i="3"/>
  <c r="S216" i="3"/>
  <c r="G216" i="3"/>
  <c r="F216" i="3"/>
  <c r="D216" i="3"/>
  <c r="C216" i="3"/>
  <c r="AF215" i="3"/>
  <c r="AE215" i="3"/>
  <c r="AD215" i="3"/>
  <c r="AC215" i="3"/>
  <c r="AB215" i="3"/>
  <c r="AA215" i="3"/>
  <c r="Z215" i="3"/>
  <c r="Y215" i="3"/>
  <c r="X215" i="3"/>
  <c r="W215" i="3"/>
  <c r="V215" i="3"/>
  <c r="U215" i="3"/>
  <c r="S215" i="3"/>
  <c r="G215" i="3"/>
  <c r="F215" i="3"/>
  <c r="D215" i="3"/>
  <c r="C215" i="3"/>
  <c r="AF214" i="3"/>
  <c r="AE214" i="3"/>
  <c r="AD214" i="3"/>
  <c r="AC214" i="3"/>
  <c r="AB214" i="3"/>
  <c r="AA214" i="3"/>
  <c r="Z214" i="3"/>
  <c r="Y214" i="3"/>
  <c r="X214" i="3"/>
  <c r="W214" i="3"/>
  <c r="V214" i="3"/>
  <c r="U214" i="3"/>
  <c r="S214" i="3"/>
  <c r="G214" i="3"/>
  <c r="F214" i="3"/>
  <c r="D214" i="3"/>
  <c r="C214" i="3"/>
  <c r="AF213" i="3"/>
  <c r="AE213" i="3"/>
  <c r="AD213" i="3"/>
  <c r="AC213" i="3"/>
  <c r="AB213" i="3"/>
  <c r="AA213" i="3"/>
  <c r="Z213" i="3"/>
  <c r="Y213" i="3"/>
  <c r="X213" i="3"/>
  <c r="W213" i="3"/>
  <c r="V213" i="3"/>
  <c r="U213" i="3"/>
  <c r="S213" i="3"/>
  <c r="G213" i="3"/>
  <c r="F213" i="3"/>
  <c r="D213" i="3"/>
  <c r="C213" i="3"/>
  <c r="AF212" i="3"/>
  <c r="AE212" i="3"/>
  <c r="AD212" i="3"/>
  <c r="AC212" i="3"/>
  <c r="AB212" i="3"/>
  <c r="AA212" i="3"/>
  <c r="Z212" i="3"/>
  <c r="Y212" i="3"/>
  <c r="X212" i="3"/>
  <c r="W212" i="3"/>
  <c r="V212" i="3"/>
  <c r="U212" i="3"/>
  <c r="S212" i="3"/>
  <c r="G212" i="3"/>
  <c r="F212" i="3"/>
  <c r="D212" i="3"/>
  <c r="C212" i="3"/>
  <c r="AF211" i="3"/>
  <c r="AE211" i="3"/>
  <c r="AD211" i="3"/>
  <c r="AC211" i="3"/>
  <c r="AB211" i="3"/>
  <c r="AA211" i="3"/>
  <c r="Z211" i="3"/>
  <c r="Y211" i="3"/>
  <c r="X211" i="3"/>
  <c r="W211" i="3"/>
  <c r="V211" i="3"/>
  <c r="U211" i="3"/>
  <c r="S211" i="3"/>
  <c r="G211" i="3"/>
  <c r="F211" i="3"/>
  <c r="D211" i="3"/>
  <c r="C211" i="3"/>
  <c r="AF210" i="3"/>
  <c r="AE210" i="3"/>
  <c r="AD210" i="3"/>
  <c r="AC210" i="3"/>
  <c r="AB210" i="3"/>
  <c r="AA210" i="3"/>
  <c r="Z210" i="3"/>
  <c r="Y210" i="3"/>
  <c r="X210" i="3"/>
  <c r="W210" i="3"/>
  <c r="V210" i="3"/>
  <c r="U210" i="3"/>
  <c r="S210" i="3"/>
  <c r="G210" i="3"/>
  <c r="F210" i="3"/>
  <c r="D210" i="3"/>
  <c r="C210" i="3"/>
  <c r="AF209" i="3"/>
  <c r="AE209" i="3"/>
  <c r="AD209" i="3"/>
  <c r="AC209" i="3"/>
  <c r="AB209" i="3"/>
  <c r="AA209" i="3"/>
  <c r="Z209" i="3"/>
  <c r="Y209" i="3"/>
  <c r="X209" i="3"/>
  <c r="W209" i="3"/>
  <c r="V209" i="3"/>
  <c r="U209" i="3"/>
  <c r="S209" i="3"/>
  <c r="G209" i="3"/>
  <c r="F209" i="3"/>
  <c r="D209" i="3"/>
  <c r="C209" i="3"/>
  <c r="AF208" i="3"/>
  <c r="AE208" i="3"/>
  <c r="AD208" i="3"/>
  <c r="AC208" i="3"/>
  <c r="AB208" i="3"/>
  <c r="AA208" i="3"/>
  <c r="Z208" i="3"/>
  <c r="Y208" i="3"/>
  <c r="X208" i="3"/>
  <c r="W208" i="3"/>
  <c r="V208" i="3"/>
  <c r="U208" i="3"/>
  <c r="S208" i="3"/>
  <c r="G208" i="3"/>
  <c r="F208" i="3"/>
  <c r="D208" i="3"/>
  <c r="C208" i="3"/>
  <c r="AF207" i="3"/>
  <c r="AE207" i="3"/>
  <c r="AD207" i="3"/>
  <c r="AC207" i="3"/>
  <c r="AB207" i="3"/>
  <c r="AA207" i="3"/>
  <c r="Z207" i="3"/>
  <c r="Y207" i="3"/>
  <c r="X207" i="3"/>
  <c r="W207" i="3"/>
  <c r="V207" i="3"/>
  <c r="U207" i="3"/>
  <c r="S207" i="3"/>
  <c r="G207" i="3"/>
  <c r="F207" i="3"/>
  <c r="D207" i="3"/>
  <c r="C207" i="3"/>
  <c r="AF206" i="3"/>
  <c r="AE206" i="3"/>
  <c r="AD206" i="3"/>
  <c r="AC206" i="3"/>
  <c r="AB206" i="3"/>
  <c r="AA206" i="3"/>
  <c r="Z206" i="3"/>
  <c r="Y206" i="3"/>
  <c r="X206" i="3"/>
  <c r="W206" i="3"/>
  <c r="V206" i="3"/>
  <c r="U206" i="3"/>
  <c r="S206" i="3"/>
  <c r="G206" i="3"/>
  <c r="F206" i="3"/>
  <c r="D206" i="3"/>
  <c r="C206" i="3"/>
  <c r="AF205" i="3"/>
  <c r="AE205" i="3"/>
  <c r="AD205" i="3"/>
  <c r="AC205" i="3"/>
  <c r="AB205" i="3"/>
  <c r="AA205" i="3"/>
  <c r="Z205" i="3"/>
  <c r="Y205" i="3"/>
  <c r="X205" i="3"/>
  <c r="W205" i="3"/>
  <c r="V205" i="3"/>
  <c r="U205" i="3"/>
  <c r="S205" i="3"/>
  <c r="G205" i="3"/>
  <c r="F205" i="3"/>
  <c r="D205" i="3"/>
  <c r="C205" i="3"/>
  <c r="AF204" i="3"/>
  <c r="AE204" i="3"/>
  <c r="AD204" i="3"/>
  <c r="AC204" i="3"/>
  <c r="AB204" i="3"/>
  <c r="AA204" i="3"/>
  <c r="Z204" i="3"/>
  <c r="Y204" i="3"/>
  <c r="X204" i="3"/>
  <c r="W204" i="3"/>
  <c r="V204" i="3"/>
  <c r="U204" i="3"/>
  <c r="S204" i="3"/>
  <c r="G204" i="3"/>
  <c r="F204" i="3"/>
  <c r="D204" i="3"/>
  <c r="C204" i="3"/>
  <c r="AF203" i="3"/>
  <c r="AE203" i="3"/>
  <c r="AD203" i="3"/>
  <c r="AC203" i="3"/>
  <c r="AB203" i="3"/>
  <c r="AA203" i="3"/>
  <c r="Z203" i="3"/>
  <c r="Y203" i="3"/>
  <c r="X203" i="3"/>
  <c r="W203" i="3"/>
  <c r="V203" i="3"/>
  <c r="U203" i="3"/>
  <c r="S203" i="3"/>
  <c r="G203" i="3"/>
  <c r="F203" i="3"/>
  <c r="D203" i="3"/>
  <c r="C203" i="3"/>
  <c r="AF202" i="3"/>
  <c r="AE202" i="3"/>
  <c r="AD202" i="3"/>
  <c r="AC202" i="3"/>
  <c r="AB202" i="3"/>
  <c r="AA202" i="3"/>
  <c r="Z202" i="3"/>
  <c r="Y202" i="3"/>
  <c r="X202" i="3"/>
  <c r="W202" i="3"/>
  <c r="V202" i="3"/>
  <c r="U202" i="3"/>
  <c r="S202" i="3"/>
  <c r="G202" i="3"/>
  <c r="F202" i="3"/>
  <c r="D202" i="3"/>
  <c r="C202" i="3"/>
  <c r="AF201" i="3"/>
  <c r="AE201" i="3"/>
  <c r="AD201" i="3"/>
  <c r="AC201" i="3"/>
  <c r="AB201" i="3"/>
  <c r="AA201" i="3"/>
  <c r="Z201" i="3"/>
  <c r="Y201" i="3"/>
  <c r="X201" i="3"/>
  <c r="W201" i="3"/>
  <c r="V201" i="3"/>
  <c r="U201" i="3"/>
  <c r="S201" i="3"/>
  <c r="G201" i="3"/>
  <c r="F201" i="3"/>
  <c r="D201" i="3"/>
  <c r="C201" i="3"/>
  <c r="AF200" i="3"/>
  <c r="AE200" i="3"/>
  <c r="AD200" i="3"/>
  <c r="AC200" i="3"/>
  <c r="AB200" i="3"/>
  <c r="AA200" i="3"/>
  <c r="Z200" i="3"/>
  <c r="Y200" i="3"/>
  <c r="X200" i="3"/>
  <c r="W200" i="3"/>
  <c r="V200" i="3"/>
  <c r="U200" i="3"/>
  <c r="S200" i="3"/>
  <c r="G200" i="3"/>
  <c r="F200" i="3"/>
  <c r="D200" i="3"/>
  <c r="C200" i="3"/>
  <c r="AF199" i="3"/>
  <c r="AE199" i="3"/>
  <c r="AD199" i="3"/>
  <c r="AC199" i="3"/>
  <c r="AB199" i="3"/>
  <c r="AA199" i="3"/>
  <c r="Z199" i="3"/>
  <c r="Y199" i="3"/>
  <c r="X199" i="3"/>
  <c r="W199" i="3"/>
  <c r="V199" i="3"/>
  <c r="U199" i="3"/>
  <c r="S199" i="3"/>
  <c r="G199" i="3"/>
  <c r="F199" i="3"/>
  <c r="D199" i="3"/>
  <c r="C199" i="3"/>
  <c r="AF198" i="3"/>
  <c r="AE198" i="3"/>
  <c r="AD198" i="3"/>
  <c r="AC198" i="3"/>
  <c r="AB198" i="3"/>
  <c r="AA198" i="3"/>
  <c r="Z198" i="3"/>
  <c r="Y198" i="3"/>
  <c r="X198" i="3"/>
  <c r="W198" i="3"/>
  <c r="V198" i="3"/>
  <c r="U198" i="3"/>
  <c r="S198" i="3"/>
  <c r="G198" i="3"/>
  <c r="F198" i="3"/>
  <c r="D198" i="3"/>
  <c r="C198" i="3"/>
  <c r="AF197" i="3"/>
  <c r="AE197" i="3"/>
  <c r="AD197" i="3"/>
  <c r="AC197" i="3"/>
  <c r="AB197" i="3"/>
  <c r="AA197" i="3"/>
  <c r="Z197" i="3"/>
  <c r="Y197" i="3"/>
  <c r="X197" i="3"/>
  <c r="W197" i="3"/>
  <c r="V197" i="3"/>
  <c r="U197" i="3"/>
  <c r="S197" i="3"/>
  <c r="G197" i="3"/>
  <c r="F197" i="3"/>
  <c r="D197" i="3"/>
  <c r="C197" i="3"/>
  <c r="AF196" i="3"/>
  <c r="AE196" i="3"/>
  <c r="AD196" i="3"/>
  <c r="AC196" i="3"/>
  <c r="AB196" i="3"/>
  <c r="AA196" i="3"/>
  <c r="Z196" i="3"/>
  <c r="Y196" i="3"/>
  <c r="X196" i="3"/>
  <c r="W196" i="3"/>
  <c r="V196" i="3"/>
  <c r="U196" i="3"/>
  <c r="S196" i="3"/>
  <c r="G196" i="3"/>
  <c r="F196" i="3"/>
  <c r="D196" i="3"/>
  <c r="C196" i="3"/>
  <c r="AF195" i="3"/>
  <c r="AE195" i="3"/>
  <c r="AD195" i="3"/>
  <c r="AC195" i="3"/>
  <c r="AB195" i="3"/>
  <c r="AA195" i="3"/>
  <c r="Z195" i="3"/>
  <c r="Y195" i="3"/>
  <c r="X195" i="3"/>
  <c r="W195" i="3"/>
  <c r="V195" i="3"/>
  <c r="U195" i="3"/>
  <c r="S195" i="3"/>
  <c r="G195" i="3"/>
  <c r="F195" i="3"/>
  <c r="D195" i="3"/>
  <c r="C195" i="3"/>
  <c r="AF194" i="3"/>
  <c r="AE194" i="3"/>
  <c r="AD194" i="3"/>
  <c r="AC194" i="3"/>
  <c r="AB194" i="3"/>
  <c r="AA194" i="3"/>
  <c r="Z194" i="3"/>
  <c r="Y194" i="3"/>
  <c r="X194" i="3"/>
  <c r="W194" i="3"/>
  <c r="V194" i="3"/>
  <c r="U194" i="3"/>
  <c r="S194" i="3"/>
  <c r="G194" i="3"/>
  <c r="F194" i="3"/>
  <c r="D194" i="3"/>
  <c r="C194" i="3"/>
  <c r="AF193" i="3"/>
  <c r="AE193" i="3"/>
  <c r="AD193" i="3"/>
  <c r="AC193" i="3"/>
  <c r="AB193" i="3"/>
  <c r="AA193" i="3"/>
  <c r="Z193" i="3"/>
  <c r="Y193" i="3"/>
  <c r="X193" i="3"/>
  <c r="W193" i="3"/>
  <c r="V193" i="3"/>
  <c r="U193" i="3"/>
  <c r="S193" i="3"/>
  <c r="G193" i="3"/>
  <c r="F193" i="3"/>
  <c r="D193" i="3"/>
  <c r="C193" i="3"/>
  <c r="AF192" i="3"/>
  <c r="AE192" i="3"/>
  <c r="AD192" i="3"/>
  <c r="AC192" i="3"/>
  <c r="AB192" i="3"/>
  <c r="AA192" i="3"/>
  <c r="Z192" i="3"/>
  <c r="Y192" i="3"/>
  <c r="X192" i="3"/>
  <c r="W192" i="3"/>
  <c r="V192" i="3"/>
  <c r="U192" i="3"/>
  <c r="S192" i="3"/>
  <c r="G192" i="3"/>
  <c r="F192" i="3"/>
  <c r="D192" i="3"/>
  <c r="C192" i="3"/>
  <c r="AF191" i="3"/>
  <c r="AE191" i="3"/>
  <c r="AD191" i="3"/>
  <c r="AC191" i="3"/>
  <c r="AB191" i="3"/>
  <c r="AA191" i="3"/>
  <c r="Z191" i="3"/>
  <c r="Y191" i="3"/>
  <c r="X191" i="3"/>
  <c r="W191" i="3"/>
  <c r="V191" i="3"/>
  <c r="U191" i="3"/>
  <c r="S191" i="3"/>
  <c r="G191" i="3"/>
  <c r="F191" i="3"/>
  <c r="D191" i="3"/>
  <c r="C191" i="3"/>
  <c r="AF190" i="3"/>
  <c r="AE190" i="3"/>
  <c r="AD190" i="3"/>
  <c r="AC190" i="3"/>
  <c r="AB190" i="3"/>
  <c r="AA190" i="3"/>
  <c r="Z190" i="3"/>
  <c r="Y190" i="3"/>
  <c r="X190" i="3"/>
  <c r="W190" i="3"/>
  <c r="V190" i="3"/>
  <c r="U190" i="3"/>
  <c r="S190" i="3"/>
  <c r="G190" i="3"/>
  <c r="F190" i="3"/>
  <c r="D190" i="3"/>
  <c r="C190" i="3"/>
  <c r="AF189" i="3"/>
  <c r="AE189" i="3"/>
  <c r="AD189" i="3"/>
  <c r="AC189" i="3"/>
  <c r="AB189" i="3"/>
  <c r="AA189" i="3"/>
  <c r="Z189" i="3"/>
  <c r="Y189" i="3"/>
  <c r="X189" i="3"/>
  <c r="W189" i="3"/>
  <c r="V189" i="3"/>
  <c r="U189" i="3"/>
  <c r="S189" i="3"/>
  <c r="G189" i="3"/>
  <c r="F189" i="3"/>
  <c r="D189" i="3"/>
  <c r="C189" i="3"/>
  <c r="AF188" i="3"/>
  <c r="AE188" i="3"/>
  <c r="AD188" i="3"/>
  <c r="AC188" i="3"/>
  <c r="AB188" i="3"/>
  <c r="AA188" i="3"/>
  <c r="Z188" i="3"/>
  <c r="Y188" i="3"/>
  <c r="X188" i="3"/>
  <c r="W188" i="3"/>
  <c r="V188" i="3"/>
  <c r="U188" i="3"/>
  <c r="S188" i="3"/>
  <c r="G188" i="3"/>
  <c r="F188" i="3"/>
  <c r="D188" i="3"/>
  <c r="C188" i="3"/>
  <c r="AF187" i="3"/>
  <c r="AE187" i="3"/>
  <c r="AD187" i="3"/>
  <c r="AC187" i="3"/>
  <c r="AB187" i="3"/>
  <c r="AA187" i="3"/>
  <c r="Z187" i="3"/>
  <c r="Y187" i="3"/>
  <c r="X187" i="3"/>
  <c r="W187" i="3"/>
  <c r="V187" i="3"/>
  <c r="U187" i="3"/>
  <c r="S187" i="3"/>
  <c r="G187" i="3"/>
  <c r="F187" i="3"/>
  <c r="D187" i="3"/>
  <c r="C187" i="3"/>
  <c r="AF186" i="3"/>
  <c r="AE186" i="3"/>
  <c r="AD186" i="3"/>
  <c r="AC186" i="3"/>
  <c r="AB186" i="3"/>
  <c r="AA186" i="3"/>
  <c r="Z186" i="3"/>
  <c r="Y186" i="3"/>
  <c r="X186" i="3"/>
  <c r="W186" i="3"/>
  <c r="V186" i="3"/>
  <c r="U186" i="3"/>
  <c r="S186" i="3"/>
  <c r="G186" i="3"/>
  <c r="F186" i="3"/>
  <c r="D186" i="3"/>
  <c r="C186" i="3"/>
  <c r="AF185" i="3"/>
  <c r="AE185" i="3"/>
  <c r="AD185" i="3"/>
  <c r="AC185" i="3"/>
  <c r="AB185" i="3"/>
  <c r="AA185" i="3"/>
  <c r="Z185" i="3"/>
  <c r="Y185" i="3"/>
  <c r="X185" i="3"/>
  <c r="W185" i="3"/>
  <c r="V185" i="3"/>
  <c r="U185" i="3"/>
  <c r="S185" i="3"/>
  <c r="G185" i="3"/>
  <c r="F185" i="3"/>
  <c r="D185" i="3"/>
  <c r="C185" i="3"/>
  <c r="AF184" i="3"/>
  <c r="AE184" i="3"/>
  <c r="AD184" i="3"/>
  <c r="AC184" i="3"/>
  <c r="AB184" i="3"/>
  <c r="AA184" i="3"/>
  <c r="Z184" i="3"/>
  <c r="Y184" i="3"/>
  <c r="X184" i="3"/>
  <c r="W184" i="3"/>
  <c r="V184" i="3"/>
  <c r="U184" i="3"/>
  <c r="S184" i="3"/>
  <c r="G184" i="3"/>
  <c r="F184" i="3"/>
  <c r="D184" i="3"/>
  <c r="C184" i="3"/>
  <c r="AF183" i="3"/>
  <c r="AE183" i="3"/>
  <c r="AD183" i="3"/>
  <c r="AC183" i="3"/>
  <c r="AB183" i="3"/>
  <c r="AA183" i="3"/>
  <c r="Z183" i="3"/>
  <c r="Y183" i="3"/>
  <c r="X183" i="3"/>
  <c r="W183" i="3"/>
  <c r="V183" i="3"/>
  <c r="U183" i="3"/>
  <c r="S183" i="3"/>
  <c r="G183" i="3"/>
  <c r="F183" i="3"/>
  <c r="D183" i="3"/>
  <c r="C183" i="3"/>
  <c r="AF182" i="3"/>
  <c r="AE182" i="3"/>
  <c r="AD182" i="3"/>
  <c r="AC182" i="3"/>
  <c r="AB182" i="3"/>
  <c r="AA182" i="3"/>
  <c r="Z182" i="3"/>
  <c r="Y182" i="3"/>
  <c r="X182" i="3"/>
  <c r="W182" i="3"/>
  <c r="V182" i="3"/>
  <c r="U182" i="3"/>
  <c r="S182" i="3"/>
  <c r="G182" i="3"/>
  <c r="F182" i="3"/>
  <c r="D182" i="3"/>
  <c r="C182" i="3"/>
  <c r="AF181" i="3"/>
  <c r="AE181" i="3"/>
  <c r="AD181" i="3"/>
  <c r="AC181" i="3"/>
  <c r="AB181" i="3"/>
  <c r="AA181" i="3"/>
  <c r="Z181" i="3"/>
  <c r="Y181" i="3"/>
  <c r="X181" i="3"/>
  <c r="W181" i="3"/>
  <c r="V181" i="3"/>
  <c r="U181" i="3"/>
  <c r="S181" i="3"/>
  <c r="G181" i="3"/>
  <c r="F181" i="3"/>
  <c r="D181" i="3"/>
  <c r="C181" i="3"/>
  <c r="AF180" i="3"/>
  <c r="AE180" i="3"/>
  <c r="AD180" i="3"/>
  <c r="AC180" i="3"/>
  <c r="AB180" i="3"/>
  <c r="AA180" i="3"/>
  <c r="Z180" i="3"/>
  <c r="Y180" i="3"/>
  <c r="X180" i="3"/>
  <c r="W180" i="3"/>
  <c r="V180" i="3"/>
  <c r="U180" i="3"/>
  <c r="S180" i="3"/>
  <c r="G180" i="3"/>
  <c r="F180" i="3"/>
  <c r="D180" i="3"/>
  <c r="C180" i="3"/>
  <c r="AF179" i="3"/>
  <c r="AE179" i="3"/>
  <c r="AD179" i="3"/>
  <c r="AC179" i="3"/>
  <c r="AB179" i="3"/>
  <c r="AA179" i="3"/>
  <c r="Z179" i="3"/>
  <c r="Y179" i="3"/>
  <c r="X179" i="3"/>
  <c r="W179" i="3"/>
  <c r="V179" i="3"/>
  <c r="U179" i="3"/>
  <c r="S179" i="3"/>
  <c r="G179" i="3"/>
  <c r="F179" i="3"/>
  <c r="D179" i="3"/>
  <c r="C179" i="3"/>
  <c r="AF178" i="3"/>
  <c r="AE178" i="3"/>
  <c r="AD178" i="3"/>
  <c r="AC178" i="3"/>
  <c r="AB178" i="3"/>
  <c r="AA178" i="3"/>
  <c r="Z178" i="3"/>
  <c r="Y178" i="3"/>
  <c r="X178" i="3"/>
  <c r="W178" i="3"/>
  <c r="V178" i="3"/>
  <c r="U178" i="3"/>
  <c r="S178" i="3"/>
  <c r="G178" i="3"/>
  <c r="F178" i="3"/>
  <c r="D178" i="3"/>
  <c r="C178" i="3"/>
  <c r="AF177" i="3"/>
  <c r="AE177" i="3"/>
  <c r="AD177" i="3"/>
  <c r="AC177" i="3"/>
  <c r="AB177" i="3"/>
  <c r="AA177" i="3"/>
  <c r="Z177" i="3"/>
  <c r="Y177" i="3"/>
  <c r="X177" i="3"/>
  <c r="W177" i="3"/>
  <c r="V177" i="3"/>
  <c r="U177" i="3"/>
  <c r="S177" i="3"/>
  <c r="G177" i="3"/>
  <c r="F177" i="3"/>
  <c r="D177" i="3"/>
  <c r="C177" i="3"/>
  <c r="AF176" i="3"/>
  <c r="AE176" i="3"/>
  <c r="AD176" i="3"/>
  <c r="AC176" i="3"/>
  <c r="AB176" i="3"/>
  <c r="AA176" i="3"/>
  <c r="Z176" i="3"/>
  <c r="Y176" i="3"/>
  <c r="X176" i="3"/>
  <c r="W176" i="3"/>
  <c r="V176" i="3"/>
  <c r="U176" i="3"/>
  <c r="S176" i="3"/>
  <c r="G176" i="3"/>
  <c r="F176" i="3"/>
  <c r="D176" i="3"/>
  <c r="C176" i="3"/>
  <c r="AF175" i="3"/>
  <c r="AE175" i="3"/>
  <c r="AD175" i="3"/>
  <c r="AC175" i="3"/>
  <c r="AB175" i="3"/>
  <c r="AA175" i="3"/>
  <c r="Z175" i="3"/>
  <c r="Y175" i="3"/>
  <c r="X175" i="3"/>
  <c r="W175" i="3"/>
  <c r="V175" i="3"/>
  <c r="U175" i="3"/>
  <c r="S175" i="3"/>
  <c r="G175" i="3"/>
  <c r="F175" i="3"/>
  <c r="D175" i="3"/>
  <c r="C175" i="3"/>
  <c r="AF174" i="3"/>
  <c r="AE174" i="3"/>
  <c r="AD174" i="3"/>
  <c r="AC174" i="3"/>
  <c r="AB174" i="3"/>
  <c r="AA174" i="3"/>
  <c r="Z174" i="3"/>
  <c r="Y174" i="3"/>
  <c r="X174" i="3"/>
  <c r="W174" i="3"/>
  <c r="V174" i="3"/>
  <c r="U174" i="3"/>
  <c r="S174" i="3"/>
  <c r="G174" i="3"/>
  <c r="F174" i="3"/>
  <c r="D174" i="3"/>
  <c r="C174" i="3"/>
  <c r="AF173" i="3"/>
  <c r="AE173" i="3"/>
  <c r="AD173" i="3"/>
  <c r="AC173" i="3"/>
  <c r="AB173" i="3"/>
  <c r="AA173" i="3"/>
  <c r="Z173" i="3"/>
  <c r="Y173" i="3"/>
  <c r="X173" i="3"/>
  <c r="W173" i="3"/>
  <c r="V173" i="3"/>
  <c r="U173" i="3"/>
  <c r="S173" i="3"/>
  <c r="G173" i="3"/>
  <c r="F173" i="3"/>
  <c r="D173" i="3"/>
  <c r="C173" i="3"/>
  <c r="AF172" i="3"/>
  <c r="AE172" i="3"/>
  <c r="AD172" i="3"/>
  <c r="AC172" i="3"/>
  <c r="AB172" i="3"/>
  <c r="AA172" i="3"/>
  <c r="Z172" i="3"/>
  <c r="Y172" i="3"/>
  <c r="X172" i="3"/>
  <c r="W172" i="3"/>
  <c r="V172" i="3"/>
  <c r="U172" i="3"/>
  <c r="S172" i="3"/>
  <c r="G172" i="3"/>
  <c r="F172" i="3"/>
  <c r="D172" i="3"/>
  <c r="C172" i="3"/>
  <c r="AF171" i="3"/>
  <c r="AE171" i="3"/>
  <c r="AD171" i="3"/>
  <c r="AC171" i="3"/>
  <c r="AB171" i="3"/>
  <c r="AA171" i="3"/>
  <c r="Z171" i="3"/>
  <c r="Y171" i="3"/>
  <c r="X171" i="3"/>
  <c r="W171" i="3"/>
  <c r="V171" i="3"/>
  <c r="U171" i="3"/>
  <c r="S171" i="3"/>
  <c r="G171" i="3"/>
  <c r="F171" i="3"/>
  <c r="D171" i="3"/>
  <c r="C171" i="3"/>
  <c r="AF170" i="3"/>
  <c r="AE170" i="3"/>
  <c r="AD170" i="3"/>
  <c r="AC170" i="3"/>
  <c r="AB170" i="3"/>
  <c r="AA170" i="3"/>
  <c r="Z170" i="3"/>
  <c r="Y170" i="3"/>
  <c r="X170" i="3"/>
  <c r="W170" i="3"/>
  <c r="V170" i="3"/>
  <c r="U170" i="3"/>
  <c r="S170" i="3"/>
  <c r="G170" i="3"/>
  <c r="F170" i="3"/>
  <c r="D170" i="3"/>
  <c r="C170" i="3"/>
  <c r="AF169" i="3"/>
  <c r="AE169" i="3"/>
  <c r="AD169" i="3"/>
  <c r="AC169" i="3"/>
  <c r="AB169" i="3"/>
  <c r="AA169" i="3"/>
  <c r="Z169" i="3"/>
  <c r="Y169" i="3"/>
  <c r="X169" i="3"/>
  <c r="W169" i="3"/>
  <c r="V169" i="3"/>
  <c r="U169" i="3"/>
  <c r="S169" i="3"/>
  <c r="G169" i="3"/>
  <c r="F169" i="3"/>
  <c r="D169" i="3"/>
  <c r="C169" i="3"/>
  <c r="AF168" i="3"/>
  <c r="AE168" i="3"/>
  <c r="AD168" i="3"/>
  <c r="AC168" i="3"/>
  <c r="AB168" i="3"/>
  <c r="AA168" i="3"/>
  <c r="Z168" i="3"/>
  <c r="Y168" i="3"/>
  <c r="X168" i="3"/>
  <c r="W168" i="3"/>
  <c r="V168" i="3"/>
  <c r="U168" i="3"/>
  <c r="S168" i="3"/>
  <c r="G168" i="3"/>
  <c r="F168" i="3"/>
  <c r="D168" i="3"/>
  <c r="C168" i="3"/>
  <c r="AF167" i="3"/>
  <c r="AE167" i="3"/>
  <c r="AD167" i="3"/>
  <c r="AC167" i="3"/>
  <c r="AB167" i="3"/>
  <c r="AA167" i="3"/>
  <c r="Z167" i="3"/>
  <c r="Y167" i="3"/>
  <c r="X167" i="3"/>
  <c r="W167" i="3"/>
  <c r="V167" i="3"/>
  <c r="U167" i="3"/>
  <c r="S167" i="3"/>
  <c r="G167" i="3"/>
  <c r="F167" i="3"/>
  <c r="D167" i="3"/>
  <c r="C167" i="3"/>
  <c r="AF166" i="3"/>
  <c r="AE166" i="3"/>
  <c r="AD166" i="3"/>
  <c r="AC166" i="3"/>
  <c r="AB166" i="3"/>
  <c r="AA166" i="3"/>
  <c r="Z166" i="3"/>
  <c r="Y166" i="3"/>
  <c r="X166" i="3"/>
  <c r="W166" i="3"/>
  <c r="V166" i="3"/>
  <c r="U166" i="3"/>
  <c r="S166" i="3"/>
  <c r="G166" i="3"/>
  <c r="F166" i="3"/>
  <c r="D166" i="3"/>
  <c r="C166" i="3"/>
  <c r="AF165" i="3"/>
  <c r="AE165" i="3"/>
  <c r="AD165" i="3"/>
  <c r="AC165" i="3"/>
  <c r="AB165" i="3"/>
  <c r="AA165" i="3"/>
  <c r="Z165" i="3"/>
  <c r="Y165" i="3"/>
  <c r="X165" i="3"/>
  <c r="W165" i="3"/>
  <c r="V165" i="3"/>
  <c r="U165" i="3"/>
  <c r="S165" i="3"/>
  <c r="G165" i="3"/>
  <c r="F165" i="3"/>
  <c r="D165" i="3"/>
  <c r="C165" i="3"/>
  <c r="AF164" i="3"/>
  <c r="AE164" i="3"/>
  <c r="AD164" i="3"/>
  <c r="AC164" i="3"/>
  <c r="AB164" i="3"/>
  <c r="AA164" i="3"/>
  <c r="Z164" i="3"/>
  <c r="Y164" i="3"/>
  <c r="X164" i="3"/>
  <c r="W164" i="3"/>
  <c r="V164" i="3"/>
  <c r="U164" i="3"/>
  <c r="S164" i="3"/>
  <c r="G164" i="3"/>
  <c r="F164" i="3"/>
  <c r="D164" i="3"/>
  <c r="C164" i="3"/>
  <c r="AF163" i="3"/>
  <c r="AE163" i="3"/>
  <c r="AD163" i="3"/>
  <c r="AC163" i="3"/>
  <c r="AB163" i="3"/>
  <c r="AA163" i="3"/>
  <c r="Z163" i="3"/>
  <c r="Y163" i="3"/>
  <c r="X163" i="3"/>
  <c r="W163" i="3"/>
  <c r="V163" i="3"/>
  <c r="U163" i="3"/>
  <c r="S163" i="3"/>
  <c r="G163" i="3"/>
  <c r="F163" i="3"/>
  <c r="D163" i="3"/>
  <c r="C163" i="3"/>
  <c r="AF162" i="3"/>
  <c r="AE162" i="3"/>
  <c r="AD162" i="3"/>
  <c r="AC162" i="3"/>
  <c r="AB162" i="3"/>
  <c r="AA162" i="3"/>
  <c r="Z162" i="3"/>
  <c r="Y162" i="3"/>
  <c r="X162" i="3"/>
  <c r="W162" i="3"/>
  <c r="V162" i="3"/>
  <c r="U162" i="3"/>
  <c r="S162" i="3"/>
  <c r="G162" i="3"/>
  <c r="F162" i="3"/>
  <c r="D162" i="3"/>
  <c r="C162" i="3"/>
  <c r="AF161" i="3"/>
  <c r="AE161" i="3"/>
  <c r="AD161" i="3"/>
  <c r="AC161" i="3"/>
  <c r="AB161" i="3"/>
  <c r="AA161" i="3"/>
  <c r="Z161" i="3"/>
  <c r="Y161" i="3"/>
  <c r="X161" i="3"/>
  <c r="W161" i="3"/>
  <c r="V161" i="3"/>
  <c r="U161" i="3"/>
  <c r="S161" i="3"/>
  <c r="G161" i="3"/>
  <c r="F161" i="3"/>
  <c r="D161" i="3"/>
  <c r="C161" i="3"/>
  <c r="AF160" i="3"/>
  <c r="AE160" i="3"/>
  <c r="AD160" i="3"/>
  <c r="AC160" i="3"/>
  <c r="AB160" i="3"/>
  <c r="AA160" i="3"/>
  <c r="Z160" i="3"/>
  <c r="Y160" i="3"/>
  <c r="X160" i="3"/>
  <c r="W160" i="3"/>
  <c r="V160" i="3"/>
  <c r="U160" i="3"/>
  <c r="S160" i="3"/>
  <c r="G160" i="3"/>
  <c r="F160" i="3"/>
  <c r="D160" i="3"/>
  <c r="C160" i="3"/>
  <c r="AF159" i="3"/>
  <c r="AE159" i="3"/>
  <c r="AD159" i="3"/>
  <c r="AC159" i="3"/>
  <c r="AB159" i="3"/>
  <c r="AA159" i="3"/>
  <c r="Z159" i="3"/>
  <c r="Y159" i="3"/>
  <c r="X159" i="3"/>
  <c r="W159" i="3"/>
  <c r="V159" i="3"/>
  <c r="U159" i="3"/>
  <c r="S159" i="3"/>
  <c r="G159" i="3"/>
  <c r="F159" i="3"/>
  <c r="D159" i="3"/>
  <c r="C159" i="3"/>
  <c r="AF158" i="3"/>
  <c r="AE158" i="3"/>
  <c r="AD158" i="3"/>
  <c r="AC158" i="3"/>
  <c r="AB158" i="3"/>
  <c r="AA158" i="3"/>
  <c r="Z158" i="3"/>
  <c r="Y158" i="3"/>
  <c r="X158" i="3"/>
  <c r="W158" i="3"/>
  <c r="V158" i="3"/>
  <c r="U158" i="3"/>
  <c r="S158" i="3"/>
  <c r="G158" i="3"/>
  <c r="F158" i="3"/>
  <c r="D158" i="3"/>
  <c r="C158" i="3"/>
  <c r="AF157" i="3"/>
  <c r="AE157" i="3"/>
  <c r="AD157" i="3"/>
  <c r="AC157" i="3"/>
  <c r="AB157" i="3"/>
  <c r="AA157" i="3"/>
  <c r="Z157" i="3"/>
  <c r="Y157" i="3"/>
  <c r="X157" i="3"/>
  <c r="W157" i="3"/>
  <c r="V157" i="3"/>
  <c r="U157" i="3"/>
  <c r="S157" i="3"/>
  <c r="G157" i="3"/>
  <c r="F157" i="3"/>
  <c r="D157" i="3"/>
  <c r="C157" i="3"/>
  <c r="AF156" i="3"/>
  <c r="AE156" i="3"/>
  <c r="AD156" i="3"/>
  <c r="AC156" i="3"/>
  <c r="AB156" i="3"/>
  <c r="AA156" i="3"/>
  <c r="Z156" i="3"/>
  <c r="Y156" i="3"/>
  <c r="X156" i="3"/>
  <c r="W156" i="3"/>
  <c r="V156" i="3"/>
  <c r="U156" i="3"/>
  <c r="S156" i="3"/>
  <c r="G156" i="3"/>
  <c r="F156" i="3"/>
  <c r="D156" i="3"/>
  <c r="C156" i="3"/>
  <c r="AF155" i="3"/>
  <c r="AE155" i="3"/>
  <c r="AD155" i="3"/>
  <c r="AC155" i="3"/>
  <c r="AB155" i="3"/>
  <c r="AA155" i="3"/>
  <c r="Z155" i="3"/>
  <c r="Y155" i="3"/>
  <c r="X155" i="3"/>
  <c r="W155" i="3"/>
  <c r="V155" i="3"/>
  <c r="U155" i="3"/>
  <c r="S155" i="3"/>
  <c r="G155" i="3"/>
  <c r="F155" i="3"/>
  <c r="D155" i="3"/>
  <c r="C155" i="3"/>
  <c r="AF154" i="3"/>
  <c r="AE154" i="3"/>
  <c r="AD154" i="3"/>
  <c r="AC154" i="3"/>
  <c r="AB154" i="3"/>
  <c r="AA154" i="3"/>
  <c r="Z154" i="3"/>
  <c r="Y154" i="3"/>
  <c r="X154" i="3"/>
  <c r="W154" i="3"/>
  <c r="V154" i="3"/>
  <c r="U154" i="3"/>
  <c r="S154" i="3"/>
  <c r="G154" i="3"/>
  <c r="F154" i="3"/>
  <c r="D154" i="3"/>
  <c r="C154" i="3"/>
  <c r="AF153" i="3"/>
  <c r="AE153" i="3"/>
  <c r="AD153" i="3"/>
  <c r="AC153" i="3"/>
  <c r="AB153" i="3"/>
  <c r="AA153" i="3"/>
  <c r="Z153" i="3"/>
  <c r="Y153" i="3"/>
  <c r="X153" i="3"/>
  <c r="W153" i="3"/>
  <c r="V153" i="3"/>
  <c r="U153" i="3"/>
  <c r="S153" i="3"/>
  <c r="G153" i="3"/>
  <c r="F153" i="3"/>
  <c r="D153" i="3"/>
  <c r="C153" i="3"/>
  <c r="AF152" i="3"/>
  <c r="AE152" i="3"/>
  <c r="AD152" i="3"/>
  <c r="AC152" i="3"/>
  <c r="AB152" i="3"/>
  <c r="AA152" i="3"/>
  <c r="Z152" i="3"/>
  <c r="Y152" i="3"/>
  <c r="X152" i="3"/>
  <c r="W152" i="3"/>
  <c r="V152" i="3"/>
  <c r="U152" i="3"/>
  <c r="S152" i="3"/>
  <c r="G152" i="3"/>
  <c r="F152" i="3"/>
  <c r="D152" i="3"/>
  <c r="C152" i="3"/>
  <c r="AF151" i="3"/>
  <c r="AE151" i="3"/>
  <c r="AD151" i="3"/>
  <c r="AC151" i="3"/>
  <c r="AB151" i="3"/>
  <c r="AA151" i="3"/>
  <c r="Z151" i="3"/>
  <c r="Y151" i="3"/>
  <c r="X151" i="3"/>
  <c r="W151" i="3"/>
  <c r="V151" i="3"/>
  <c r="U151" i="3"/>
  <c r="S151" i="3"/>
  <c r="G151" i="3"/>
  <c r="F151" i="3"/>
  <c r="D151" i="3"/>
  <c r="C151" i="3"/>
  <c r="AF150" i="3"/>
  <c r="AE150" i="3"/>
  <c r="AD150" i="3"/>
  <c r="AC150" i="3"/>
  <c r="AB150" i="3"/>
  <c r="AA150" i="3"/>
  <c r="Z150" i="3"/>
  <c r="Y150" i="3"/>
  <c r="X150" i="3"/>
  <c r="W150" i="3"/>
  <c r="V150" i="3"/>
  <c r="U150" i="3"/>
  <c r="S150" i="3"/>
  <c r="G150" i="3"/>
  <c r="F150" i="3"/>
  <c r="D150" i="3"/>
  <c r="C150" i="3"/>
  <c r="AF149" i="3"/>
  <c r="AE149" i="3"/>
  <c r="AD149" i="3"/>
  <c r="AC149" i="3"/>
  <c r="AB149" i="3"/>
  <c r="AA149" i="3"/>
  <c r="Z149" i="3"/>
  <c r="Y149" i="3"/>
  <c r="X149" i="3"/>
  <c r="W149" i="3"/>
  <c r="V149" i="3"/>
  <c r="U149" i="3"/>
  <c r="S149" i="3"/>
  <c r="G149" i="3"/>
  <c r="F149" i="3"/>
  <c r="D149" i="3"/>
  <c r="C149" i="3"/>
  <c r="AF148" i="3"/>
  <c r="AE148" i="3"/>
  <c r="AD148" i="3"/>
  <c r="AC148" i="3"/>
  <c r="AB148" i="3"/>
  <c r="AA148" i="3"/>
  <c r="Z148" i="3"/>
  <c r="Y148" i="3"/>
  <c r="X148" i="3"/>
  <c r="W148" i="3"/>
  <c r="V148" i="3"/>
  <c r="U148" i="3"/>
  <c r="S148" i="3"/>
  <c r="G148" i="3"/>
  <c r="F148" i="3"/>
  <c r="D148" i="3"/>
  <c r="C148" i="3"/>
  <c r="AF147" i="3"/>
  <c r="AE147" i="3"/>
  <c r="AD147" i="3"/>
  <c r="AC147" i="3"/>
  <c r="AB147" i="3"/>
  <c r="AA147" i="3"/>
  <c r="Z147" i="3"/>
  <c r="Y147" i="3"/>
  <c r="X147" i="3"/>
  <c r="W147" i="3"/>
  <c r="V147" i="3"/>
  <c r="U147" i="3"/>
  <c r="S147" i="3"/>
  <c r="G147" i="3"/>
  <c r="F147" i="3"/>
  <c r="D147" i="3"/>
  <c r="C147" i="3"/>
  <c r="AF146" i="3"/>
  <c r="AE146" i="3"/>
  <c r="AD146" i="3"/>
  <c r="AC146" i="3"/>
  <c r="AB146" i="3"/>
  <c r="AA146" i="3"/>
  <c r="Z146" i="3"/>
  <c r="Y146" i="3"/>
  <c r="X146" i="3"/>
  <c r="W146" i="3"/>
  <c r="V146" i="3"/>
  <c r="U146" i="3"/>
  <c r="S146" i="3"/>
  <c r="G146" i="3"/>
  <c r="F146" i="3"/>
  <c r="D146" i="3"/>
  <c r="C146" i="3"/>
  <c r="AF145" i="3"/>
  <c r="AE145" i="3"/>
  <c r="AD145" i="3"/>
  <c r="AC145" i="3"/>
  <c r="AB145" i="3"/>
  <c r="AA145" i="3"/>
  <c r="Z145" i="3"/>
  <c r="Y145" i="3"/>
  <c r="X145" i="3"/>
  <c r="W145" i="3"/>
  <c r="V145" i="3"/>
  <c r="U145" i="3"/>
  <c r="S145" i="3"/>
  <c r="G145" i="3"/>
  <c r="F145" i="3"/>
  <c r="D145" i="3"/>
  <c r="C145" i="3"/>
  <c r="AF144" i="3"/>
  <c r="AE144" i="3"/>
  <c r="AD144" i="3"/>
  <c r="AC144" i="3"/>
  <c r="AB144" i="3"/>
  <c r="AA144" i="3"/>
  <c r="Z144" i="3"/>
  <c r="Y144" i="3"/>
  <c r="X144" i="3"/>
  <c r="W144" i="3"/>
  <c r="V144" i="3"/>
  <c r="U144" i="3"/>
  <c r="S144" i="3"/>
  <c r="G144" i="3"/>
  <c r="F144" i="3"/>
  <c r="D144" i="3"/>
  <c r="C144" i="3"/>
  <c r="AF143" i="3"/>
  <c r="AE143" i="3"/>
  <c r="AD143" i="3"/>
  <c r="AC143" i="3"/>
  <c r="AB143" i="3"/>
  <c r="AA143" i="3"/>
  <c r="Z143" i="3"/>
  <c r="Y143" i="3"/>
  <c r="X143" i="3"/>
  <c r="W143" i="3"/>
  <c r="V143" i="3"/>
  <c r="U143" i="3"/>
  <c r="S143" i="3"/>
  <c r="G143" i="3"/>
  <c r="F143" i="3"/>
  <c r="D143" i="3"/>
  <c r="C143" i="3"/>
  <c r="AF142" i="3"/>
  <c r="AE142" i="3"/>
  <c r="AD142" i="3"/>
  <c r="AC142" i="3"/>
  <c r="AB142" i="3"/>
  <c r="AA142" i="3"/>
  <c r="Z142" i="3"/>
  <c r="Y142" i="3"/>
  <c r="X142" i="3"/>
  <c r="W142" i="3"/>
  <c r="V142" i="3"/>
  <c r="U142" i="3"/>
  <c r="S142" i="3"/>
  <c r="G142" i="3"/>
  <c r="F142" i="3"/>
  <c r="D142" i="3"/>
  <c r="C142" i="3"/>
  <c r="AF141" i="3"/>
  <c r="AE141" i="3"/>
  <c r="AD141" i="3"/>
  <c r="AC141" i="3"/>
  <c r="AB141" i="3"/>
  <c r="AA141" i="3"/>
  <c r="Z141" i="3"/>
  <c r="Y141" i="3"/>
  <c r="X141" i="3"/>
  <c r="W141" i="3"/>
  <c r="V141" i="3"/>
  <c r="U141" i="3"/>
  <c r="S141" i="3"/>
  <c r="G141" i="3"/>
  <c r="F141" i="3"/>
  <c r="D141" i="3"/>
  <c r="C141" i="3"/>
  <c r="AF140" i="3"/>
  <c r="AE140" i="3"/>
  <c r="AD140" i="3"/>
  <c r="AC140" i="3"/>
  <c r="AB140" i="3"/>
  <c r="AA140" i="3"/>
  <c r="Z140" i="3"/>
  <c r="Y140" i="3"/>
  <c r="X140" i="3"/>
  <c r="W140" i="3"/>
  <c r="V140" i="3"/>
  <c r="U140" i="3"/>
  <c r="S140" i="3"/>
  <c r="G140" i="3"/>
  <c r="F140" i="3"/>
  <c r="D140" i="3"/>
  <c r="C140" i="3"/>
  <c r="AF139" i="3"/>
  <c r="AE139" i="3"/>
  <c r="AD139" i="3"/>
  <c r="AC139" i="3"/>
  <c r="AB139" i="3"/>
  <c r="AA139" i="3"/>
  <c r="Z139" i="3"/>
  <c r="Y139" i="3"/>
  <c r="X139" i="3"/>
  <c r="W139" i="3"/>
  <c r="V139" i="3"/>
  <c r="U139" i="3"/>
  <c r="S139" i="3"/>
  <c r="G139" i="3"/>
  <c r="F139" i="3"/>
  <c r="D139" i="3"/>
  <c r="C139" i="3"/>
  <c r="AF138" i="3"/>
  <c r="AE138" i="3"/>
  <c r="AD138" i="3"/>
  <c r="AC138" i="3"/>
  <c r="AB138" i="3"/>
  <c r="AA138" i="3"/>
  <c r="Z138" i="3"/>
  <c r="Y138" i="3"/>
  <c r="X138" i="3"/>
  <c r="W138" i="3"/>
  <c r="V138" i="3"/>
  <c r="U138" i="3"/>
  <c r="S138" i="3"/>
  <c r="G138" i="3"/>
  <c r="F138" i="3"/>
  <c r="D138" i="3"/>
  <c r="C138" i="3"/>
  <c r="AF137" i="3"/>
  <c r="AE137" i="3"/>
  <c r="AD137" i="3"/>
  <c r="AC137" i="3"/>
  <c r="AB137" i="3"/>
  <c r="AA137" i="3"/>
  <c r="Z137" i="3"/>
  <c r="Y137" i="3"/>
  <c r="X137" i="3"/>
  <c r="W137" i="3"/>
  <c r="V137" i="3"/>
  <c r="U137" i="3"/>
  <c r="S137" i="3"/>
  <c r="G137" i="3"/>
  <c r="F137" i="3"/>
  <c r="D137" i="3"/>
  <c r="C137" i="3"/>
  <c r="AF136" i="3"/>
  <c r="AE136" i="3"/>
  <c r="AD136" i="3"/>
  <c r="AC136" i="3"/>
  <c r="AB136" i="3"/>
  <c r="AA136" i="3"/>
  <c r="Z136" i="3"/>
  <c r="Y136" i="3"/>
  <c r="X136" i="3"/>
  <c r="W136" i="3"/>
  <c r="V136" i="3"/>
  <c r="U136" i="3"/>
  <c r="S136" i="3"/>
  <c r="G136" i="3"/>
  <c r="F136" i="3"/>
  <c r="D136" i="3"/>
  <c r="C136" i="3"/>
  <c r="AF135" i="3"/>
  <c r="AE135" i="3"/>
  <c r="AD135" i="3"/>
  <c r="AC135" i="3"/>
  <c r="AB135" i="3"/>
  <c r="AA135" i="3"/>
  <c r="Z135" i="3"/>
  <c r="Y135" i="3"/>
  <c r="X135" i="3"/>
  <c r="W135" i="3"/>
  <c r="V135" i="3"/>
  <c r="U135" i="3"/>
  <c r="S135" i="3"/>
  <c r="G135" i="3"/>
  <c r="F135" i="3"/>
  <c r="D135" i="3"/>
  <c r="C135" i="3"/>
  <c r="AF134" i="3"/>
  <c r="AE134" i="3"/>
  <c r="AD134" i="3"/>
  <c r="AC134" i="3"/>
  <c r="AB134" i="3"/>
  <c r="AA134" i="3"/>
  <c r="Z134" i="3"/>
  <c r="Y134" i="3"/>
  <c r="X134" i="3"/>
  <c r="W134" i="3"/>
  <c r="V134" i="3"/>
  <c r="U134" i="3"/>
  <c r="S134" i="3"/>
  <c r="G134" i="3"/>
  <c r="F134" i="3"/>
  <c r="D134" i="3"/>
  <c r="C134" i="3"/>
  <c r="AF133" i="3"/>
  <c r="AE133" i="3"/>
  <c r="AD133" i="3"/>
  <c r="AC133" i="3"/>
  <c r="AB133" i="3"/>
  <c r="AA133" i="3"/>
  <c r="Z133" i="3"/>
  <c r="Y133" i="3"/>
  <c r="X133" i="3"/>
  <c r="W133" i="3"/>
  <c r="V133" i="3"/>
  <c r="U133" i="3"/>
  <c r="S133" i="3"/>
  <c r="G133" i="3"/>
  <c r="F133" i="3"/>
  <c r="D133" i="3"/>
  <c r="C133" i="3"/>
  <c r="AF132" i="3"/>
  <c r="AE132" i="3"/>
  <c r="AD132" i="3"/>
  <c r="AC132" i="3"/>
  <c r="AB132" i="3"/>
  <c r="AA132" i="3"/>
  <c r="Z132" i="3"/>
  <c r="Y132" i="3"/>
  <c r="X132" i="3"/>
  <c r="W132" i="3"/>
  <c r="V132" i="3"/>
  <c r="U132" i="3"/>
  <c r="S132" i="3"/>
  <c r="G132" i="3"/>
  <c r="F132" i="3"/>
  <c r="D132" i="3"/>
  <c r="C132" i="3"/>
  <c r="AF131" i="3"/>
  <c r="AE131" i="3"/>
  <c r="AD131" i="3"/>
  <c r="AC131" i="3"/>
  <c r="AB131" i="3"/>
  <c r="AA131" i="3"/>
  <c r="Z131" i="3"/>
  <c r="Y131" i="3"/>
  <c r="X131" i="3"/>
  <c r="W131" i="3"/>
  <c r="V131" i="3"/>
  <c r="U131" i="3"/>
  <c r="S131" i="3"/>
  <c r="G131" i="3"/>
  <c r="F131" i="3"/>
  <c r="D131" i="3"/>
  <c r="C131" i="3"/>
  <c r="AF130" i="3"/>
  <c r="AE130" i="3"/>
  <c r="AD130" i="3"/>
  <c r="AC130" i="3"/>
  <c r="AB130" i="3"/>
  <c r="AA130" i="3"/>
  <c r="Z130" i="3"/>
  <c r="Y130" i="3"/>
  <c r="X130" i="3"/>
  <c r="W130" i="3"/>
  <c r="V130" i="3"/>
  <c r="U130" i="3"/>
  <c r="S130" i="3"/>
  <c r="G130" i="3"/>
  <c r="F130" i="3"/>
  <c r="D130" i="3"/>
  <c r="C130" i="3"/>
  <c r="AF129" i="3"/>
  <c r="AE129" i="3"/>
  <c r="AD129" i="3"/>
  <c r="AC129" i="3"/>
  <c r="AB129" i="3"/>
  <c r="AA129" i="3"/>
  <c r="Z129" i="3"/>
  <c r="Y129" i="3"/>
  <c r="X129" i="3"/>
  <c r="W129" i="3"/>
  <c r="V129" i="3"/>
  <c r="U129" i="3"/>
  <c r="S129" i="3"/>
  <c r="G129" i="3"/>
  <c r="F129" i="3"/>
  <c r="D129" i="3"/>
  <c r="C129" i="3"/>
  <c r="AF128" i="3"/>
  <c r="AE128" i="3"/>
  <c r="AD128" i="3"/>
  <c r="AC128" i="3"/>
  <c r="AB128" i="3"/>
  <c r="AA128" i="3"/>
  <c r="Z128" i="3"/>
  <c r="Y128" i="3"/>
  <c r="X128" i="3"/>
  <c r="W128" i="3"/>
  <c r="V128" i="3"/>
  <c r="U128" i="3"/>
  <c r="S128" i="3"/>
  <c r="G128" i="3"/>
  <c r="F128" i="3"/>
  <c r="D128" i="3"/>
  <c r="C128" i="3"/>
  <c r="AF127" i="3"/>
  <c r="AE127" i="3"/>
  <c r="AD127" i="3"/>
  <c r="AC127" i="3"/>
  <c r="AB127" i="3"/>
  <c r="AA127" i="3"/>
  <c r="Z127" i="3"/>
  <c r="Y127" i="3"/>
  <c r="X127" i="3"/>
  <c r="W127" i="3"/>
  <c r="V127" i="3"/>
  <c r="U127" i="3"/>
  <c r="S127" i="3"/>
  <c r="G127" i="3"/>
  <c r="F127" i="3"/>
  <c r="D127" i="3"/>
  <c r="C127" i="3"/>
  <c r="AF126" i="3"/>
  <c r="AE126" i="3"/>
  <c r="AD126" i="3"/>
  <c r="AC126" i="3"/>
  <c r="AB126" i="3"/>
  <c r="AA126" i="3"/>
  <c r="Z126" i="3"/>
  <c r="Y126" i="3"/>
  <c r="X126" i="3"/>
  <c r="W126" i="3"/>
  <c r="V126" i="3"/>
  <c r="U126" i="3"/>
  <c r="S126" i="3"/>
  <c r="G126" i="3"/>
  <c r="F126" i="3"/>
  <c r="D126" i="3"/>
  <c r="C126" i="3"/>
  <c r="AF125" i="3"/>
  <c r="AE125" i="3"/>
  <c r="AD125" i="3"/>
  <c r="AC125" i="3"/>
  <c r="AB125" i="3"/>
  <c r="AA125" i="3"/>
  <c r="Z125" i="3"/>
  <c r="Y125" i="3"/>
  <c r="X125" i="3"/>
  <c r="W125" i="3"/>
  <c r="V125" i="3"/>
  <c r="U125" i="3"/>
  <c r="S125" i="3"/>
  <c r="G125" i="3"/>
  <c r="F125" i="3"/>
  <c r="D125" i="3"/>
  <c r="C125" i="3"/>
  <c r="AF124" i="3"/>
  <c r="AE124" i="3"/>
  <c r="AD124" i="3"/>
  <c r="AC124" i="3"/>
  <c r="AB124" i="3"/>
  <c r="AA124" i="3"/>
  <c r="Z124" i="3"/>
  <c r="Y124" i="3"/>
  <c r="X124" i="3"/>
  <c r="W124" i="3"/>
  <c r="V124" i="3"/>
  <c r="U124" i="3"/>
  <c r="S124" i="3"/>
  <c r="G124" i="3"/>
  <c r="F124" i="3"/>
  <c r="D124" i="3"/>
  <c r="C124" i="3"/>
  <c r="AF123" i="3"/>
  <c r="AE123" i="3"/>
  <c r="AD123" i="3"/>
  <c r="AC123" i="3"/>
  <c r="AB123" i="3"/>
  <c r="AA123" i="3"/>
  <c r="Z123" i="3"/>
  <c r="Y123" i="3"/>
  <c r="X123" i="3"/>
  <c r="W123" i="3"/>
  <c r="V123" i="3"/>
  <c r="U123" i="3"/>
  <c r="S123" i="3"/>
  <c r="G123" i="3"/>
  <c r="F123" i="3"/>
  <c r="D123" i="3"/>
  <c r="C123" i="3"/>
  <c r="AF122" i="3"/>
  <c r="AE122" i="3"/>
  <c r="AD122" i="3"/>
  <c r="AC122" i="3"/>
  <c r="AB122" i="3"/>
  <c r="AA122" i="3"/>
  <c r="Z122" i="3"/>
  <c r="Y122" i="3"/>
  <c r="X122" i="3"/>
  <c r="W122" i="3"/>
  <c r="V122" i="3"/>
  <c r="U122" i="3"/>
  <c r="S122" i="3"/>
  <c r="G122" i="3"/>
  <c r="F122" i="3"/>
  <c r="D122" i="3"/>
  <c r="C122" i="3"/>
  <c r="AF121" i="3"/>
  <c r="AE121" i="3"/>
  <c r="AD121" i="3"/>
  <c r="AC121" i="3"/>
  <c r="AB121" i="3"/>
  <c r="AA121" i="3"/>
  <c r="Z121" i="3"/>
  <c r="Y121" i="3"/>
  <c r="X121" i="3"/>
  <c r="W121" i="3"/>
  <c r="V121" i="3"/>
  <c r="U121" i="3"/>
  <c r="S121" i="3"/>
  <c r="G121" i="3"/>
  <c r="F121" i="3"/>
  <c r="D121" i="3"/>
  <c r="C121" i="3"/>
  <c r="AF120" i="3"/>
  <c r="AE120" i="3"/>
  <c r="AD120" i="3"/>
  <c r="AC120" i="3"/>
  <c r="AB120" i="3"/>
  <c r="AA120" i="3"/>
  <c r="Z120" i="3"/>
  <c r="Y120" i="3"/>
  <c r="X120" i="3"/>
  <c r="W120" i="3"/>
  <c r="V120" i="3"/>
  <c r="U120" i="3"/>
  <c r="S120" i="3"/>
  <c r="G120" i="3"/>
  <c r="F120" i="3"/>
  <c r="D120" i="3"/>
  <c r="C120" i="3"/>
  <c r="AF119" i="3"/>
  <c r="AE119" i="3"/>
  <c r="AD119" i="3"/>
  <c r="AC119" i="3"/>
  <c r="AB119" i="3"/>
  <c r="AA119" i="3"/>
  <c r="Z119" i="3"/>
  <c r="Y119" i="3"/>
  <c r="X119" i="3"/>
  <c r="W119" i="3"/>
  <c r="V119" i="3"/>
  <c r="U119" i="3"/>
  <c r="S119" i="3"/>
  <c r="G119" i="3"/>
  <c r="F119" i="3"/>
  <c r="D119" i="3"/>
  <c r="C119" i="3"/>
  <c r="AF118" i="3"/>
  <c r="AE118" i="3"/>
  <c r="AD118" i="3"/>
  <c r="AC118" i="3"/>
  <c r="AB118" i="3"/>
  <c r="AA118" i="3"/>
  <c r="Z118" i="3"/>
  <c r="Y118" i="3"/>
  <c r="X118" i="3"/>
  <c r="W118" i="3"/>
  <c r="V118" i="3"/>
  <c r="U118" i="3"/>
  <c r="S118" i="3"/>
  <c r="G118" i="3"/>
  <c r="F118" i="3"/>
  <c r="D118" i="3"/>
  <c r="C118" i="3"/>
  <c r="AF117" i="3"/>
  <c r="AE117" i="3"/>
  <c r="AD117" i="3"/>
  <c r="AC117" i="3"/>
  <c r="AB117" i="3"/>
  <c r="AA117" i="3"/>
  <c r="Z117" i="3"/>
  <c r="Y117" i="3"/>
  <c r="X117" i="3"/>
  <c r="W117" i="3"/>
  <c r="V117" i="3"/>
  <c r="U117" i="3"/>
  <c r="S117" i="3"/>
  <c r="G117" i="3"/>
  <c r="F117" i="3"/>
  <c r="D117" i="3"/>
  <c r="C117" i="3"/>
  <c r="AF116" i="3"/>
  <c r="AE116" i="3"/>
  <c r="AD116" i="3"/>
  <c r="AC116" i="3"/>
  <c r="AB116" i="3"/>
  <c r="AA116" i="3"/>
  <c r="Z116" i="3"/>
  <c r="Y116" i="3"/>
  <c r="X116" i="3"/>
  <c r="W116" i="3"/>
  <c r="V116" i="3"/>
  <c r="U116" i="3"/>
  <c r="S116" i="3"/>
  <c r="G116" i="3"/>
  <c r="F116" i="3"/>
  <c r="D116" i="3"/>
  <c r="C116" i="3"/>
  <c r="AF115" i="3"/>
  <c r="AE115" i="3"/>
  <c r="AD115" i="3"/>
  <c r="AC115" i="3"/>
  <c r="AB115" i="3"/>
  <c r="AA115" i="3"/>
  <c r="Z115" i="3"/>
  <c r="Y115" i="3"/>
  <c r="X115" i="3"/>
  <c r="W115" i="3"/>
  <c r="V115" i="3"/>
  <c r="U115" i="3"/>
  <c r="S115" i="3"/>
  <c r="G115" i="3"/>
  <c r="F115" i="3"/>
  <c r="D115" i="3"/>
  <c r="C115" i="3"/>
  <c r="AF114" i="3"/>
  <c r="AE114" i="3"/>
  <c r="AD114" i="3"/>
  <c r="AC114" i="3"/>
  <c r="AB114" i="3"/>
  <c r="AA114" i="3"/>
  <c r="Z114" i="3"/>
  <c r="Y114" i="3"/>
  <c r="X114" i="3"/>
  <c r="W114" i="3"/>
  <c r="V114" i="3"/>
  <c r="U114" i="3"/>
  <c r="S114" i="3"/>
  <c r="G114" i="3"/>
  <c r="F114" i="3"/>
  <c r="D114" i="3"/>
  <c r="C114" i="3"/>
  <c r="AF113" i="3"/>
  <c r="AE113" i="3"/>
  <c r="AD113" i="3"/>
  <c r="AC113" i="3"/>
  <c r="AB113" i="3"/>
  <c r="AA113" i="3"/>
  <c r="Z113" i="3"/>
  <c r="Y113" i="3"/>
  <c r="X113" i="3"/>
  <c r="W113" i="3"/>
  <c r="V113" i="3"/>
  <c r="U113" i="3"/>
  <c r="S113" i="3"/>
  <c r="G113" i="3"/>
  <c r="F113" i="3"/>
  <c r="D113" i="3"/>
  <c r="C113" i="3"/>
  <c r="AF112" i="3"/>
  <c r="AE112" i="3"/>
  <c r="AD112" i="3"/>
  <c r="AC112" i="3"/>
  <c r="AB112" i="3"/>
  <c r="AA112" i="3"/>
  <c r="Z112" i="3"/>
  <c r="Y112" i="3"/>
  <c r="X112" i="3"/>
  <c r="W112" i="3"/>
  <c r="V112" i="3"/>
  <c r="U112" i="3"/>
  <c r="S112" i="3"/>
  <c r="G112" i="3"/>
  <c r="F112" i="3"/>
  <c r="D112" i="3"/>
  <c r="C112" i="3"/>
  <c r="AF111" i="3"/>
  <c r="AE111" i="3"/>
  <c r="AD111" i="3"/>
  <c r="AC111" i="3"/>
  <c r="AB111" i="3"/>
  <c r="AA111" i="3"/>
  <c r="Z111" i="3"/>
  <c r="Y111" i="3"/>
  <c r="X111" i="3"/>
  <c r="W111" i="3"/>
  <c r="V111" i="3"/>
  <c r="U111" i="3"/>
  <c r="S111" i="3"/>
  <c r="G111" i="3"/>
  <c r="F111" i="3"/>
  <c r="D111" i="3"/>
  <c r="C111" i="3"/>
  <c r="AF110" i="3"/>
  <c r="AE110" i="3"/>
  <c r="AD110" i="3"/>
  <c r="AC110" i="3"/>
  <c r="AB110" i="3"/>
  <c r="AA110" i="3"/>
  <c r="Z110" i="3"/>
  <c r="Y110" i="3"/>
  <c r="X110" i="3"/>
  <c r="W110" i="3"/>
  <c r="V110" i="3"/>
  <c r="U110" i="3"/>
  <c r="S110" i="3"/>
  <c r="G110" i="3"/>
  <c r="F110" i="3"/>
  <c r="D110" i="3"/>
  <c r="C110" i="3"/>
  <c r="AF109" i="3"/>
  <c r="AE109" i="3"/>
  <c r="AD109" i="3"/>
  <c r="AC109" i="3"/>
  <c r="AB109" i="3"/>
  <c r="AA109" i="3"/>
  <c r="Z109" i="3"/>
  <c r="Y109" i="3"/>
  <c r="X109" i="3"/>
  <c r="W109" i="3"/>
  <c r="V109" i="3"/>
  <c r="U109" i="3"/>
  <c r="S109" i="3"/>
  <c r="G109" i="3"/>
  <c r="F109" i="3"/>
  <c r="D109" i="3"/>
  <c r="C109" i="3"/>
  <c r="AF108" i="3"/>
  <c r="AE108" i="3"/>
  <c r="AD108" i="3"/>
  <c r="AC108" i="3"/>
  <c r="AB108" i="3"/>
  <c r="AA108" i="3"/>
  <c r="Z108" i="3"/>
  <c r="Y108" i="3"/>
  <c r="X108" i="3"/>
  <c r="W108" i="3"/>
  <c r="V108" i="3"/>
  <c r="U108" i="3"/>
  <c r="S108" i="3"/>
  <c r="G108" i="3"/>
  <c r="F108" i="3"/>
  <c r="D108" i="3"/>
  <c r="C108" i="3"/>
  <c r="AF107" i="3"/>
  <c r="AE107" i="3"/>
  <c r="AD107" i="3"/>
  <c r="AC107" i="3"/>
  <c r="AB107" i="3"/>
  <c r="AA107" i="3"/>
  <c r="Z107" i="3"/>
  <c r="Y107" i="3"/>
  <c r="X107" i="3"/>
  <c r="W107" i="3"/>
  <c r="V107" i="3"/>
  <c r="U107" i="3"/>
  <c r="S107" i="3"/>
  <c r="G107" i="3"/>
  <c r="F107" i="3"/>
  <c r="D107" i="3"/>
  <c r="C107" i="3"/>
  <c r="AF106" i="3"/>
  <c r="AE106" i="3"/>
  <c r="AD106" i="3"/>
  <c r="AC106" i="3"/>
  <c r="AB106" i="3"/>
  <c r="AA106" i="3"/>
  <c r="Z106" i="3"/>
  <c r="Y106" i="3"/>
  <c r="X106" i="3"/>
  <c r="W106" i="3"/>
  <c r="V106" i="3"/>
  <c r="U106" i="3"/>
  <c r="S106" i="3"/>
  <c r="G106" i="3"/>
  <c r="F106" i="3"/>
  <c r="D106" i="3"/>
  <c r="C106" i="3"/>
  <c r="AF105" i="3"/>
  <c r="AE105" i="3"/>
  <c r="AD105" i="3"/>
  <c r="AC105" i="3"/>
  <c r="AB105" i="3"/>
  <c r="AA105" i="3"/>
  <c r="Z105" i="3"/>
  <c r="Y105" i="3"/>
  <c r="X105" i="3"/>
  <c r="W105" i="3"/>
  <c r="V105" i="3"/>
  <c r="U105" i="3"/>
  <c r="S105" i="3"/>
  <c r="G105" i="3"/>
  <c r="F105" i="3"/>
  <c r="D105" i="3"/>
  <c r="C105" i="3"/>
  <c r="AF104" i="3"/>
  <c r="AE104" i="3"/>
  <c r="AD104" i="3"/>
  <c r="AC104" i="3"/>
  <c r="AB104" i="3"/>
  <c r="AA104" i="3"/>
  <c r="Z104" i="3"/>
  <c r="Y104" i="3"/>
  <c r="X104" i="3"/>
  <c r="W104" i="3"/>
  <c r="V104" i="3"/>
  <c r="U104" i="3"/>
  <c r="S104" i="3"/>
  <c r="G104" i="3"/>
  <c r="F104" i="3"/>
  <c r="D104" i="3"/>
  <c r="C104" i="3"/>
  <c r="AF103" i="3"/>
  <c r="AE103" i="3"/>
  <c r="AD103" i="3"/>
  <c r="AC103" i="3"/>
  <c r="AB103" i="3"/>
  <c r="AA103" i="3"/>
  <c r="Z103" i="3"/>
  <c r="Y103" i="3"/>
  <c r="X103" i="3"/>
  <c r="W103" i="3"/>
  <c r="V103" i="3"/>
  <c r="U103" i="3"/>
  <c r="S103" i="3"/>
  <c r="G103" i="3"/>
  <c r="F103" i="3"/>
  <c r="D103" i="3"/>
  <c r="C103" i="3"/>
  <c r="AF102" i="3"/>
  <c r="AE102" i="3"/>
  <c r="AD102" i="3"/>
  <c r="AC102" i="3"/>
  <c r="AB102" i="3"/>
  <c r="AA102" i="3"/>
  <c r="Z102" i="3"/>
  <c r="Y102" i="3"/>
  <c r="X102" i="3"/>
  <c r="W102" i="3"/>
  <c r="V102" i="3"/>
  <c r="U102" i="3"/>
  <c r="S102" i="3"/>
  <c r="G102" i="3"/>
  <c r="F102" i="3"/>
  <c r="D102" i="3"/>
  <c r="C102" i="3"/>
  <c r="AF101" i="3"/>
  <c r="AE101" i="3"/>
  <c r="AD101" i="3"/>
  <c r="AC101" i="3"/>
  <c r="AB101" i="3"/>
  <c r="AA101" i="3"/>
  <c r="Z101" i="3"/>
  <c r="Y101" i="3"/>
  <c r="X101" i="3"/>
  <c r="W101" i="3"/>
  <c r="V101" i="3"/>
  <c r="U101" i="3"/>
  <c r="S101" i="3"/>
  <c r="G101" i="3"/>
  <c r="F101" i="3"/>
  <c r="D101" i="3"/>
  <c r="C101" i="3"/>
  <c r="AF100" i="3"/>
  <c r="AE100" i="3"/>
  <c r="AD100" i="3"/>
  <c r="AC100" i="3"/>
  <c r="AB100" i="3"/>
  <c r="AA100" i="3"/>
  <c r="Z100" i="3"/>
  <c r="Y100" i="3"/>
  <c r="X100" i="3"/>
  <c r="W100" i="3"/>
  <c r="V100" i="3"/>
  <c r="U100" i="3"/>
  <c r="S100" i="3"/>
  <c r="G100" i="3"/>
  <c r="F100" i="3"/>
  <c r="D100" i="3"/>
  <c r="C100" i="3"/>
  <c r="AF99" i="3"/>
  <c r="AE99" i="3"/>
  <c r="AD99" i="3"/>
  <c r="AC99" i="3"/>
  <c r="AB99" i="3"/>
  <c r="AA99" i="3"/>
  <c r="Z99" i="3"/>
  <c r="Y99" i="3"/>
  <c r="X99" i="3"/>
  <c r="W99" i="3"/>
  <c r="V99" i="3"/>
  <c r="U99" i="3"/>
  <c r="S99" i="3"/>
  <c r="G99" i="3"/>
  <c r="F99" i="3"/>
  <c r="D99" i="3"/>
  <c r="C99" i="3"/>
  <c r="AF98" i="3"/>
  <c r="AE98" i="3"/>
  <c r="AD98" i="3"/>
  <c r="AC98" i="3"/>
  <c r="AB98" i="3"/>
  <c r="AA98" i="3"/>
  <c r="Z98" i="3"/>
  <c r="Y98" i="3"/>
  <c r="X98" i="3"/>
  <c r="W98" i="3"/>
  <c r="V98" i="3"/>
  <c r="U98" i="3"/>
  <c r="S98" i="3"/>
  <c r="G98" i="3"/>
  <c r="F98" i="3"/>
  <c r="D98" i="3"/>
  <c r="C98" i="3"/>
  <c r="AF97" i="3"/>
  <c r="AE97" i="3"/>
  <c r="AD97" i="3"/>
  <c r="AC97" i="3"/>
  <c r="AB97" i="3"/>
  <c r="AA97" i="3"/>
  <c r="Z97" i="3"/>
  <c r="Y97" i="3"/>
  <c r="X97" i="3"/>
  <c r="W97" i="3"/>
  <c r="V97" i="3"/>
  <c r="U97" i="3"/>
  <c r="S97" i="3"/>
  <c r="G97" i="3"/>
  <c r="F97" i="3"/>
  <c r="D97" i="3"/>
  <c r="C97" i="3"/>
  <c r="AF96" i="3"/>
  <c r="AE96" i="3"/>
  <c r="AD96" i="3"/>
  <c r="AC96" i="3"/>
  <c r="AB96" i="3"/>
  <c r="AA96" i="3"/>
  <c r="Z96" i="3"/>
  <c r="Y96" i="3"/>
  <c r="X96" i="3"/>
  <c r="W96" i="3"/>
  <c r="V96" i="3"/>
  <c r="U96" i="3"/>
  <c r="S96" i="3"/>
  <c r="G96" i="3"/>
  <c r="F96" i="3"/>
  <c r="D96" i="3"/>
  <c r="C96" i="3"/>
  <c r="AF95" i="3"/>
  <c r="AE95" i="3"/>
  <c r="AD95" i="3"/>
  <c r="AC95" i="3"/>
  <c r="AB95" i="3"/>
  <c r="AA95" i="3"/>
  <c r="Z95" i="3"/>
  <c r="Y95" i="3"/>
  <c r="X95" i="3"/>
  <c r="W95" i="3"/>
  <c r="V95" i="3"/>
  <c r="U95" i="3"/>
  <c r="S95" i="3"/>
  <c r="G95" i="3"/>
  <c r="F95" i="3"/>
  <c r="D95" i="3"/>
  <c r="C95" i="3"/>
  <c r="AF94" i="3"/>
  <c r="AE94" i="3"/>
  <c r="AD94" i="3"/>
  <c r="AC94" i="3"/>
  <c r="AB94" i="3"/>
  <c r="AA94" i="3"/>
  <c r="Z94" i="3"/>
  <c r="Y94" i="3"/>
  <c r="X94" i="3"/>
  <c r="W94" i="3"/>
  <c r="V94" i="3"/>
  <c r="U94" i="3"/>
  <c r="S94" i="3"/>
  <c r="G94" i="3"/>
  <c r="F94" i="3"/>
  <c r="D94" i="3"/>
  <c r="C94" i="3"/>
  <c r="AF93" i="3"/>
  <c r="AE93" i="3"/>
  <c r="AD93" i="3"/>
  <c r="AC93" i="3"/>
  <c r="AB93" i="3"/>
  <c r="AA93" i="3"/>
  <c r="Z93" i="3"/>
  <c r="Y93" i="3"/>
  <c r="X93" i="3"/>
  <c r="W93" i="3"/>
  <c r="V93" i="3"/>
  <c r="U93" i="3"/>
  <c r="S93" i="3"/>
  <c r="G93" i="3"/>
  <c r="F93" i="3"/>
  <c r="D93" i="3"/>
  <c r="C93" i="3"/>
  <c r="AF92" i="3"/>
  <c r="AE92" i="3"/>
  <c r="AD92" i="3"/>
  <c r="AC92" i="3"/>
  <c r="AB92" i="3"/>
  <c r="AA92" i="3"/>
  <c r="Z92" i="3"/>
  <c r="Y92" i="3"/>
  <c r="X92" i="3"/>
  <c r="W92" i="3"/>
  <c r="V92" i="3"/>
  <c r="U92" i="3"/>
  <c r="S92" i="3"/>
  <c r="G92" i="3"/>
  <c r="F92" i="3"/>
  <c r="D92" i="3"/>
  <c r="C92" i="3"/>
  <c r="AF91" i="3"/>
  <c r="AE91" i="3"/>
  <c r="AD91" i="3"/>
  <c r="AC91" i="3"/>
  <c r="AB91" i="3"/>
  <c r="AA91" i="3"/>
  <c r="Z91" i="3"/>
  <c r="Y91" i="3"/>
  <c r="X91" i="3"/>
  <c r="W91" i="3"/>
  <c r="V91" i="3"/>
  <c r="U91" i="3"/>
  <c r="S91" i="3"/>
  <c r="G91" i="3"/>
  <c r="F91" i="3"/>
  <c r="D91" i="3"/>
  <c r="C91" i="3"/>
  <c r="AF90" i="3"/>
  <c r="AE90" i="3"/>
  <c r="AD90" i="3"/>
  <c r="AC90" i="3"/>
  <c r="AB90" i="3"/>
  <c r="AA90" i="3"/>
  <c r="Z90" i="3"/>
  <c r="Y90" i="3"/>
  <c r="X90" i="3"/>
  <c r="W90" i="3"/>
  <c r="V90" i="3"/>
  <c r="U90" i="3"/>
  <c r="S90" i="3"/>
  <c r="G90" i="3"/>
  <c r="F90" i="3"/>
  <c r="D90" i="3"/>
  <c r="C90" i="3"/>
  <c r="AF89" i="3"/>
  <c r="AE89" i="3"/>
  <c r="AD89" i="3"/>
  <c r="AC89" i="3"/>
  <c r="AB89" i="3"/>
  <c r="AA89" i="3"/>
  <c r="Z89" i="3"/>
  <c r="Y89" i="3"/>
  <c r="X89" i="3"/>
  <c r="W89" i="3"/>
  <c r="V89" i="3"/>
  <c r="U89" i="3"/>
  <c r="S89" i="3"/>
  <c r="G89" i="3"/>
  <c r="F89" i="3"/>
  <c r="D89" i="3"/>
  <c r="C89" i="3"/>
  <c r="AF88" i="3"/>
  <c r="AE88" i="3"/>
  <c r="AD88" i="3"/>
  <c r="AC88" i="3"/>
  <c r="AB88" i="3"/>
  <c r="AA88" i="3"/>
  <c r="Z88" i="3"/>
  <c r="Y88" i="3"/>
  <c r="X88" i="3"/>
  <c r="W88" i="3"/>
  <c r="V88" i="3"/>
  <c r="U88" i="3"/>
  <c r="S88" i="3"/>
  <c r="G88" i="3"/>
  <c r="F88" i="3"/>
  <c r="D88" i="3"/>
  <c r="C88" i="3"/>
  <c r="AF87" i="3"/>
  <c r="AE87" i="3"/>
  <c r="AD87" i="3"/>
  <c r="AC87" i="3"/>
  <c r="AB87" i="3"/>
  <c r="AA87" i="3"/>
  <c r="Z87" i="3"/>
  <c r="Y87" i="3"/>
  <c r="X87" i="3"/>
  <c r="W87" i="3"/>
  <c r="V87" i="3"/>
  <c r="U87" i="3"/>
  <c r="S87" i="3"/>
  <c r="G87" i="3"/>
  <c r="F87" i="3"/>
  <c r="D87" i="3"/>
  <c r="C87" i="3"/>
  <c r="AF86" i="3"/>
  <c r="AE86" i="3"/>
  <c r="AD86" i="3"/>
  <c r="AC86" i="3"/>
  <c r="AB86" i="3"/>
  <c r="AA86" i="3"/>
  <c r="Z86" i="3"/>
  <c r="Y86" i="3"/>
  <c r="X86" i="3"/>
  <c r="W86" i="3"/>
  <c r="V86" i="3"/>
  <c r="U86" i="3"/>
  <c r="S86" i="3"/>
  <c r="G86" i="3"/>
  <c r="F86" i="3"/>
  <c r="D86" i="3"/>
  <c r="C86" i="3"/>
  <c r="AF85" i="3"/>
  <c r="AE85" i="3"/>
  <c r="AD85" i="3"/>
  <c r="AC85" i="3"/>
  <c r="AB85" i="3"/>
  <c r="AA85" i="3"/>
  <c r="Z85" i="3"/>
  <c r="Y85" i="3"/>
  <c r="X85" i="3"/>
  <c r="W85" i="3"/>
  <c r="V85" i="3"/>
  <c r="U85" i="3"/>
  <c r="S85" i="3"/>
  <c r="G85" i="3"/>
  <c r="F85" i="3"/>
  <c r="D85" i="3"/>
  <c r="C85" i="3"/>
  <c r="AF84" i="3"/>
  <c r="AE84" i="3"/>
  <c r="AD84" i="3"/>
  <c r="AC84" i="3"/>
  <c r="AB84" i="3"/>
  <c r="AA84" i="3"/>
  <c r="Z84" i="3"/>
  <c r="Y84" i="3"/>
  <c r="X84" i="3"/>
  <c r="W84" i="3"/>
  <c r="V84" i="3"/>
  <c r="U84" i="3"/>
  <c r="S84" i="3"/>
  <c r="G84" i="3"/>
  <c r="F84" i="3"/>
  <c r="D84" i="3"/>
  <c r="C84" i="3"/>
  <c r="AF83" i="3"/>
  <c r="AE83" i="3"/>
  <c r="AD83" i="3"/>
  <c r="AC83" i="3"/>
  <c r="AB83" i="3"/>
  <c r="AA83" i="3"/>
  <c r="Z83" i="3"/>
  <c r="Y83" i="3"/>
  <c r="X83" i="3"/>
  <c r="W83" i="3"/>
  <c r="V83" i="3"/>
  <c r="U83" i="3"/>
  <c r="S83" i="3"/>
  <c r="G83" i="3"/>
  <c r="F83" i="3"/>
  <c r="D83" i="3"/>
  <c r="C83" i="3"/>
  <c r="AF82" i="3"/>
  <c r="AE82" i="3"/>
  <c r="AD82" i="3"/>
  <c r="AC82" i="3"/>
  <c r="AB82" i="3"/>
  <c r="AA82" i="3"/>
  <c r="Z82" i="3"/>
  <c r="Y82" i="3"/>
  <c r="X82" i="3"/>
  <c r="W82" i="3"/>
  <c r="V82" i="3"/>
  <c r="U82" i="3"/>
  <c r="S82" i="3"/>
  <c r="G82" i="3"/>
  <c r="F82" i="3"/>
  <c r="D82" i="3"/>
  <c r="C82" i="3"/>
  <c r="AF81" i="3"/>
  <c r="AE81" i="3"/>
  <c r="AD81" i="3"/>
  <c r="AC81" i="3"/>
  <c r="AB81" i="3"/>
  <c r="AA81" i="3"/>
  <c r="Z81" i="3"/>
  <c r="Y81" i="3"/>
  <c r="X81" i="3"/>
  <c r="W81" i="3"/>
  <c r="V81" i="3"/>
  <c r="U81" i="3"/>
  <c r="S81" i="3"/>
  <c r="G81" i="3"/>
  <c r="F81" i="3"/>
  <c r="D81" i="3"/>
  <c r="C81" i="3"/>
  <c r="AF80" i="3"/>
  <c r="AE80" i="3"/>
  <c r="AD80" i="3"/>
  <c r="AC80" i="3"/>
  <c r="AB80" i="3"/>
  <c r="AA80" i="3"/>
  <c r="Z80" i="3"/>
  <c r="Y80" i="3"/>
  <c r="X80" i="3"/>
  <c r="W80" i="3"/>
  <c r="V80" i="3"/>
  <c r="U80" i="3"/>
  <c r="S80" i="3"/>
  <c r="G80" i="3"/>
  <c r="F80" i="3"/>
  <c r="D80" i="3"/>
  <c r="C80" i="3"/>
  <c r="AF79" i="3"/>
  <c r="AE79" i="3"/>
  <c r="AD79" i="3"/>
  <c r="AC79" i="3"/>
  <c r="AB79" i="3"/>
  <c r="AA79" i="3"/>
  <c r="Z79" i="3"/>
  <c r="Y79" i="3"/>
  <c r="X79" i="3"/>
  <c r="W79" i="3"/>
  <c r="V79" i="3"/>
  <c r="U79" i="3"/>
  <c r="S79" i="3"/>
  <c r="G79" i="3"/>
  <c r="F79" i="3"/>
  <c r="D79" i="3"/>
  <c r="C79" i="3"/>
  <c r="AF78" i="3"/>
  <c r="AE78" i="3"/>
  <c r="AD78" i="3"/>
  <c r="AC78" i="3"/>
  <c r="AB78" i="3"/>
  <c r="AA78" i="3"/>
  <c r="Z78" i="3"/>
  <c r="Y78" i="3"/>
  <c r="X78" i="3"/>
  <c r="W78" i="3"/>
  <c r="V78" i="3"/>
  <c r="U78" i="3"/>
  <c r="S78" i="3"/>
  <c r="G78" i="3"/>
  <c r="F78" i="3"/>
  <c r="D78" i="3"/>
  <c r="C78" i="3"/>
  <c r="AF77" i="3"/>
  <c r="AE77" i="3"/>
  <c r="AD77" i="3"/>
  <c r="AC77" i="3"/>
  <c r="AB77" i="3"/>
  <c r="AA77" i="3"/>
  <c r="Z77" i="3"/>
  <c r="Y77" i="3"/>
  <c r="X77" i="3"/>
  <c r="W77" i="3"/>
  <c r="V77" i="3"/>
  <c r="U77" i="3"/>
  <c r="S77" i="3"/>
  <c r="G77" i="3"/>
  <c r="F77" i="3"/>
  <c r="D77" i="3"/>
  <c r="C77" i="3"/>
  <c r="AF76" i="3"/>
  <c r="AE76" i="3"/>
  <c r="AD76" i="3"/>
  <c r="AC76" i="3"/>
  <c r="AB76" i="3"/>
  <c r="AA76" i="3"/>
  <c r="Z76" i="3"/>
  <c r="Y76" i="3"/>
  <c r="X76" i="3"/>
  <c r="W76" i="3"/>
  <c r="V76" i="3"/>
  <c r="U76" i="3"/>
  <c r="S76" i="3"/>
  <c r="G76" i="3"/>
  <c r="F76" i="3"/>
  <c r="D76" i="3"/>
  <c r="C76" i="3"/>
  <c r="AF75" i="3"/>
  <c r="AE75" i="3"/>
  <c r="AD75" i="3"/>
  <c r="AC75" i="3"/>
  <c r="AB75" i="3"/>
  <c r="AA75" i="3"/>
  <c r="Z75" i="3"/>
  <c r="Y75" i="3"/>
  <c r="X75" i="3"/>
  <c r="W75" i="3"/>
  <c r="V75" i="3"/>
  <c r="U75" i="3"/>
  <c r="S75" i="3"/>
  <c r="G75" i="3"/>
  <c r="F75" i="3"/>
  <c r="D75" i="3"/>
  <c r="C75" i="3"/>
  <c r="AF74" i="3"/>
  <c r="AE74" i="3"/>
  <c r="AD74" i="3"/>
  <c r="AC74" i="3"/>
  <c r="AB74" i="3"/>
  <c r="AA74" i="3"/>
  <c r="Z74" i="3"/>
  <c r="Y74" i="3"/>
  <c r="X74" i="3"/>
  <c r="W74" i="3"/>
  <c r="V74" i="3"/>
  <c r="U74" i="3"/>
  <c r="S74" i="3"/>
  <c r="G74" i="3"/>
  <c r="F74" i="3"/>
  <c r="D74" i="3"/>
  <c r="C74" i="3"/>
  <c r="AF73" i="3"/>
  <c r="AE73" i="3"/>
  <c r="AD73" i="3"/>
  <c r="AC73" i="3"/>
  <c r="AB73" i="3"/>
  <c r="AA73" i="3"/>
  <c r="Z73" i="3"/>
  <c r="Y73" i="3"/>
  <c r="X73" i="3"/>
  <c r="W73" i="3"/>
  <c r="V73" i="3"/>
  <c r="U73" i="3"/>
  <c r="S73" i="3"/>
  <c r="G73" i="3"/>
  <c r="F73" i="3"/>
  <c r="D73" i="3"/>
  <c r="C73" i="3"/>
  <c r="AF72" i="3"/>
  <c r="AE72" i="3"/>
  <c r="AD72" i="3"/>
  <c r="AC72" i="3"/>
  <c r="AB72" i="3"/>
  <c r="AA72" i="3"/>
  <c r="Z72" i="3"/>
  <c r="Y72" i="3"/>
  <c r="X72" i="3"/>
  <c r="W72" i="3"/>
  <c r="V72" i="3"/>
  <c r="U72" i="3"/>
  <c r="S72" i="3"/>
  <c r="G72" i="3"/>
  <c r="F72" i="3"/>
  <c r="D72" i="3"/>
  <c r="C72" i="3"/>
  <c r="AF71" i="3"/>
  <c r="AE71" i="3"/>
  <c r="AD71" i="3"/>
  <c r="AC71" i="3"/>
  <c r="AB71" i="3"/>
  <c r="AA71" i="3"/>
  <c r="Z71" i="3"/>
  <c r="Y71" i="3"/>
  <c r="X71" i="3"/>
  <c r="W71" i="3"/>
  <c r="V71" i="3"/>
  <c r="U71" i="3"/>
  <c r="S71" i="3"/>
  <c r="G71" i="3"/>
  <c r="F71" i="3"/>
  <c r="D71" i="3"/>
  <c r="C71" i="3"/>
  <c r="AF70" i="3"/>
  <c r="AE70" i="3"/>
  <c r="AD70" i="3"/>
  <c r="AC70" i="3"/>
  <c r="AB70" i="3"/>
  <c r="AA70" i="3"/>
  <c r="Z70" i="3"/>
  <c r="Y70" i="3"/>
  <c r="X70" i="3"/>
  <c r="W70" i="3"/>
  <c r="V70" i="3"/>
  <c r="U70" i="3"/>
  <c r="S70" i="3"/>
  <c r="G70" i="3"/>
  <c r="F70" i="3"/>
  <c r="D70" i="3"/>
  <c r="C70" i="3"/>
  <c r="AF69" i="3"/>
  <c r="AE69" i="3"/>
  <c r="AD69" i="3"/>
  <c r="AC69" i="3"/>
  <c r="AB69" i="3"/>
  <c r="AA69" i="3"/>
  <c r="Z69" i="3"/>
  <c r="Y69" i="3"/>
  <c r="X69" i="3"/>
  <c r="W69" i="3"/>
  <c r="V69" i="3"/>
  <c r="U69" i="3"/>
  <c r="S69" i="3"/>
  <c r="G69" i="3"/>
  <c r="F69" i="3"/>
  <c r="D69" i="3"/>
  <c r="C69" i="3"/>
  <c r="AF68" i="3"/>
  <c r="AE68" i="3"/>
  <c r="AD68" i="3"/>
  <c r="AC68" i="3"/>
  <c r="AB68" i="3"/>
  <c r="AA68" i="3"/>
  <c r="Z68" i="3"/>
  <c r="Y68" i="3"/>
  <c r="X68" i="3"/>
  <c r="W68" i="3"/>
  <c r="V68" i="3"/>
  <c r="U68" i="3"/>
  <c r="S68" i="3"/>
  <c r="G68" i="3"/>
  <c r="F68" i="3"/>
  <c r="D68" i="3"/>
  <c r="C68" i="3"/>
  <c r="AF67" i="3"/>
  <c r="AE67" i="3"/>
  <c r="AD67" i="3"/>
  <c r="AC67" i="3"/>
  <c r="AB67" i="3"/>
  <c r="AA67" i="3"/>
  <c r="Z67" i="3"/>
  <c r="Y67" i="3"/>
  <c r="X67" i="3"/>
  <c r="W67" i="3"/>
  <c r="V67" i="3"/>
  <c r="U67" i="3"/>
  <c r="S67" i="3"/>
  <c r="G67" i="3"/>
  <c r="F67" i="3"/>
  <c r="D67" i="3"/>
  <c r="C67" i="3"/>
  <c r="AF66" i="3"/>
  <c r="AE66" i="3"/>
  <c r="AD66" i="3"/>
  <c r="AC66" i="3"/>
  <c r="AB66" i="3"/>
  <c r="AA66" i="3"/>
  <c r="Z66" i="3"/>
  <c r="Y66" i="3"/>
  <c r="X66" i="3"/>
  <c r="W66" i="3"/>
  <c r="V66" i="3"/>
  <c r="U66" i="3"/>
  <c r="S66" i="3"/>
  <c r="G66" i="3"/>
  <c r="F66" i="3"/>
  <c r="D66" i="3"/>
  <c r="C66" i="3"/>
  <c r="AF65" i="3"/>
  <c r="AE65" i="3"/>
  <c r="AD65" i="3"/>
  <c r="AC65" i="3"/>
  <c r="AB65" i="3"/>
  <c r="AA65" i="3"/>
  <c r="Z65" i="3"/>
  <c r="Y65" i="3"/>
  <c r="X65" i="3"/>
  <c r="W65" i="3"/>
  <c r="V65" i="3"/>
  <c r="U65" i="3"/>
  <c r="S65" i="3"/>
  <c r="G65" i="3"/>
  <c r="F65" i="3"/>
  <c r="D65" i="3"/>
  <c r="C65" i="3"/>
  <c r="AF64" i="3"/>
  <c r="AE64" i="3"/>
  <c r="AD64" i="3"/>
  <c r="AC64" i="3"/>
  <c r="AB64" i="3"/>
  <c r="AA64" i="3"/>
  <c r="Z64" i="3"/>
  <c r="Y64" i="3"/>
  <c r="X64" i="3"/>
  <c r="W64" i="3"/>
  <c r="V64" i="3"/>
  <c r="U64" i="3"/>
  <c r="S64" i="3"/>
  <c r="G64" i="3"/>
  <c r="F64" i="3"/>
  <c r="D64" i="3"/>
  <c r="C64" i="3"/>
  <c r="AF63" i="3"/>
  <c r="AE63" i="3"/>
  <c r="AD63" i="3"/>
  <c r="AC63" i="3"/>
  <c r="AB63" i="3"/>
  <c r="AA63" i="3"/>
  <c r="Z63" i="3"/>
  <c r="Y63" i="3"/>
  <c r="X63" i="3"/>
  <c r="W63" i="3"/>
  <c r="V63" i="3"/>
  <c r="U63" i="3"/>
  <c r="S63" i="3"/>
  <c r="G63" i="3"/>
  <c r="F63" i="3"/>
  <c r="D63" i="3"/>
  <c r="C63" i="3"/>
  <c r="AF62" i="3"/>
  <c r="AE62" i="3"/>
  <c r="AD62" i="3"/>
  <c r="AC62" i="3"/>
  <c r="AB62" i="3"/>
  <c r="AA62" i="3"/>
  <c r="Z62" i="3"/>
  <c r="Y62" i="3"/>
  <c r="X62" i="3"/>
  <c r="W62" i="3"/>
  <c r="V62" i="3"/>
  <c r="U62" i="3"/>
  <c r="S62" i="3"/>
  <c r="G62" i="3"/>
  <c r="F62" i="3"/>
  <c r="D62" i="3"/>
  <c r="C62" i="3"/>
  <c r="AF61" i="3"/>
  <c r="AE61" i="3"/>
  <c r="AD61" i="3"/>
  <c r="AC61" i="3"/>
  <c r="AB61" i="3"/>
  <c r="AA61" i="3"/>
  <c r="Z61" i="3"/>
  <c r="Y61" i="3"/>
  <c r="X61" i="3"/>
  <c r="W61" i="3"/>
  <c r="V61" i="3"/>
  <c r="U61" i="3"/>
  <c r="S61" i="3"/>
  <c r="G61" i="3"/>
  <c r="F61" i="3"/>
  <c r="D61" i="3"/>
  <c r="C61" i="3"/>
  <c r="AF60" i="3"/>
  <c r="AE60" i="3"/>
  <c r="AD60" i="3"/>
  <c r="AC60" i="3"/>
  <c r="AB60" i="3"/>
  <c r="AA60" i="3"/>
  <c r="Z60" i="3"/>
  <c r="Y60" i="3"/>
  <c r="X60" i="3"/>
  <c r="W60" i="3"/>
  <c r="V60" i="3"/>
  <c r="U60" i="3"/>
  <c r="S60" i="3"/>
  <c r="G60" i="3"/>
  <c r="F60" i="3"/>
  <c r="D60" i="3"/>
  <c r="C60" i="3"/>
  <c r="AF59" i="3"/>
  <c r="AE59" i="3"/>
  <c r="AD59" i="3"/>
  <c r="AC59" i="3"/>
  <c r="AB59" i="3"/>
  <c r="AA59" i="3"/>
  <c r="Z59" i="3"/>
  <c r="Y59" i="3"/>
  <c r="X59" i="3"/>
  <c r="W59" i="3"/>
  <c r="V59" i="3"/>
  <c r="U59" i="3"/>
  <c r="S59" i="3"/>
  <c r="G59" i="3"/>
  <c r="F59" i="3"/>
  <c r="D59" i="3"/>
  <c r="C59" i="3"/>
  <c r="AF58" i="3"/>
  <c r="AE58" i="3"/>
  <c r="AD58" i="3"/>
  <c r="AC58" i="3"/>
  <c r="AB58" i="3"/>
  <c r="AA58" i="3"/>
  <c r="Z58" i="3"/>
  <c r="Y58" i="3"/>
  <c r="X58" i="3"/>
  <c r="W58" i="3"/>
  <c r="V58" i="3"/>
  <c r="U58" i="3"/>
  <c r="S58" i="3"/>
  <c r="G58" i="3"/>
  <c r="F58" i="3"/>
  <c r="D58" i="3"/>
  <c r="C58" i="3"/>
  <c r="AF57" i="3"/>
  <c r="AE57" i="3"/>
  <c r="AD57" i="3"/>
  <c r="AC57" i="3"/>
  <c r="AB57" i="3"/>
  <c r="AA57" i="3"/>
  <c r="Z57" i="3"/>
  <c r="Y57" i="3"/>
  <c r="X57" i="3"/>
  <c r="W57" i="3"/>
  <c r="V57" i="3"/>
  <c r="U57" i="3"/>
  <c r="S57" i="3"/>
  <c r="G57" i="3"/>
  <c r="F57" i="3"/>
  <c r="D57" i="3"/>
  <c r="C57" i="3"/>
  <c r="AF56" i="3"/>
  <c r="AE56" i="3"/>
  <c r="AD56" i="3"/>
  <c r="AC56" i="3"/>
  <c r="AB56" i="3"/>
  <c r="AA56" i="3"/>
  <c r="Z56" i="3"/>
  <c r="Y56" i="3"/>
  <c r="X56" i="3"/>
  <c r="W56" i="3"/>
  <c r="V56" i="3"/>
  <c r="U56" i="3"/>
  <c r="S56" i="3"/>
  <c r="G56" i="3"/>
  <c r="F56" i="3"/>
  <c r="D56" i="3"/>
  <c r="C56" i="3"/>
  <c r="AF55" i="3"/>
  <c r="AE55" i="3"/>
  <c r="AD55" i="3"/>
  <c r="AC55" i="3"/>
  <c r="AB55" i="3"/>
  <c r="AA55" i="3"/>
  <c r="Z55" i="3"/>
  <c r="Y55" i="3"/>
  <c r="X55" i="3"/>
  <c r="W55" i="3"/>
  <c r="V55" i="3"/>
  <c r="U55" i="3"/>
  <c r="S55" i="3"/>
  <c r="G55" i="3"/>
  <c r="F55" i="3"/>
  <c r="D55" i="3"/>
  <c r="C55" i="3"/>
  <c r="AF54" i="3"/>
  <c r="AE54" i="3"/>
  <c r="AD54" i="3"/>
  <c r="AC54" i="3"/>
  <c r="AB54" i="3"/>
  <c r="AA54" i="3"/>
  <c r="Z54" i="3"/>
  <c r="Y54" i="3"/>
  <c r="X54" i="3"/>
  <c r="W54" i="3"/>
  <c r="V54" i="3"/>
  <c r="U54" i="3"/>
  <c r="S54" i="3"/>
  <c r="G54" i="3"/>
  <c r="F54" i="3"/>
  <c r="D54" i="3"/>
  <c r="C54" i="3"/>
  <c r="AF53" i="3"/>
  <c r="AE53" i="3"/>
  <c r="AD53" i="3"/>
  <c r="AC53" i="3"/>
  <c r="AB53" i="3"/>
  <c r="AA53" i="3"/>
  <c r="Z53" i="3"/>
  <c r="Y53" i="3"/>
  <c r="X53" i="3"/>
  <c r="W53" i="3"/>
  <c r="V53" i="3"/>
  <c r="U53" i="3"/>
  <c r="S53" i="3"/>
  <c r="G53" i="3"/>
  <c r="F53" i="3"/>
  <c r="D53" i="3"/>
  <c r="C53" i="3"/>
  <c r="AF52" i="3"/>
  <c r="AE52" i="3"/>
  <c r="AD52" i="3"/>
  <c r="AC52" i="3"/>
  <c r="AB52" i="3"/>
  <c r="AA52" i="3"/>
  <c r="Z52" i="3"/>
  <c r="Y52" i="3"/>
  <c r="X52" i="3"/>
  <c r="W52" i="3"/>
  <c r="V52" i="3"/>
  <c r="U52" i="3"/>
  <c r="S52" i="3"/>
  <c r="G52" i="3"/>
  <c r="F52" i="3"/>
  <c r="D52" i="3"/>
  <c r="C52" i="3"/>
  <c r="AF51" i="3"/>
  <c r="AE51" i="3"/>
  <c r="AD51" i="3"/>
  <c r="AC51" i="3"/>
  <c r="AB51" i="3"/>
  <c r="AA51" i="3"/>
  <c r="Z51" i="3"/>
  <c r="Y51" i="3"/>
  <c r="X51" i="3"/>
  <c r="W51" i="3"/>
  <c r="V51" i="3"/>
  <c r="U51" i="3"/>
  <c r="S51" i="3"/>
  <c r="G51" i="3"/>
  <c r="F51" i="3"/>
  <c r="D51" i="3"/>
  <c r="C51" i="3"/>
  <c r="AF50" i="3"/>
  <c r="AE50" i="3"/>
  <c r="AD50" i="3"/>
  <c r="AC50" i="3"/>
  <c r="AB50" i="3"/>
  <c r="AA50" i="3"/>
  <c r="Z50" i="3"/>
  <c r="Y50" i="3"/>
  <c r="X50" i="3"/>
  <c r="W50" i="3"/>
  <c r="V50" i="3"/>
  <c r="U50" i="3"/>
  <c r="S50" i="3"/>
  <c r="G50" i="3"/>
  <c r="F50" i="3"/>
  <c r="D50" i="3"/>
  <c r="C50" i="3"/>
  <c r="AF49" i="3"/>
  <c r="AE49" i="3"/>
  <c r="AD49" i="3"/>
  <c r="AC49" i="3"/>
  <c r="AB49" i="3"/>
  <c r="AA49" i="3"/>
  <c r="Z49" i="3"/>
  <c r="Y49" i="3"/>
  <c r="X49" i="3"/>
  <c r="W49" i="3"/>
  <c r="V49" i="3"/>
  <c r="U49" i="3"/>
  <c r="S49" i="3"/>
  <c r="G49" i="3"/>
  <c r="F49" i="3"/>
  <c r="D49" i="3"/>
  <c r="C49" i="3"/>
  <c r="AF48" i="3"/>
  <c r="AE48" i="3"/>
  <c r="AD48" i="3"/>
  <c r="AC48" i="3"/>
  <c r="AB48" i="3"/>
  <c r="AA48" i="3"/>
  <c r="Z48" i="3"/>
  <c r="Y48" i="3"/>
  <c r="X48" i="3"/>
  <c r="W48" i="3"/>
  <c r="V48" i="3"/>
  <c r="U48" i="3"/>
  <c r="S48" i="3"/>
  <c r="G48" i="3"/>
  <c r="F48" i="3"/>
  <c r="D48" i="3"/>
  <c r="C48" i="3"/>
  <c r="AF47" i="3"/>
  <c r="AE47" i="3"/>
  <c r="AD47" i="3"/>
  <c r="AC47" i="3"/>
  <c r="AB47" i="3"/>
  <c r="AA47" i="3"/>
  <c r="Z47" i="3"/>
  <c r="Y47" i="3"/>
  <c r="X47" i="3"/>
  <c r="W47" i="3"/>
  <c r="V47" i="3"/>
  <c r="U47" i="3"/>
  <c r="S47" i="3"/>
  <c r="G47" i="3"/>
  <c r="F47" i="3"/>
  <c r="D47" i="3"/>
  <c r="C47" i="3"/>
  <c r="AF46" i="3"/>
  <c r="AE46" i="3"/>
  <c r="AD46" i="3"/>
  <c r="AC46" i="3"/>
  <c r="AB46" i="3"/>
  <c r="AA46" i="3"/>
  <c r="Z46" i="3"/>
  <c r="Y46" i="3"/>
  <c r="X46" i="3"/>
  <c r="W46" i="3"/>
  <c r="V46" i="3"/>
  <c r="U46" i="3"/>
  <c r="S46" i="3"/>
  <c r="G46" i="3"/>
  <c r="F46" i="3"/>
  <c r="D46" i="3"/>
  <c r="C46" i="3"/>
  <c r="AF45" i="3"/>
  <c r="AE45" i="3"/>
  <c r="AD45" i="3"/>
  <c r="AC45" i="3"/>
  <c r="AB45" i="3"/>
  <c r="AA45" i="3"/>
  <c r="Z45" i="3"/>
  <c r="Y45" i="3"/>
  <c r="X45" i="3"/>
  <c r="W45" i="3"/>
  <c r="V45" i="3"/>
  <c r="U45" i="3"/>
  <c r="S45" i="3"/>
  <c r="G45" i="3"/>
  <c r="F45" i="3"/>
  <c r="D45" i="3"/>
  <c r="C45" i="3"/>
  <c r="AF44" i="3"/>
  <c r="AE44" i="3"/>
  <c r="AD44" i="3"/>
  <c r="AC44" i="3"/>
  <c r="AB44" i="3"/>
  <c r="AA44" i="3"/>
  <c r="Z44" i="3"/>
  <c r="Y44" i="3"/>
  <c r="X44" i="3"/>
  <c r="W44" i="3"/>
  <c r="V44" i="3"/>
  <c r="U44" i="3"/>
  <c r="S44" i="3"/>
  <c r="G44" i="3"/>
  <c r="F44" i="3"/>
  <c r="D44" i="3"/>
  <c r="C44" i="3"/>
  <c r="AF43" i="3"/>
  <c r="AE43" i="3"/>
  <c r="AD43" i="3"/>
  <c r="AC43" i="3"/>
  <c r="AB43" i="3"/>
  <c r="AA43" i="3"/>
  <c r="Z43" i="3"/>
  <c r="Y43" i="3"/>
  <c r="X43" i="3"/>
  <c r="W43" i="3"/>
  <c r="V43" i="3"/>
  <c r="U43" i="3"/>
  <c r="S43" i="3"/>
  <c r="G43" i="3"/>
  <c r="F43" i="3"/>
  <c r="D43" i="3"/>
  <c r="C43" i="3"/>
  <c r="AF42" i="3"/>
  <c r="AE42" i="3"/>
  <c r="AD42" i="3"/>
  <c r="AC42" i="3"/>
  <c r="AB42" i="3"/>
  <c r="AA42" i="3"/>
  <c r="Z42" i="3"/>
  <c r="Y42" i="3"/>
  <c r="X42" i="3"/>
  <c r="W42" i="3"/>
  <c r="V42" i="3"/>
  <c r="U42" i="3"/>
  <c r="S42" i="3"/>
  <c r="G42" i="3"/>
  <c r="F42" i="3"/>
  <c r="D42" i="3"/>
  <c r="C42" i="3"/>
  <c r="AF41" i="3"/>
  <c r="AE41" i="3"/>
  <c r="AD41" i="3"/>
  <c r="AC41" i="3"/>
  <c r="AB41" i="3"/>
  <c r="AA41" i="3"/>
  <c r="Z41" i="3"/>
  <c r="Y41" i="3"/>
  <c r="X41" i="3"/>
  <c r="W41" i="3"/>
  <c r="V41" i="3"/>
  <c r="U41" i="3"/>
  <c r="S41" i="3"/>
  <c r="G41" i="3"/>
  <c r="F41" i="3"/>
  <c r="D41" i="3"/>
  <c r="C41" i="3"/>
  <c r="AF40" i="3"/>
  <c r="AE40" i="3"/>
  <c r="AD40" i="3"/>
  <c r="AC40" i="3"/>
  <c r="AB40" i="3"/>
  <c r="AA40" i="3"/>
  <c r="Z40" i="3"/>
  <c r="Y40" i="3"/>
  <c r="X40" i="3"/>
  <c r="W40" i="3"/>
  <c r="V40" i="3"/>
  <c r="U40" i="3"/>
  <c r="S40" i="3"/>
  <c r="G40" i="3"/>
  <c r="F40" i="3"/>
  <c r="D40" i="3"/>
  <c r="C40" i="3"/>
  <c r="AF39" i="3"/>
  <c r="AE39" i="3"/>
  <c r="AD39" i="3"/>
  <c r="AC39" i="3"/>
  <c r="AB39" i="3"/>
  <c r="AA39" i="3"/>
  <c r="Z39" i="3"/>
  <c r="Y39" i="3"/>
  <c r="X39" i="3"/>
  <c r="W39" i="3"/>
  <c r="V39" i="3"/>
  <c r="U39" i="3"/>
  <c r="S39" i="3"/>
  <c r="G39" i="3"/>
  <c r="F39" i="3"/>
  <c r="D39" i="3"/>
  <c r="C39" i="3"/>
  <c r="AF38" i="3"/>
  <c r="AE38" i="3"/>
  <c r="AD38" i="3"/>
  <c r="AC38" i="3"/>
  <c r="AB38" i="3"/>
  <c r="AA38" i="3"/>
  <c r="Z38" i="3"/>
  <c r="Y38" i="3"/>
  <c r="X38" i="3"/>
  <c r="W38" i="3"/>
  <c r="V38" i="3"/>
  <c r="U38" i="3"/>
  <c r="S38" i="3"/>
  <c r="G38" i="3"/>
  <c r="F38" i="3"/>
  <c r="D38" i="3"/>
  <c r="C38" i="3"/>
  <c r="AF37" i="3"/>
  <c r="AE37" i="3"/>
  <c r="AD37" i="3"/>
  <c r="AC37" i="3"/>
  <c r="AB37" i="3"/>
  <c r="AA37" i="3"/>
  <c r="Z37" i="3"/>
  <c r="Y37" i="3"/>
  <c r="X37" i="3"/>
  <c r="W37" i="3"/>
  <c r="V37" i="3"/>
  <c r="U37" i="3"/>
  <c r="S37" i="3"/>
  <c r="G37" i="3"/>
  <c r="F37" i="3"/>
  <c r="D37" i="3"/>
  <c r="C37" i="3"/>
  <c r="AF36" i="3"/>
  <c r="AE36" i="3"/>
  <c r="AD36" i="3"/>
  <c r="AC36" i="3"/>
  <c r="AB36" i="3"/>
  <c r="AA36" i="3"/>
  <c r="Z36" i="3"/>
  <c r="Y36" i="3"/>
  <c r="X36" i="3"/>
  <c r="W36" i="3"/>
  <c r="V36" i="3"/>
  <c r="U36" i="3"/>
  <c r="S36" i="3"/>
  <c r="G36" i="3"/>
  <c r="F36" i="3"/>
  <c r="D36" i="3"/>
  <c r="C36" i="3"/>
  <c r="AF35" i="3"/>
  <c r="AE35" i="3"/>
  <c r="AD35" i="3"/>
  <c r="AC35" i="3"/>
  <c r="AB35" i="3"/>
  <c r="AA35" i="3"/>
  <c r="Z35" i="3"/>
  <c r="Y35" i="3"/>
  <c r="X35" i="3"/>
  <c r="W35" i="3"/>
  <c r="V35" i="3"/>
  <c r="U35" i="3"/>
  <c r="S35" i="3"/>
  <c r="G35" i="3"/>
  <c r="F35" i="3"/>
  <c r="D35" i="3"/>
  <c r="C35" i="3"/>
  <c r="AF34" i="3"/>
  <c r="AE34" i="3"/>
  <c r="AD34" i="3"/>
  <c r="AC34" i="3"/>
  <c r="AB34" i="3"/>
  <c r="AA34" i="3"/>
  <c r="Z34" i="3"/>
  <c r="Y34" i="3"/>
  <c r="X34" i="3"/>
  <c r="W34" i="3"/>
  <c r="V34" i="3"/>
  <c r="U34" i="3"/>
  <c r="S34" i="3"/>
  <c r="G34" i="3"/>
  <c r="F34" i="3"/>
  <c r="D34" i="3"/>
  <c r="C34" i="3"/>
  <c r="AF33" i="3"/>
  <c r="AE33" i="3"/>
  <c r="AD33" i="3"/>
  <c r="AC33" i="3"/>
  <c r="AB33" i="3"/>
  <c r="AA33" i="3"/>
  <c r="Z33" i="3"/>
  <c r="Y33" i="3"/>
  <c r="X33" i="3"/>
  <c r="W33" i="3"/>
  <c r="V33" i="3"/>
  <c r="U33" i="3"/>
  <c r="S33" i="3"/>
  <c r="G33" i="3"/>
  <c r="F33" i="3"/>
  <c r="D33" i="3"/>
  <c r="C33" i="3"/>
  <c r="AF32" i="3"/>
  <c r="AE32" i="3"/>
  <c r="AD32" i="3"/>
  <c r="AC32" i="3"/>
  <c r="AB32" i="3"/>
  <c r="AA32" i="3"/>
  <c r="Z32" i="3"/>
  <c r="Y32" i="3"/>
  <c r="X32" i="3"/>
  <c r="W32" i="3"/>
  <c r="V32" i="3"/>
  <c r="U32" i="3"/>
  <c r="S32" i="3"/>
  <c r="G32" i="3"/>
  <c r="F32" i="3"/>
  <c r="D32" i="3"/>
  <c r="C32" i="3"/>
  <c r="AF31" i="3"/>
  <c r="AE31" i="3"/>
  <c r="AD31" i="3"/>
  <c r="AC31" i="3"/>
  <c r="AB31" i="3"/>
  <c r="AA31" i="3"/>
  <c r="Z31" i="3"/>
  <c r="Y31" i="3"/>
  <c r="X31" i="3"/>
  <c r="W31" i="3"/>
  <c r="V31" i="3"/>
  <c r="U31" i="3"/>
  <c r="S31" i="3"/>
  <c r="G31" i="3"/>
  <c r="F31" i="3"/>
  <c r="D31" i="3"/>
  <c r="C31" i="3"/>
  <c r="AF30" i="3"/>
  <c r="AE30" i="3"/>
  <c r="AD30" i="3"/>
  <c r="AC30" i="3"/>
  <c r="AB30" i="3"/>
  <c r="AA30" i="3"/>
  <c r="Z30" i="3"/>
  <c r="Y30" i="3"/>
  <c r="X30" i="3"/>
  <c r="W30" i="3"/>
  <c r="V30" i="3"/>
  <c r="U30" i="3"/>
  <c r="S30" i="3"/>
  <c r="G30" i="3"/>
  <c r="F30" i="3"/>
  <c r="D30" i="3"/>
  <c r="C30" i="3"/>
  <c r="AF29" i="3"/>
  <c r="AE29" i="3"/>
  <c r="AD29" i="3"/>
  <c r="AC29" i="3"/>
  <c r="AB29" i="3"/>
  <c r="AA29" i="3"/>
  <c r="Z29" i="3"/>
  <c r="Y29" i="3"/>
  <c r="X29" i="3"/>
  <c r="W29" i="3"/>
  <c r="V29" i="3"/>
  <c r="U29" i="3"/>
  <c r="S29" i="3"/>
  <c r="G29" i="3"/>
  <c r="F29" i="3"/>
  <c r="D29" i="3"/>
  <c r="C29" i="3"/>
  <c r="AF28" i="3"/>
  <c r="AE28" i="3"/>
  <c r="AD28" i="3"/>
  <c r="AC28" i="3"/>
  <c r="AB28" i="3"/>
  <c r="AA28" i="3"/>
  <c r="Z28" i="3"/>
  <c r="Y28" i="3"/>
  <c r="X28" i="3"/>
  <c r="W28" i="3"/>
  <c r="V28" i="3"/>
  <c r="U28" i="3"/>
  <c r="S28" i="3"/>
  <c r="G28" i="3"/>
  <c r="F28" i="3"/>
  <c r="D28" i="3"/>
  <c r="C28" i="3"/>
  <c r="AF27" i="3"/>
  <c r="AE27" i="3"/>
  <c r="AD27" i="3"/>
  <c r="AC27" i="3"/>
  <c r="AB27" i="3"/>
  <c r="AA27" i="3"/>
  <c r="Z27" i="3"/>
  <c r="Y27" i="3"/>
  <c r="X27" i="3"/>
  <c r="W27" i="3"/>
  <c r="V27" i="3"/>
  <c r="U27" i="3"/>
  <c r="S27" i="3"/>
  <c r="G27" i="3"/>
  <c r="F27" i="3"/>
  <c r="D27" i="3"/>
  <c r="C27" i="3"/>
  <c r="AF26" i="3"/>
  <c r="AE26" i="3"/>
  <c r="AD26" i="3"/>
  <c r="AC26" i="3"/>
  <c r="AB26" i="3"/>
  <c r="AA26" i="3"/>
  <c r="Z26" i="3"/>
  <c r="Y26" i="3"/>
  <c r="X26" i="3"/>
  <c r="W26" i="3"/>
  <c r="V26" i="3"/>
  <c r="U26" i="3"/>
  <c r="S26" i="3"/>
  <c r="G26" i="3"/>
  <c r="F26" i="3"/>
  <c r="D26" i="3"/>
  <c r="C26" i="3"/>
  <c r="AF25" i="3"/>
  <c r="AE25" i="3"/>
  <c r="AD25" i="3"/>
  <c r="AC25" i="3"/>
  <c r="AB25" i="3"/>
  <c r="AA25" i="3"/>
  <c r="Z25" i="3"/>
  <c r="Y25" i="3"/>
  <c r="X25" i="3"/>
  <c r="W25" i="3"/>
  <c r="V25" i="3"/>
  <c r="U25" i="3"/>
  <c r="S25" i="3"/>
  <c r="G25" i="3"/>
  <c r="F25" i="3"/>
  <c r="D25" i="3"/>
  <c r="C25" i="3"/>
  <c r="AF24" i="3"/>
  <c r="AE24" i="3"/>
  <c r="AD24" i="3"/>
  <c r="AC24" i="3"/>
  <c r="AB24" i="3"/>
  <c r="AA24" i="3"/>
  <c r="Z24" i="3"/>
  <c r="Y24" i="3"/>
  <c r="X24" i="3"/>
  <c r="W24" i="3"/>
  <c r="V24" i="3"/>
  <c r="U24" i="3"/>
  <c r="S24" i="3"/>
  <c r="G24" i="3"/>
  <c r="F24" i="3"/>
  <c r="D24" i="3"/>
  <c r="C24" i="3"/>
  <c r="AF23" i="3"/>
  <c r="AE23" i="3"/>
  <c r="AD23" i="3"/>
  <c r="AC23" i="3"/>
  <c r="AB23" i="3"/>
  <c r="AA23" i="3"/>
  <c r="Z23" i="3"/>
  <c r="Y23" i="3"/>
  <c r="X23" i="3"/>
  <c r="W23" i="3"/>
  <c r="V23" i="3"/>
  <c r="U23" i="3"/>
  <c r="S23" i="3"/>
  <c r="G23" i="3"/>
  <c r="F23" i="3"/>
  <c r="D23" i="3"/>
  <c r="C23" i="3"/>
  <c r="AF22" i="3"/>
  <c r="AE22" i="3"/>
  <c r="AD22" i="3"/>
  <c r="AC22" i="3"/>
  <c r="AB22" i="3"/>
  <c r="AA22" i="3"/>
  <c r="Z22" i="3"/>
  <c r="Y22" i="3"/>
  <c r="X22" i="3"/>
  <c r="W22" i="3"/>
  <c r="V22" i="3"/>
  <c r="U22" i="3"/>
  <c r="S22" i="3"/>
  <c r="G22" i="3"/>
  <c r="F22" i="3"/>
  <c r="D22" i="3"/>
  <c r="C22" i="3"/>
  <c r="AF21" i="3"/>
  <c r="AE21" i="3"/>
  <c r="AD21" i="3"/>
  <c r="AC21" i="3"/>
  <c r="AB21" i="3"/>
  <c r="AA21" i="3"/>
  <c r="Z21" i="3"/>
  <c r="Y21" i="3"/>
  <c r="X21" i="3"/>
  <c r="W21" i="3"/>
  <c r="V21" i="3"/>
  <c r="U21" i="3"/>
  <c r="S21" i="3"/>
  <c r="G21" i="3"/>
  <c r="F21" i="3"/>
  <c r="D21" i="3"/>
  <c r="C21" i="3"/>
  <c r="AF20" i="3"/>
  <c r="AE20" i="3"/>
  <c r="AD20" i="3"/>
  <c r="AC20" i="3"/>
  <c r="AB20" i="3"/>
  <c r="AA20" i="3"/>
  <c r="Z20" i="3"/>
  <c r="Y20" i="3"/>
  <c r="X20" i="3"/>
  <c r="W20" i="3"/>
  <c r="V20" i="3"/>
  <c r="U20" i="3"/>
  <c r="S20" i="3"/>
  <c r="G20" i="3"/>
  <c r="F20" i="3"/>
  <c r="D20" i="3"/>
  <c r="C20" i="3"/>
  <c r="AF19" i="3"/>
  <c r="AE19" i="3"/>
  <c r="AD19" i="3"/>
  <c r="AC19" i="3"/>
  <c r="AB19" i="3"/>
  <c r="AA19" i="3"/>
  <c r="Z19" i="3"/>
  <c r="Y19" i="3"/>
  <c r="X19" i="3"/>
  <c r="W19" i="3"/>
  <c r="V19" i="3"/>
  <c r="U19" i="3"/>
  <c r="S19" i="3"/>
  <c r="G19" i="3"/>
  <c r="F19" i="3"/>
  <c r="D19" i="3"/>
  <c r="C19" i="3"/>
  <c r="AF18" i="3"/>
  <c r="AE18" i="3"/>
  <c r="AD18" i="3"/>
  <c r="AC18" i="3"/>
  <c r="AB18" i="3"/>
  <c r="AA18" i="3"/>
  <c r="Z18" i="3"/>
  <c r="Y18" i="3"/>
  <c r="X18" i="3"/>
  <c r="W18" i="3"/>
  <c r="V18" i="3"/>
  <c r="U18" i="3"/>
  <c r="S18" i="3"/>
  <c r="G18" i="3"/>
  <c r="F18" i="3"/>
  <c r="D18" i="3"/>
  <c r="C18" i="3"/>
  <c r="AF17" i="3"/>
  <c r="AE17" i="3"/>
  <c r="AD17" i="3"/>
  <c r="AC17" i="3"/>
  <c r="AB17" i="3"/>
  <c r="AA17" i="3"/>
  <c r="Z17" i="3"/>
  <c r="Y17" i="3"/>
  <c r="X17" i="3"/>
  <c r="W17" i="3"/>
  <c r="V17" i="3"/>
  <c r="U17" i="3"/>
  <c r="S17" i="3"/>
  <c r="G17" i="3"/>
  <c r="F17" i="3"/>
  <c r="D17" i="3"/>
  <c r="C17" i="3"/>
  <c r="AF16" i="3"/>
  <c r="AE16" i="3"/>
  <c r="AD16" i="3"/>
  <c r="AC16" i="3"/>
  <c r="AB16" i="3"/>
  <c r="AA16" i="3"/>
  <c r="Z16" i="3"/>
  <c r="Y16" i="3"/>
  <c r="X16" i="3"/>
  <c r="W16" i="3"/>
  <c r="V16" i="3"/>
  <c r="U16" i="3"/>
  <c r="S16" i="3"/>
  <c r="G16" i="3"/>
  <c r="F16" i="3"/>
  <c r="D16" i="3"/>
  <c r="C16" i="3"/>
  <c r="AF15" i="3"/>
  <c r="AE15" i="3"/>
  <c r="AD15" i="3"/>
  <c r="AC15" i="3"/>
  <c r="AB15" i="3"/>
  <c r="AA15" i="3"/>
  <c r="Z15" i="3"/>
  <c r="Y15" i="3"/>
  <c r="X15" i="3"/>
  <c r="W15" i="3"/>
  <c r="V15" i="3"/>
  <c r="U15" i="3"/>
  <c r="S15" i="3"/>
  <c r="G15" i="3"/>
  <c r="F15" i="3"/>
  <c r="D15" i="3"/>
  <c r="C15" i="3"/>
  <c r="AF14" i="3"/>
  <c r="AE14" i="3"/>
  <c r="AD14" i="3"/>
  <c r="AC14" i="3"/>
  <c r="AB14" i="3"/>
  <c r="AA14" i="3"/>
  <c r="Z14" i="3"/>
  <c r="Y14" i="3"/>
  <c r="X14" i="3"/>
  <c r="W14" i="3"/>
  <c r="V14" i="3"/>
  <c r="U14" i="3"/>
  <c r="S14" i="3"/>
  <c r="G14" i="3"/>
  <c r="F14" i="3"/>
  <c r="D14" i="3"/>
  <c r="C14" i="3"/>
  <c r="AF13" i="3"/>
  <c r="AE13" i="3"/>
  <c r="AD13" i="3"/>
  <c r="AC13" i="3"/>
  <c r="AB13" i="3"/>
  <c r="AA13" i="3"/>
  <c r="Z13" i="3"/>
  <c r="Y13" i="3"/>
  <c r="X13" i="3"/>
  <c r="W13" i="3"/>
  <c r="V13" i="3"/>
  <c r="U13" i="3"/>
  <c r="S13" i="3"/>
  <c r="G13" i="3"/>
  <c r="F13" i="3"/>
  <c r="D13" i="3"/>
  <c r="C13" i="3"/>
  <c r="AF12" i="3"/>
  <c r="AE12" i="3"/>
  <c r="AD12" i="3"/>
  <c r="AC12" i="3"/>
  <c r="AB12" i="3"/>
  <c r="AA12" i="3"/>
  <c r="Z12" i="3"/>
  <c r="Y12" i="3"/>
  <c r="X12" i="3"/>
  <c r="W12" i="3"/>
  <c r="V12" i="3"/>
  <c r="U12" i="3"/>
  <c r="S12" i="3"/>
  <c r="G12" i="3"/>
  <c r="F12" i="3"/>
  <c r="D12" i="3"/>
  <c r="C12" i="3"/>
  <c r="AF11" i="3"/>
  <c r="AE11" i="3"/>
  <c r="AD11" i="3"/>
  <c r="AC11" i="3"/>
  <c r="AB11" i="3"/>
  <c r="AA11" i="3"/>
  <c r="Z11" i="3"/>
  <c r="Y11" i="3"/>
  <c r="X11" i="3"/>
  <c r="W11" i="3"/>
  <c r="V11" i="3"/>
  <c r="U11" i="3"/>
  <c r="S11" i="3"/>
  <c r="G11" i="3"/>
  <c r="F11" i="3"/>
  <c r="D11" i="3"/>
  <c r="C11" i="3"/>
  <c r="AF10" i="3"/>
  <c r="AE10" i="3"/>
  <c r="AD10" i="3"/>
  <c r="AC10" i="3"/>
  <c r="AB10" i="3"/>
  <c r="AA10" i="3"/>
  <c r="Z10" i="3"/>
  <c r="Y10" i="3"/>
  <c r="X10" i="3"/>
  <c r="W10" i="3"/>
  <c r="V10" i="3"/>
  <c r="U10" i="3"/>
  <c r="S10" i="3"/>
  <c r="G10" i="3"/>
  <c r="F10" i="3"/>
  <c r="D10" i="3"/>
  <c r="C10" i="3"/>
  <c r="AF9" i="3"/>
  <c r="AE9" i="3"/>
  <c r="AD9" i="3"/>
  <c r="AC9" i="3"/>
  <c r="AB9" i="3"/>
  <c r="AA9" i="3"/>
  <c r="Z9" i="3"/>
  <c r="Y9" i="3"/>
  <c r="X9" i="3"/>
  <c r="W9" i="3"/>
  <c r="V9" i="3"/>
  <c r="U9" i="3"/>
  <c r="S9" i="3"/>
  <c r="G9" i="3"/>
  <c r="F9" i="3"/>
  <c r="D9" i="3"/>
  <c r="C9" i="3"/>
  <c r="AF8" i="3"/>
  <c r="AE8" i="3"/>
  <c r="AD8" i="3"/>
  <c r="AC8" i="3"/>
  <c r="AB8" i="3"/>
  <c r="AA8" i="3"/>
  <c r="Z8" i="3"/>
  <c r="Y8" i="3"/>
  <c r="X8" i="3"/>
  <c r="W8" i="3"/>
  <c r="V8" i="3"/>
  <c r="U8" i="3"/>
  <c r="S8" i="3"/>
  <c r="G8" i="3"/>
  <c r="F8" i="3"/>
  <c r="D8" i="3"/>
  <c r="C8" i="3"/>
  <c r="AF7" i="3"/>
  <c r="AE7" i="3"/>
  <c r="AD7" i="3"/>
  <c r="AC7" i="3"/>
  <c r="AB7" i="3"/>
  <c r="AA7" i="3"/>
  <c r="Z7" i="3"/>
  <c r="Y7" i="3"/>
  <c r="X7" i="3"/>
  <c r="W7" i="3"/>
  <c r="V7" i="3"/>
  <c r="U7" i="3"/>
  <c r="S7" i="3"/>
  <c r="G7" i="3"/>
  <c r="F7" i="3"/>
  <c r="D7" i="3"/>
  <c r="C7" i="3"/>
  <c r="AF6" i="3"/>
  <c r="AE6" i="3"/>
  <c r="AD6" i="3"/>
  <c r="AC6" i="3"/>
  <c r="AB6" i="3"/>
  <c r="AA6" i="3"/>
  <c r="Z6" i="3"/>
  <c r="Y6" i="3"/>
  <c r="X6" i="3"/>
  <c r="W6" i="3"/>
  <c r="V6" i="3"/>
  <c r="U6" i="3"/>
  <c r="S6" i="3"/>
  <c r="G6" i="3"/>
  <c r="F6" i="3"/>
  <c r="D6" i="3"/>
  <c r="C6" i="3"/>
  <c r="AF5" i="3"/>
  <c r="AE5" i="3"/>
  <c r="AD5" i="3"/>
  <c r="AC5" i="3"/>
  <c r="AB5" i="3"/>
  <c r="AA5" i="3"/>
  <c r="Z5" i="3"/>
  <c r="Y5" i="3"/>
  <c r="X5" i="3"/>
  <c r="W5" i="3"/>
  <c r="V5" i="3"/>
  <c r="U5" i="3"/>
  <c r="S5" i="3"/>
  <c r="G5" i="3"/>
  <c r="F5" i="3"/>
  <c r="D5" i="3"/>
  <c r="C5" i="3"/>
  <c r="AF4" i="3"/>
  <c r="AE4" i="3"/>
  <c r="AD4" i="3"/>
  <c r="AC4" i="3"/>
  <c r="AB4" i="3"/>
  <c r="AA4" i="3"/>
  <c r="Z4" i="3"/>
  <c r="Y4" i="3"/>
  <c r="X4" i="3"/>
  <c r="W4" i="3"/>
  <c r="V4" i="3"/>
  <c r="U4" i="3"/>
  <c r="S4" i="3"/>
  <c r="Q4" i="3"/>
  <c r="G4" i="3"/>
  <c r="F4" i="3"/>
  <c r="D4" i="3"/>
  <c r="C4" i="3"/>
  <c r="AF3" i="3"/>
  <c r="AE3" i="3"/>
  <c r="AD3" i="3"/>
  <c r="AC3" i="3"/>
  <c r="AB3" i="3"/>
  <c r="AA3" i="3"/>
  <c r="Z3" i="3"/>
  <c r="Y3" i="3"/>
  <c r="X3" i="3"/>
  <c r="W3" i="3"/>
  <c r="V3" i="3"/>
  <c r="U3" i="3"/>
  <c r="S3" i="3"/>
  <c r="Q3" i="3"/>
  <c r="G3" i="3"/>
  <c r="F3" i="3"/>
  <c r="D3" i="3"/>
  <c r="C3" i="3"/>
  <c r="AF2" i="3"/>
  <c r="AE2" i="3"/>
  <c r="AD2" i="3"/>
  <c r="AC2" i="3"/>
  <c r="AB2" i="3"/>
  <c r="AA2" i="3"/>
  <c r="Z2" i="3"/>
  <c r="Y2" i="3"/>
  <c r="X2" i="3"/>
  <c r="W2" i="3"/>
  <c r="V2" i="3"/>
  <c r="U2" i="3"/>
  <c r="S2" i="3"/>
  <c r="Q2" i="3"/>
  <c r="G2" i="3"/>
  <c r="F2" i="3"/>
  <c r="D2" i="3"/>
  <c r="C2" i="3"/>
</calcChain>
</file>

<file path=xl/sharedStrings.xml><?xml version="1.0" encoding="utf-8"?>
<sst xmlns="http://schemas.openxmlformats.org/spreadsheetml/2006/main" count="13142" uniqueCount="1526">
  <si>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</si>
  <si>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</si>
  <si>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</si>
  <si>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</si>
  <si>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</si>
  <si>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</si>
  <si>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</si>
  <si>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</si>
  <si>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</si>
  <si>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</si>
  <si>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</si>
  <si>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</si>
  <si>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</si>
  <si>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</si>
  <si>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</si>
  <si>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</si>
  <si>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</si>
  <si>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</si>
  <si>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</si>
  <si>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</si>
  <si>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</si>
  <si>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</si>
  <si>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</si>
  <si>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</si>
  <si>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</si>
  <si>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</si>
  <si>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</si>
  <si>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</si>
  <si>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</si>
  <si>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</si>
  <si>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</si>
  <si>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</si>
  <si>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</si>
  <si>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</si>
  <si>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</si>
  <si>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</si>
  <si>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</si>
  <si>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</si>
  <si>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</si>
  <si>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</si>
  <si>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</si>
  <si>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</si>
  <si>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</si>
  <si>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</si>
  <si>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</si>
  <si>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</si>
  <si>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</si>
  <si>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</si>
  <si>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</si>
  <si>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</si>
  <si>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</si>
  <si>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</si>
  <si>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</si>
  <si>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</si>
  <si>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</si>
  <si>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</si>
  <si>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</si>
  <si>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</si>
  <si>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</si>
  <si>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</si>
  <si>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</si>
  <si>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</si>
  <si>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</si>
  <si>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</si>
  <si>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</si>
  <si>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</si>
  <si>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</si>
  <si>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</si>
  <si>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</si>
  <si>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</si>
  <si>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</si>
  <si>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</si>
  <si>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</si>
  <si>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</si>
  <si>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</si>
  <si>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</si>
  <si>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</si>
  <si>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</si>
  <si>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</si>
  <si>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</si>
  <si>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</si>
  <si>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</si>
  <si>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</si>
  <si>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</si>
  <si>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</si>
  <si>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</si>
  <si>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</si>
  <si>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</si>
  <si>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</si>
  <si>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</si>
  <si>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</si>
  <si>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</si>
  <si>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</si>
  <si>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</si>
  <si>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</si>
  <si>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</si>
  <si>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</si>
  <si>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</si>
  <si>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</si>
  <si>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</si>
  <si>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</si>
  <si>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</si>
  <si>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</si>
  <si>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</si>
  <si>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</si>
  <si>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</si>
  <si>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</si>
  <si>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</si>
  <si>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</si>
  <si>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</si>
  <si>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</si>
  <si>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</si>
  <si>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</si>
  <si>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</si>
  <si>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</si>
  <si>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</si>
  <si>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</si>
  <si>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</si>
  <si>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</si>
  <si>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</si>
  <si>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</si>
  <si>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</si>
  <si>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</si>
  <si>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</si>
  <si>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</si>
  <si>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</si>
  <si>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</si>
  <si>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</si>
  <si>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</si>
  <si>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</si>
  <si>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</si>
  <si>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</si>
  <si>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</si>
  <si>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</si>
  <si>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</si>
  <si>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</si>
  <si>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</si>
  <si>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</si>
  <si>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</si>
  <si>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</si>
  <si>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</si>
  <si>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</si>
  <si>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</si>
  <si>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</si>
  <si>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</si>
  <si>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</si>
  <si>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</si>
  <si>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</si>
  <si>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</si>
  <si>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</si>
  <si>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</si>
  <si>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</si>
  <si>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</si>
  <si>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</si>
  <si>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</si>
  <si>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</si>
  <si>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</si>
  <si>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</si>
  <si>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</si>
  <si>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</si>
  <si>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</si>
  <si>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</si>
  <si>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</si>
  <si>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</si>
  <si>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</si>
  <si>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</si>
  <si>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</si>
  <si>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</si>
  <si>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</si>
  <si>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</si>
  <si>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</si>
  <si>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</si>
  <si>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</si>
  <si>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</si>
  <si>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</si>
  <si>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</si>
  <si>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</si>
  <si>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</si>
  <si>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</si>
  <si>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</si>
  <si>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</si>
  <si>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</si>
  <si>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</si>
  <si>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</si>
  <si>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</si>
  <si>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</si>
  <si>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</si>
  <si>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</si>
  <si>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</si>
  <si>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</si>
  <si>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</si>
  <si>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</si>
  <si>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</si>
  <si>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</si>
  <si>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</si>
  <si>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</si>
  <si>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</si>
  <si>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</si>
  <si>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</si>
  <si>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</si>
  <si>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</si>
  <si>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</si>
  <si>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</si>
  <si>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</si>
  <si>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</si>
  <si>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</si>
  <si>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</si>
  <si>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</si>
  <si>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</si>
  <si>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</si>
  <si>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</si>
  <si>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</si>
  <si>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</si>
  <si>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</si>
  <si>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</si>
  <si>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</si>
  <si>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</si>
  <si>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</si>
  <si>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</si>
  <si>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</si>
  <si>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</si>
  <si>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</si>
  <si>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</si>
  <si>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</si>
  <si>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</si>
  <si>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</si>
  <si>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</si>
  <si>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</si>
  <si>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</si>
  <si>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</si>
  <si>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</si>
  <si>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</si>
  <si>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</si>
  <si>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</si>
  <si>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</si>
  <si>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</si>
  <si>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</si>
  <si>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</si>
  <si>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</si>
  <si>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</si>
  <si>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</si>
  <si>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</si>
  <si>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</si>
  <si>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</si>
  <si>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</si>
  <si>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</si>
  <si>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</si>
  <si>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</si>
  <si>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</si>
  <si>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</si>
  <si>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</si>
  <si>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</si>
  <si>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</si>
  <si>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</si>
  <si>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</si>
  <si>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</si>
  <si>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</si>
  <si>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</si>
  <si>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</si>
  <si>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</si>
  <si>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</si>
  <si>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</si>
  <si>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</si>
  <si>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</si>
  <si>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</si>
  <si>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</si>
  <si>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</si>
  <si>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</si>
  <si>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</si>
  <si>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</si>
  <si>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</si>
  <si>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</si>
  <si>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</si>
  <si>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</si>
  <si>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</si>
  <si>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</si>
  <si>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</si>
  <si>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</si>
  <si>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</si>
  <si>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</si>
  <si>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</si>
  <si>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</si>
  <si>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</si>
  <si>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</si>
  <si>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</si>
  <si>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</si>
  <si>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</si>
  <si>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</si>
  <si>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</si>
  <si>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</si>
  <si>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</si>
  <si>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</si>
  <si>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</si>
  <si>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</si>
  <si>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</si>
  <si>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</si>
  <si>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</si>
  <si>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</si>
  <si>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</si>
  <si>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</si>
  <si>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</si>
  <si>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</si>
  <si>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</si>
  <si>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</si>
  <si>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</si>
  <si>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</si>
  <si>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</si>
  <si>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</si>
  <si>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</si>
  <si>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</si>
  <si>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</si>
  <si>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</si>
  <si>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</si>
  <si>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</si>
  <si>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</si>
  <si>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</si>
  <si>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</si>
  <si>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</si>
  <si>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</si>
  <si>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</si>
  <si>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</si>
  <si>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</si>
  <si>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</si>
  <si>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</si>
  <si>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</si>
  <si>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</si>
  <si>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</si>
  <si>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</si>
  <si>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</si>
  <si>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</si>
  <si>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</si>
  <si>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</si>
  <si>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</si>
  <si>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</si>
  <si>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</si>
  <si>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</si>
  <si>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</si>
  <si>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</si>
  <si>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</si>
  <si>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</si>
  <si>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</si>
  <si>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</si>
  <si>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</si>
  <si>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</si>
  <si>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</si>
  <si>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</si>
  <si>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</si>
  <si>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</si>
  <si>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</si>
  <si>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</si>
  <si>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</si>
  <si>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</si>
  <si>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</si>
  <si>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</si>
  <si>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</si>
  <si>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</si>
  <si>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</si>
  <si>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</si>
  <si>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</si>
  <si>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</si>
  <si>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</si>
  <si>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</si>
  <si>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</si>
  <si>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</si>
  <si>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</si>
  <si>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</si>
  <si>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</si>
  <si>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</si>
  <si>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</si>
  <si>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</si>
  <si>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</si>
  <si>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</si>
  <si>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</si>
  <si>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</si>
  <si>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</si>
  <si>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</si>
  <si>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</si>
  <si>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</si>
  <si>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</si>
  <si>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</si>
  <si>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</si>
  <si>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</si>
  <si>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</si>
  <si>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</si>
  <si>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</si>
  <si>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</si>
  <si>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</si>
  <si>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</si>
  <si>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</si>
  <si>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</si>
  <si>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</si>
  <si>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</si>
  <si>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</si>
  <si>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</si>
  <si>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</si>
  <si>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</si>
  <si>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</si>
  <si>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</si>
  <si>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</si>
  <si>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</si>
  <si>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</si>
  <si>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</si>
  <si>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</si>
  <si>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</si>
  <si>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</si>
  <si>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</si>
  <si>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</si>
  <si>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</si>
  <si>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</si>
  <si>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</si>
  <si>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</si>
  <si>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</si>
  <si>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</si>
  <si>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</si>
  <si>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</si>
  <si>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</si>
  <si>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</si>
  <si>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</si>
  <si>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</si>
  <si>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</si>
  <si>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</si>
  <si>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</si>
  <si>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</si>
  <si>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</si>
  <si>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</si>
  <si>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</si>
  <si>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</si>
  <si>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</si>
  <si>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</si>
  <si>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</si>
  <si>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</si>
  <si>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</si>
  <si>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</si>
  <si>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</si>
  <si>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</si>
  <si>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</si>
  <si>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</si>
  <si>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</si>
  <si>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</si>
  <si>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</si>
  <si>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</si>
  <si>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</si>
  <si>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</si>
  <si>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</si>
  <si>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</si>
  <si>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</si>
  <si>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</si>
  <si>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</si>
  <si>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</si>
  <si>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</si>
  <si>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</si>
  <si>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</si>
  <si>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</si>
  <si>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</si>
  <si>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</si>
  <si>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</si>
  <si>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</si>
  <si>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</si>
  <si>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</si>
  <si>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</si>
  <si>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</si>
  <si>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</si>
  <si>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</si>
  <si>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</si>
  <si>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</si>
  <si>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</si>
  <si>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</si>
  <si>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</si>
  <si>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</si>
  <si>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</si>
  <si>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</si>
  <si>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</si>
  <si>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</si>
  <si>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</si>
  <si>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</si>
  <si>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</si>
  <si>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</si>
  <si>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</si>
  <si>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</si>
  <si>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</si>
  <si>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</si>
  <si>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</si>
  <si>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</si>
  <si>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</si>
  <si>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</si>
  <si>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</si>
  <si>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</si>
  <si>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</si>
  <si>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</si>
  <si>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</si>
  <si>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</si>
  <si>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</si>
  <si>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</si>
  <si>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</si>
  <si>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</si>
  <si>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</si>
  <si>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</si>
  <si>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</si>
  <si>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</si>
  <si>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</si>
  <si>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</si>
  <si>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</si>
  <si>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</si>
  <si>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</si>
  <si>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</si>
  <si>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</si>
  <si>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</si>
  <si>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</si>
  <si>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</si>
  <si>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</si>
  <si>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</si>
  <si>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</si>
  <si>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</si>
  <si>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</si>
  <si>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</si>
  <si>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</si>
  <si>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</si>
  <si>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</si>
  <si>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</si>
  <si>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</si>
  <si>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</si>
  <si>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</si>
  <si>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</si>
  <si>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</si>
  <si>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</si>
  <si>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</si>
  <si>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</si>
  <si>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</si>
  <si>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</si>
  <si>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</si>
  <si>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</si>
  <si>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</si>
  <si>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</si>
  <si>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</si>
  <si>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</si>
  <si>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</si>
  <si>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</si>
  <si>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</si>
  <si>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</si>
  <si>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</si>
  <si>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</si>
  <si>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</si>
  <si>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</si>
  <si>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</si>
  <si>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</si>
  <si>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</si>
  <si>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</si>
  <si>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</si>
  <si>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</si>
  <si>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</si>
  <si>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</si>
  <si>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</si>
  <si>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</si>
  <si>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</si>
  <si>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</si>
  <si>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</si>
  <si>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</si>
  <si>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</si>
  <si>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</si>
  <si>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</si>
  <si>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</si>
  <si>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</si>
  <si>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</si>
  <si>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</si>
  <si>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</si>
  <si>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</si>
  <si>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</si>
  <si>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</si>
  <si>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</si>
  <si>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</si>
  <si>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</si>
  <si>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</si>
  <si>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</si>
  <si>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</si>
  <si>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</si>
  <si>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</si>
  <si>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</si>
  <si>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</si>
  <si>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</si>
  <si>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</si>
  <si>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</si>
  <si>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</si>
  <si>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</si>
  <si>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</si>
  <si>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</si>
  <si>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</si>
  <si>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</si>
  <si>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</si>
  <si>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</si>
  <si>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</si>
  <si>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</si>
  <si>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</si>
  <si>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</si>
  <si>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</si>
  <si>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</si>
  <si>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</si>
  <si>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</si>
  <si>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</si>
  <si>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</si>
  <si>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</si>
  <si>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</si>
  <si>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</si>
  <si>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</si>
  <si>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</si>
  <si>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</si>
  <si>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</si>
  <si>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</si>
  <si>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</si>
  <si>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</si>
  <si>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</si>
  <si>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</si>
  <si>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</si>
  <si>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</si>
  <si>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</si>
  <si>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</si>
  <si>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</si>
  <si>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</si>
  <si>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</si>
  <si>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</si>
  <si>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</si>
  <si>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</si>
  <si>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</si>
  <si>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</si>
  <si>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</si>
  <si>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</si>
  <si>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</si>
  <si>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</si>
  <si>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</si>
  <si>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</si>
  <si>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</si>
  <si>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</si>
  <si>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</si>
  <si>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</si>
  <si>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</si>
  <si>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</si>
  <si>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</si>
  <si>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</si>
  <si>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</si>
  <si>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</si>
  <si>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</si>
  <si>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</si>
  <si>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</si>
  <si>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</si>
  <si>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</si>
  <si>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</si>
  <si>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</si>
  <si>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</si>
  <si>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</si>
  <si>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</si>
  <si>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</si>
  <si>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</si>
  <si>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</si>
  <si>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</si>
  <si>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</si>
  <si>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</si>
  <si>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</si>
  <si>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</si>
  <si>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</si>
  <si>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</si>
  <si>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</si>
  <si>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</si>
  <si>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</si>
  <si>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</si>
  <si>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</si>
  <si>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</si>
  <si>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</si>
  <si>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</si>
  <si>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</si>
  <si>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</si>
  <si>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</si>
  <si>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</si>
  <si>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</si>
  <si>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</si>
  <si>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</si>
  <si>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</si>
  <si>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</si>
  <si>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</si>
  <si>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</si>
  <si>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</si>
  <si>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</si>
  <si>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</si>
  <si>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</si>
  <si>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</si>
  <si>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</si>
  <si>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</si>
  <si>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</si>
  <si>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</si>
  <si>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</si>
  <si>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</si>
  <si>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</si>
  <si>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</si>
  <si>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</si>
  <si>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</si>
  <si>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</si>
  <si>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</si>
  <si>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</si>
  <si>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</si>
  <si>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</si>
  <si>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</si>
  <si>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</si>
  <si>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</si>
  <si>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</si>
  <si>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</si>
  <si>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</si>
  <si>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</si>
  <si>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</si>
  <si>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</si>
  <si>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</si>
  <si>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</si>
  <si>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</si>
  <si>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</si>
  <si>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</si>
  <si>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</si>
  <si>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</si>
  <si>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</si>
  <si>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</si>
  <si>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</si>
  <si>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</si>
  <si>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</si>
  <si>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</si>
  <si>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</si>
  <si>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</si>
  <si>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</si>
  <si>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</si>
  <si>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</si>
  <si>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</si>
  <si>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</si>
  <si>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</si>
  <si>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</si>
  <si>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</si>
  <si>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</si>
  <si>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</si>
  <si>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</si>
  <si>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</si>
  <si>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</si>
  <si>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</si>
  <si>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</si>
  <si>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</si>
  <si>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</si>
  <si>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</si>
  <si>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</si>
  <si>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</si>
  <si>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</si>
  <si>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</si>
  <si>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</si>
  <si>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</si>
  <si>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</si>
  <si>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</si>
  <si>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</si>
  <si>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</si>
  <si>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</si>
  <si>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</si>
  <si>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</si>
  <si>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</si>
  <si>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</si>
  <si>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</si>
  <si>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</si>
  <si>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</si>
  <si>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</si>
  <si>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</si>
  <si>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</si>
  <si>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</si>
  <si>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</si>
  <si>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</si>
  <si>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</si>
  <si>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</si>
  <si>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</si>
  <si>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</si>
  <si>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</si>
  <si>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</si>
  <si>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</si>
  <si>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</si>
  <si>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</si>
  <si>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</si>
  <si>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</si>
  <si>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</si>
  <si>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</si>
  <si>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</si>
  <si>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</si>
  <si>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</si>
  <si>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</si>
  <si>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</si>
  <si>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</si>
  <si>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</si>
  <si>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</si>
  <si>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</si>
  <si>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</si>
  <si>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</si>
  <si>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</si>
  <si>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</si>
  <si>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</si>
  <si>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</si>
  <si>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</si>
  <si>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</si>
  <si>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</si>
  <si>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</si>
  <si>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</si>
  <si>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</si>
  <si>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</si>
  <si>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</si>
  <si>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</si>
  <si>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</si>
  <si>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</si>
  <si>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</si>
  <si>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</si>
  <si>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</si>
  <si>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</si>
  <si>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</si>
  <si>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</si>
  <si>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</si>
  <si>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</si>
  <si>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</si>
  <si>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</si>
  <si>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</si>
  <si>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</si>
  <si>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</si>
  <si>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</si>
  <si>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</si>
  <si>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</si>
  <si>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</si>
  <si>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</si>
  <si>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</si>
  <si>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</si>
  <si>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</si>
  <si>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</si>
  <si>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</si>
  <si>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</si>
  <si>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</si>
  <si>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</si>
  <si>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</si>
  <si>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</si>
  <si>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</si>
  <si>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</si>
  <si>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</si>
  <si>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</si>
  <si>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</si>
  <si>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</si>
  <si>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</si>
  <si>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</si>
  <si>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</si>
  <si>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</si>
  <si>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</si>
  <si>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</si>
  <si>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</si>
  <si>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</si>
  <si>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</si>
  <si>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</si>
  <si>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</si>
  <si>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</si>
  <si>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</si>
  <si>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</si>
  <si>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</si>
  <si>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</si>
  <si>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</si>
  <si>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</si>
  <si>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</si>
  <si>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</si>
  <si>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</si>
  <si>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</si>
  <si>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</si>
  <si>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</si>
  <si>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</si>
  <si>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</si>
  <si>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</si>
  <si>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</si>
  <si>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</si>
  <si>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</si>
  <si>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</si>
  <si>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</si>
  <si>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</si>
  <si>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</si>
  <si>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</si>
  <si>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</si>
  <si>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</si>
  <si>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</si>
  <si>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</si>
  <si>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</si>
  <si>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</si>
  <si>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</si>
  <si>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</si>
  <si>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</si>
  <si>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</si>
  <si>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</si>
  <si>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</si>
  <si>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</si>
  <si>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</si>
  <si>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</si>
  <si>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</si>
  <si>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</si>
  <si>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</si>
  <si>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</si>
  <si>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</si>
  <si>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</si>
  <si>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</si>
  <si>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</si>
  <si>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</si>
  <si>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</si>
  <si>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</si>
  <si>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</si>
  <si>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</si>
  <si>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</si>
  <si>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</si>
  <si>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</si>
  <si>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</si>
  <si>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</si>
  <si>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</si>
  <si>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</si>
  <si>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</si>
  <si>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</si>
  <si>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</si>
  <si>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</si>
  <si>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</si>
  <si>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</si>
  <si>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</si>
  <si>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</si>
  <si>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</si>
  <si>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</si>
  <si>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</si>
  <si>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</si>
  <si>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</si>
  <si>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</si>
  <si>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</si>
  <si>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</si>
  <si>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</si>
  <si>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</si>
  <si>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</si>
  <si>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</si>
  <si>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</si>
  <si>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</si>
  <si>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</si>
  <si>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</si>
  <si>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</si>
  <si>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</si>
  <si>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</si>
  <si>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</si>
  <si>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</si>
  <si>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</si>
  <si>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</si>
  <si>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</si>
  <si>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</si>
  <si>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</si>
  <si>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</si>
  <si>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</si>
  <si>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</si>
  <si>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</si>
  <si>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</si>
  <si>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</si>
  <si>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</si>
  <si>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</si>
  <si>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</si>
  <si>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</si>
  <si>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</si>
  <si>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</si>
  <si>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</si>
  <si>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</si>
  <si>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</si>
  <si>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</si>
  <si>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</si>
  <si>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</si>
  <si>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</si>
  <si>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</si>
  <si>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</si>
  <si>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</si>
  <si>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</si>
  <si>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</si>
  <si>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</si>
  <si>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</si>
  <si>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</si>
  <si>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</si>
  <si>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</si>
  <si>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</si>
  <si>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</si>
  <si>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</si>
  <si>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</si>
  <si>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</si>
  <si>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</si>
  <si>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</si>
  <si>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</si>
  <si>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</si>
  <si>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</si>
  <si>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</si>
  <si>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</si>
  <si>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</si>
  <si>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</si>
  <si>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</si>
  <si>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</si>
  <si>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</si>
  <si>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</si>
  <si>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</si>
  <si>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</si>
  <si>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</si>
  <si>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</si>
  <si>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</si>
  <si>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</si>
  <si>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</si>
  <si>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</si>
  <si>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</si>
  <si>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</si>
  <si>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</si>
  <si>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</si>
  <si>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</si>
  <si>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</si>
  <si>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</si>
  <si>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</si>
  <si>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</si>
  <si>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</si>
  <si>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</si>
  <si>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</si>
  <si>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</si>
  <si>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</si>
  <si>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</si>
  <si>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</si>
  <si>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</si>
  <si>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</si>
  <si>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</si>
  <si>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</si>
  <si>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</si>
  <si>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</si>
  <si>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</si>
  <si>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</si>
  <si>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</si>
  <si>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</si>
  <si>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</si>
  <si>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</si>
  <si>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</si>
  <si>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</si>
  <si>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</si>
  <si>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</si>
  <si>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</si>
  <si>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</si>
  <si>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</si>
  <si>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</si>
  <si>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</si>
  <si>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</si>
  <si>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</si>
  <si>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</si>
  <si>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</si>
  <si>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</si>
  <si>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</si>
  <si>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</si>
  <si>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</si>
  <si>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</si>
  <si>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</si>
  <si>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</si>
  <si>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</si>
  <si>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</si>
  <si>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</si>
  <si>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</si>
  <si>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</si>
  <si>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</si>
  <si>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</si>
  <si>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</si>
  <si>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</si>
  <si>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</si>
  <si>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</si>
  <si>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</si>
  <si>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</si>
  <si>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</si>
  <si>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</si>
  <si>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</si>
  <si>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</si>
  <si>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</si>
  <si>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</si>
  <si>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</si>
  <si>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</si>
  <si>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</si>
  <si>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</si>
  <si>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</si>
  <si>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</si>
  <si>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</si>
  <si>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</si>
  <si>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</si>
  <si>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</si>
  <si>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</si>
  <si>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</si>
  <si>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</si>
  <si>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</si>
  <si>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</si>
  <si>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</si>
  <si>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</si>
  <si>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</si>
  <si>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</si>
  <si>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</si>
  <si>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</si>
  <si>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</si>
  <si>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</si>
  <si>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</si>
  <si>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</si>
  <si>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</si>
  <si>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</si>
  <si>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</si>
  <si>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</si>
  <si>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</si>
  <si>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</si>
  <si>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</si>
  <si>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</si>
  <si>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</si>
  <si>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</si>
  <si>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</si>
  <si>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</si>
  <si>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</si>
  <si>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</si>
  <si>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</si>
  <si>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</si>
  <si>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</si>
  <si>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</si>
  <si>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</si>
  <si>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</si>
  <si>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</si>
  <si>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</si>
  <si>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</si>
  <si>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</si>
  <si>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</si>
  <si>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</si>
  <si>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</si>
  <si>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</si>
  <si>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</si>
  <si>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</si>
  <si>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</si>
  <si>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</si>
  <si>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</si>
  <si>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</si>
  <si>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</si>
  <si>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</si>
  <si>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</si>
  <si>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</si>
  <si>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</si>
  <si>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</si>
  <si>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</si>
  <si>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</si>
  <si>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</si>
  <si>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</si>
  <si>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</si>
  <si>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</si>
  <si>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</si>
  <si>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</si>
  <si>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</si>
  <si>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</si>
  <si>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</si>
  <si>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</si>
  <si>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</si>
  <si>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</si>
  <si>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</si>
  <si>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</si>
  <si>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</si>
  <si>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</si>
  <si>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</si>
  <si>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</si>
  <si>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</si>
  <si>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</si>
  <si>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</si>
  <si>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</si>
  <si>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</si>
  <si>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</si>
  <si>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</si>
  <si>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</si>
  <si>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</si>
  <si>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</si>
  <si>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</si>
  <si>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</si>
  <si>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</si>
  <si>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</si>
  <si>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</si>
  <si>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</si>
  <si>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</si>
  <si>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</si>
  <si>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</si>
  <si>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</si>
  <si>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</si>
  <si>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</si>
  <si>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</si>
  <si>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</si>
  <si>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</si>
  <si>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</si>
  <si>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</si>
  <si>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</si>
  <si>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</si>
  <si>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</si>
  <si>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</si>
  <si>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</si>
  <si>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</si>
  <si>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</si>
  <si>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</si>
  <si>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</si>
  <si>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</si>
  <si>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</si>
  <si>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</si>
  <si>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</si>
  <si>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</si>
  <si>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</si>
  <si>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</si>
  <si>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</si>
  <si>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</si>
  <si>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</si>
  <si>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</si>
  <si>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</si>
  <si>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</si>
  <si>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</si>
  <si>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</si>
  <si>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</si>
  <si>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</si>
  <si>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</si>
  <si>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</si>
  <si>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</si>
  <si>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</si>
  <si>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</si>
  <si>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</si>
  <si>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</si>
  <si>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</si>
  <si>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</si>
  <si>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</si>
  <si>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</si>
  <si>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</si>
  <si>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</si>
  <si>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</si>
  <si>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</si>
  <si>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</si>
  <si>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</si>
  <si>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</si>
  <si>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</si>
  <si>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</si>
  <si>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</si>
  <si>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</si>
  <si>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</si>
  <si>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</si>
  <si>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</si>
  <si>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</si>
  <si>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</si>
  <si>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</si>
  <si>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</si>
  <si>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</si>
  <si>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</si>
  <si>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</si>
  <si>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</si>
  <si>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</si>
  <si>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</si>
  <si>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</si>
  <si>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</si>
  <si>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</si>
  <si>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</si>
  <si>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</si>
  <si>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</si>
  <si>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</si>
  <si>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</si>
  <si>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</si>
  <si>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</si>
  <si>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</si>
  <si>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</si>
  <si>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</si>
  <si>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</si>
  <si>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</si>
  <si>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</si>
  <si>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</si>
  <si>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</si>
  <si>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</si>
  <si>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</si>
  <si>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</si>
  <si>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</si>
  <si>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</si>
  <si>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</si>
  <si>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</si>
  <si>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</si>
  <si>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</si>
  <si>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</si>
  <si>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</si>
  <si>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</si>
  <si>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</si>
  <si>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</si>
  <si>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</si>
  <si>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</si>
  <si>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</si>
  <si>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</si>
  <si>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</si>
  <si>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</si>
  <si>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</si>
  <si>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</si>
  <si>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</si>
  <si>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</si>
  <si>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</si>
  <si>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</si>
  <si>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</si>
  <si>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</si>
  <si>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</si>
  <si>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</si>
  <si>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</si>
  <si>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</si>
  <si>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</si>
  <si>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</si>
  <si>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</si>
  <si>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</si>
  <si>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</si>
  <si>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</si>
  <si>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</si>
  <si>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</si>
  <si>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</si>
  <si>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</si>
  <si>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</si>
  <si>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</si>
  <si>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</si>
  <si>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</si>
  <si>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</si>
  <si>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</si>
  <si>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</si>
  <si>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</si>
  <si>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</si>
  <si>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</si>
  <si>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</si>
  <si>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</si>
  <si>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</si>
  <si>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</si>
  <si>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</si>
  <si>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</si>
  <si>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</si>
  <si>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</si>
  <si>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</si>
  <si>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</si>
  <si>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</si>
  <si>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</si>
  <si>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</si>
  <si>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</si>
  <si>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</si>
  <si>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</si>
  <si>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</si>
  <si>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</si>
  <si>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</si>
  <si>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</si>
  <si>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</si>
  <si>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</si>
  <si>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</si>
  <si>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</si>
  <si>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</si>
  <si>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</si>
  <si>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</si>
  <si>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</si>
  <si>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</si>
  <si>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</si>
  <si>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</si>
  <si>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</si>
  <si>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</si>
  <si>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</si>
  <si>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</si>
  <si>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</si>
  <si>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</si>
  <si>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</si>
  <si>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</si>
  <si>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</si>
  <si>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</si>
  <si>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</si>
  <si>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</si>
  <si>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</si>
  <si>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</si>
  <si>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</si>
  <si>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</si>
  <si>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</si>
  <si>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</si>
  <si>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</si>
  <si>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</si>
  <si>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</si>
  <si>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</si>
  <si>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</si>
  <si>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</si>
  <si>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</si>
  <si>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</si>
  <si>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</si>
  <si>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</si>
  <si>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</si>
  <si>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</si>
  <si>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</si>
  <si>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</si>
  <si>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</si>
  <si>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</si>
  <si>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</si>
  <si>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</si>
  <si>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</si>
  <si>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</si>
  <si>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</si>
  <si>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</si>
  <si>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</si>
  <si>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</si>
  <si>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</si>
  <si>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</si>
  <si>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</si>
  <si>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</si>
  <si>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</si>
  <si>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</si>
  <si>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</si>
  <si>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</si>
  <si>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</si>
  <si>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</si>
  <si>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</si>
  <si>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</si>
  <si>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</si>
  <si>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</si>
  <si>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</si>
  <si>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</si>
  <si>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</si>
  <si>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</si>
  <si>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</si>
  <si>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</si>
  <si>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</si>
  <si>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</si>
  <si>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</si>
  <si>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</si>
  <si>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</si>
  <si>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</si>
  <si>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</si>
  <si>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</si>
  <si>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</si>
  <si>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</si>
  <si>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</si>
  <si>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</si>
  <si>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</si>
  <si>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</si>
  <si>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</si>
  <si>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</si>
  <si>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</si>
  <si>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</si>
  <si>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</si>
  <si>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</si>
  <si>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</si>
  <si>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</si>
  <si>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Disc&gt;30</t>
  </si>
  <si>
    <t>UpdatedRequiredDate</t>
  </si>
  <si>
    <t>LeadTimeDays</t>
  </si>
  <si>
    <t>GrossRevenue</t>
  </si>
  <si>
    <t>Cost of Goods</t>
  </si>
  <si>
    <t>Gross Profit</t>
  </si>
  <si>
    <t>MarginPct</t>
  </si>
  <si>
    <t>Month</t>
  </si>
  <si>
    <t>Quarter</t>
  </si>
  <si>
    <t>Price Band</t>
  </si>
  <si>
    <t>Row Labels</t>
  </si>
  <si>
    <t>Grand Total</t>
  </si>
  <si>
    <t>Column Labels</t>
  </si>
  <si>
    <t>Sum of GrossRevenue</t>
  </si>
  <si>
    <t>2023</t>
  </si>
  <si>
    <t>2024</t>
  </si>
  <si>
    <t>2025</t>
  </si>
  <si>
    <t>Revenue%</t>
  </si>
  <si>
    <t>Cumulative revenue(%)</t>
  </si>
  <si>
    <t>ABC</t>
  </si>
  <si>
    <t>Sum of Gross Profit</t>
  </si>
  <si>
    <t>Met Target</t>
  </si>
  <si>
    <t>Met</t>
  </si>
  <si>
    <t>Not Met</t>
  </si>
  <si>
    <t>Count of Met Target</t>
  </si>
  <si>
    <t>Disc&gt;20</t>
  </si>
  <si>
    <t>Count of Disc&gt;20</t>
  </si>
  <si>
    <t>A</t>
  </si>
  <si>
    <t>Global Discount Cap</t>
  </si>
  <si>
    <t>Unit Cost Inflation</t>
  </si>
  <si>
    <t>Quantity Uplift</t>
  </si>
  <si>
    <t>B</t>
  </si>
  <si>
    <t>Adjusted Discount%</t>
  </si>
  <si>
    <t>Adjusted Unit Cost</t>
  </si>
  <si>
    <t>Adjusted Quantity</t>
  </si>
  <si>
    <t>Scenario Revenue</t>
  </si>
  <si>
    <t>Scenario Profit</t>
  </si>
  <si>
    <t>Total Scenario Revenue</t>
  </si>
  <si>
    <t>Total Scenario Profit</t>
  </si>
  <si>
    <r>
      <t xml:space="preserve">                         </t>
    </r>
    <r>
      <rPr>
        <b/>
        <sz val="14"/>
        <rFont val="Calibri"/>
        <family val="2"/>
        <scheme val="minor"/>
      </rPr>
      <t>What If Analysis</t>
    </r>
  </si>
  <si>
    <t>$B$5</t>
  </si>
  <si>
    <t>$B$6</t>
  </si>
  <si>
    <t>$B$7</t>
  </si>
  <si>
    <t>Best Case Scenario</t>
  </si>
  <si>
    <t xml:space="preserve">Created by user on 8/3/2026
</t>
  </si>
  <si>
    <t>Worst Case Scenario</t>
  </si>
  <si>
    <t>Created by user on 8/3/2026</t>
  </si>
  <si>
    <t>Base Case Scenario</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</si>
  <si>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</si>
  <si>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</si>
  <si>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</si>
  <si>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</si>
  <si>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</si>
  <si>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</si>
  <si>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</si>
  <si>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Jan</t>
  </si>
  <si>
    <t>Feb</t>
  </si>
  <si>
    <t>Mar</t>
  </si>
  <si>
    <t>Apr</t>
  </si>
  <si>
    <t>May</t>
  </si>
  <si>
    <t>Jun</t>
  </si>
  <si>
    <t>Jul</t>
  </si>
  <si>
    <t>Aug</t>
  </si>
  <si>
    <t>Sep</t>
  </si>
  <si>
    <t>Oct</t>
  </si>
  <si>
    <t>Nov</t>
  </si>
  <si>
    <t>Dec</t>
  </si>
  <si>
    <t>Average OrderValue</t>
  </si>
  <si>
    <t>Removed duplicate records using Excel's Remove duplicates feature.One duplicate Order ID was identified and removed,resulting in 632 unique records.</t>
  </si>
  <si>
    <t>Converted the Order Date and Required Date columns to Short Date format.</t>
  </si>
  <si>
    <r>
      <t xml:space="preserve">Changed the </t>
    </r>
    <r>
      <rPr>
        <b/>
        <sz val="11"/>
        <color theme="1"/>
        <rFont val="Calibri"/>
        <family val="2"/>
        <scheme val="minor"/>
      </rPr>
      <t>Unit Cost</t>
    </r>
    <r>
      <rPr>
        <sz val="11"/>
        <color theme="1"/>
        <rFont val="Calibri"/>
        <family val="2"/>
        <scheme val="minor"/>
      </rPr>
      <t xml:space="preserve">, </t>
    </r>
    <r>
      <rPr>
        <b/>
        <sz val="11"/>
        <color theme="1"/>
        <rFont val="Calibri"/>
        <family val="2"/>
        <scheme val="minor"/>
      </rPr>
      <t>Unit Price</t>
    </r>
    <r>
      <rPr>
        <sz val="11"/>
        <color theme="1"/>
        <rFont val="Calibri"/>
        <family val="2"/>
        <scheme val="minor"/>
      </rPr>
      <t xml:space="preserve">, and </t>
    </r>
    <r>
      <rPr>
        <b/>
        <sz val="11"/>
        <color theme="1"/>
        <rFont val="Calibri"/>
        <family val="2"/>
        <scheme val="minor"/>
      </rPr>
      <t>Quantity</t>
    </r>
    <r>
      <rPr>
        <sz val="11"/>
        <color theme="1"/>
        <rFont val="Calibri"/>
        <family val="2"/>
        <scheme val="minor"/>
      </rPr>
      <t xml:space="preserve"> columns to the </t>
    </r>
    <r>
      <rPr>
        <b/>
        <sz val="11"/>
        <color theme="1"/>
        <rFont val="Calibri"/>
        <family val="2"/>
        <scheme val="minor"/>
      </rPr>
      <t>Number</t>
    </r>
    <r>
      <rPr>
        <sz val="11"/>
        <color theme="1"/>
        <rFont val="Calibri"/>
        <family val="2"/>
        <scheme val="minor"/>
      </rPr>
      <t xml:space="preserve"> data type and formatted </t>
    </r>
    <r>
      <rPr>
        <b/>
        <sz val="11"/>
        <color theme="1"/>
        <rFont val="Calibri"/>
        <family val="2"/>
        <scheme val="minor"/>
      </rPr>
      <t>Discount Percentage</t>
    </r>
    <r>
      <rPr>
        <sz val="11"/>
        <color theme="1"/>
        <rFont val="Calibri"/>
        <family val="2"/>
        <scheme val="minor"/>
      </rPr>
      <t xml:space="preserve"> as </t>
    </r>
    <r>
      <rPr>
        <b/>
        <sz val="11"/>
        <color theme="1"/>
        <rFont val="Calibri"/>
        <family val="2"/>
        <scheme val="minor"/>
      </rPr>
      <t>Percentage</t>
    </r>
    <r>
      <rPr>
        <sz val="11"/>
        <color theme="1"/>
        <rFont val="Calibri"/>
        <family val="2"/>
        <scheme val="minor"/>
      </rPr>
      <t>.</t>
    </r>
  </si>
  <si>
    <r>
      <t xml:space="preserve">Filtered the </t>
    </r>
    <r>
      <rPr>
        <b/>
        <sz val="11"/>
        <color theme="1"/>
        <rFont val="Calibri"/>
        <family val="2"/>
        <scheme val="minor"/>
      </rPr>
      <t>City</t>
    </r>
    <r>
      <rPr>
        <sz val="11"/>
        <color theme="1"/>
        <rFont val="Calibri"/>
        <family val="2"/>
        <scheme val="minor"/>
      </rPr>
      <t xml:space="preserve"> column and removed </t>
    </r>
    <r>
      <rPr>
        <b/>
        <sz val="11"/>
        <color theme="1"/>
        <rFont val="Calibri"/>
        <family val="2"/>
        <scheme val="minor"/>
      </rPr>
      <t>8 records</t>
    </r>
    <r>
      <rPr>
        <sz val="11"/>
        <color theme="1"/>
        <rFont val="Calibri"/>
        <family val="2"/>
        <scheme val="minor"/>
      </rPr>
      <t xml:space="preserve"> with missing values.</t>
    </r>
  </si>
  <si>
    <r>
      <t xml:space="preserve">Filtered the </t>
    </r>
    <r>
      <rPr>
        <b/>
        <sz val="11"/>
        <color theme="1"/>
        <rFont val="Calibri"/>
        <family val="2"/>
        <scheme val="minor"/>
      </rPr>
      <t>Channel</t>
    </r>
    <r>
      <rPr>
        <sz val="11"/>
        <color theme="1"/>
        <rFont val="Calibri"/>
        <family val="2"/>
        <scheme val="minor"/>
      </rPr>
      <t xml:space="preserve"> column and removed </t>
    </r>
    <r>
      <rPr>
        <b/>
        <sz val="11"/>
        <color theme="1"/>
        <rFont val="Calibri"/>
        <family val="2"/>
        <scheme val="minor"/>
      </rPr>
      <t>7 records</t>
    </r>
    <r>
      <rPr>
        <sz val="11"/>
        <color theme="1"/>
        <rFont val="Calibri"/>
        <family val="2"/>
        <scheme val="minor"/>
      </rPr>
      <t xml:space="preserve"> with missing values.</t>
    </r>
  </si>
  <si>
    <r>
      <t xml:space="preserve">Filtered the </t>
    </r>
    <r>
      <rPr>
        <b/>
        <sz val="11"/>
        <color theme="1"/>
        <rFont val="Calibri"/>
        <family val="2"/>
        <scheme val="minor"/>
      </rPr>
      <t>Salesperson</t>
    </r>
    <r>
      <rPr>
        <sz val="11"/>
        <color theme="1"/>
        <rFont val="Calibri"/>
        <family val="2"/>
        <scheme val="minor"/>
      </rPr>
      <t xml:space="preserve"> column and removed </t>
    </r>
    <r>
      <rPr>
        <b/>
        <sz val="11"/>
        <color theme="1"/>
        <rFont val="Calibri"/>
        <family val="2"/>
        <scheme val="minor"/>
      </rPr>
      <t>7 records</t>
    </r>
    <r>
      <rPr>
        <sz val="11"/>
        <color theme="1"/>
        <rFont val="Calibri"/>
        <family val="2"/>
        <scheme val="minor"/>
      </rPr>
      <t xml:space="preserve"> with missing values.</t>
    </r>
  </si>
  <si>
    <r>
      <t xml:space="preserve">Sorted the </t>
    </r>
    <r>
      <rPr>
        <b/>
        <sz val="11"/>
        <color theme="1"/>
        <rFont val="Calibri"/>
        <family val="2"/>
        <scheme val="minor"/>
      </rPr>
      <t>Unit Price</t>
    </r>
    <r>
      <rPr>
        <sz val="11"/>
        <color theme="1"/>
        <rFont val="Calibri"/>
        <family val="2"/>
        <scheme val="minor"/>
      </rPr>
      <t xml:space="preserve"> column in ascending order to identify pricing anomalies and found </t>
    </r>
    <r>
      <rPr>
        <b/>
        <sz val="11"/>
        <color theme="1"/>
        <rFont val="Calibri"/>
        <family val="2"/>
        <scheme val="minor"/>
      </rPr>
      <t>3 records with negative values</t>
    </r>
    <r>
      <rPr>
        <sz val="11"/>
        <color theme="1"/>
        <rFont val="Calibri"/>
        <family val="2"/>
        <scheme val="minor"/>
      </rPr>
      <t>.</t>
    </r>
  </si>
  <si>
    <t>Recalculated the affected Unit Prices by deriving the selling price before discount using:</t>
  </si>
  <si>
    <t>Selling Price = (Unit Cost × Quantity) ÷ (1 − Discount %)</t>
  </si>
  <si>
    <t>The corrected Unit Price was then calculated by dividing the selling price by the quantity.</t>
  </si>
  <si>
    <r>
      <t xml:space="preserve">Used an </t>
    </r>
    <r>
      <rPr>
        <b/>
        <sz val="11"/>
        <color theme="1"/>
        <rFont val="Calibri"/>
        <family val="2"/>
        <scheme val="minor"/>
      </rPr>
      <t>IF</t>
    </r>
    <r>
      <rPr>
        <sz val="11"/>
        <color theme="1"/>
        <rFont val="Calibri"/>
        <family val="2"/>
        <scheme val="minor"/>
      </rPr>
      <t xml:space="preserve"> formula to identify discount values greater than </t>
    </r>
    <r>
      <rPr>
        <b/>
        <sz val="11"/>
        <color theme="1"/>
        <rFont val="Calibri"/>
        <family val="2"/>
        <scheme val="minor"/>
      </rPr>
      <t>30%</t>
    </r>
    <r>
      <rPr>
        <sz val="11"/>
        <color theme="1"/>
        <rFont val="Calibri"/>
        <family val="2"/>
        <scheme val="minor"/>
      </rPr>
      <t>.</t>
    </r>
  </si>
  <si>
    <r>
      <t xml:space="preserve">Compared Unit Price with Unit Cost for these records and corrected invalid discounts to </t>
    </r>
    <r>
      <rPr>
        <b/>
        <sz val="11"/>
        <color theme="1"/>
        <rFont val="Calibri"/>
        <family val="2"/>
        <scheme val="minor"/>
      </rPr>
      <t>0%</t>
    </r>
    <r>
      <rPr>
        <sz val="11"/>
        <color theme="1"/>
        <rFont val="Calibri"/>
        <family val="2"/>
        <scheme val="minor"/>
      </rPr>
      <t xml:space="preserve"> where no genuine discount existed.</t>
    </r>
  </si>
  <si>
    <r>
      <t xml:space="preserve">Used an </t>
    </r>
    <r>
      <rPr>
        <b/>
        <sz val="11"/>
        <color theme="1"/>
        <rFont val="Calibri"/>
        <family val="2"/>
        <scheme val="minor"/>
      </rPr>
      <t>IF</t>
    </r>
    <r>
      <rPr>
        <sz val="11"/>
        <color theme="1"/>
        <rFont val="Calibri"/>
        <family val="2"/>
        <scheme val="minor"/>
      </rPr>
      <t xml:space="preserve"> formula to identify records where </t>
    </r>
    <r>
      <rPr>
        <b/>
        <sz val="11"/>
        <color theme="1"/>
        <rFont val="Calibri"/>
        <family val="2"/>
        <scheme val="minor"/>
      </rPr>
      <t>Required Date</t>
    </r>
    <r>
      <rPr>
        <sz val="11"/>
        <color theme="1"/>
        <rFont val="Calibri"/>
        <family val="2"/>
        <scheme val="minor"/>
      </rPr>
      <t xml:space="preserve"> occurred before </t>
    </r>
    <r>
      <rPr>
        <b/>
        <sz val="11"/>
        <color theme="1"/>
        <rFont val="Calibri"/>
        <family val="2"/>
        <scheme val="minor"/>
      </rPr>
      <t>Order Date</t>
    </r>
    <r>
      <rPr>
        <sz val="11"/>
        <color theme="1"/>
        <rFont val="Calibri"/>
        <family val="2"/>
        <scheme val="minor"/>
      </rPr>
      <t xml:space="preserve"> and corrected the Required Date to match the Order Date.</t>
    </r>
  </si>
  <si>
    <r>
      <t xml:space="preserve">Created a </t>
    </r>
    <r>
      <rPr>
        <b/>
        <sz val="11"/>
        <color theme="1"/>
        <rFont val="Calibri"/>
        <family val="2"/>
        <scheme val="minor"/>
      </rPr>
      <t>Lead Time (Days)</t>
    </r>
    <r>
      <rPr>
        <sz val="11"/>
        <color theme="1"/>
        <rFont val="Calibri"/>
        <family val="2"/>
        <scheme val="minor"/>
      </rPr>
      <t xml:space="preserve"> column by calculating the difference between </t>
    </r>
    <r>
      <rPr>
        <b/>
        <sz val="11"/>
        <color theme="1"/>
        <rFont val="Calibri"/>
        <family val="2"/>
        <scheme val="minor"/>
      </rPr>
      <t>Required Date</t>
    </r>
    <r>
      <rPr>
        <sz val="11"/>
        <color theme="1"/>
        <rFont val="Calibri"/>
        <family val="2"/>
        <scheme val="minor"/>
      </rPr>
      <t xml:space="preserve"> and </t>
    </r>
    <r>
      <rPr>
        <b/>
        <sz val="11"/>
        <color theme="1"/>
        <rFont val="Calibri"/>
        <family val="2"/>
        <scheme val="minor"/>
      </rPr>
      <t>Order Date</t>
    </r>
    <r>
      <rPr>
        <sz val="11"/>
        <color theme="1"/>
        <rFont val="Calibri"/>
        <family val="2"/>
        <scheme val="minor"/>
      </rPr>
      <t>.</t>
    </r>
  </si>
  <si>
    <t>Created the following calculated business metrics:</t>
  </si>
  <si>
    <t>Gross Revenue = Unit Price × Quantity × (1 − Discount %)</t>
  </si>
  <si>
    <t>Cost of Goods = Unit Cost × Quantity</t>
  </si>
  <si>
    <t>Gross Profit = Gross Revenue − Cost of Goods</t>
  </si>
  <si>
    <t>Profit Margin (%) = Gross Profit ÷ Gross Revenue</t>
  </si>
  <si>
    <r>
      <t xml:space="preserve">Verified that the </t>
    </r>
    <r>
      <rPr>
        <b/>
        <sz val="11"/>
        <color theme="1"/>
        <rFont val="Calibri"/>
        <family val="2"/>
        <scheme val="minor"/>
      </rPr>
      <t>Region Hierarchy</t>
    </r>
    <r>
      <rPr>
        <sz val="11"/>
        <color theme="1"/>
        <rFont val="Calibri"/>
        <family val="2"/>
        <scheme val="minor"/>
      </rPr>
      <t xml:space="preserve"> was already available in the dataset.</t>
    </r>
  </si>
  <si>
    <r>
      <t xml:space="preserve">Created a </t>
    </r>
    <r>
      <rPr>
        <b/>
        <sz val="11"/>
        <color theme="1"/>
        <rFont val="Calibri"/>
        <family val="2"/>
        <scheme val="minor"/>
      </rPr>
      <t>Price Band</t>
    </r>
    <r>
      <rPr>
        <sz val="11"/>
        <color theme="1"/>
        <rFont val="Calibri"/>
        <family val="2"/>
        <scheme val="minor"/>
      </rPr>
      <t xml:space="preserve"> column using the </t>
    </r>
    <r>
      <rPr>
        <b/>
        <sz val="11"/>
        <color theme="1"/>
        <rFont val="Calibri"/>
        <family val="2"/>
        <scheme val="minor"/>
      </rPr>
      <t>IF</t>
    </r>
    <r>
      <rPr>
        <sz val="11"/>
        <color theme="1"/>
        <rFont val="Calibri"/>
        <family val="2"/>
        <scheme val="minor"/>
      </rPr>
      <t xml:space="preserve"> and </t>
    </r>
    <r>
      <rPr>
        <b/>
        <sz val="11"/>
        <color theme="1"/>
        <rFont val="Calibri"/>
        <family val="2"/>
        <scheme val="minor"/>
      </rPr>
      <t>PERCENTILE.INC</t>
    </r>
    <r>
      <rPr>
        <sz val="11"/>
        <color theme="1"/>
        <rFont val="Calibri"/>
        <family val="2"/>
        <scheme val="minor"/>
      </rPr>
      <t xml:space="preserve"> functions to classify products into </t>
    </r>
    <r>
      <rPr>
        <b/>
        <sz val="11"/>
        <color theme="1"/>
        <rFont val="Calibri"/>
        <family val="2"/>
        <scheme val="minor"/>
      </rPr>
      <t>Low</t>
    </r>
    <r>
      <rPr>
        <sz val="11"/>
        <color theme="1"/>
        <rFont val="Calibri"/>
        <family val="2"/>
        <scheme val="minor"/>
      </rPr>
      <t xml:space="preserve">, </t>
    </r>
    <r>
      <rPr>
        <b/>
        <sz val="11"/>
        <color theme="1"/>
        <rFont val="Calibri"/>
        <family val="2"/>
        <scheme val="minor"/>
      </rPr>
      <t>Medium</t>
    </r>
    <r>
      <rPr>
        <sz val="11"/>
        <color theme="1"/>
        <rFont val="Calibri"/>
        <family val="2"/>
        <scheme val="minor"/>
      </rPr>
      <t xml:space="preserve">, and </t>
    </r>
    <r>
      <rPr>
        <b/>
        <sz val="11"/>
        <color theme="1"/>
        <rFont val="Calibri"/>
        <family val="2"/>
        <scheme val="minor"/>
      </rPr>
      <t>High</t>
    </r>
    <r>
      <rPr>
        <sz val="11"/>
        <color theme="1"/>
        <rFont val="Calibri"/>
        <family val="2"/>
        <scheme val="minor"/>
      </rPr>
      <t xml:space="preserve"> price categories.</t>
    </r>
  </si>
  <si>
    <t xml:space="preserve">Data Cleaning &amp; Preparation </t>
  </si>
  <si>
    <t>Data Validation</t>
  </si>
  <si>
    <t>Feature Engineering</t>
  </si>
  <si>
    <t>Time Intelligence</t>
  </si>
  <si>
    <t>Data Categorisation</t>
  </si>
  <si>
    <r>
      <t xml:space="preserve">Created a </t>
    </r>
    <r>
      <rPr>
        <b/>
        <sz val="11"/>
        <color theme="1"/>
        <rFont val="Calibri"/>
        <family val="2"/>
        <scheme val="minor"/>
      </rPr>
      <t>Month</t>
    </r>
    <r>
      <rPr>
        <sz val="11"/>
        <color theme="1"/>
        <rFont val="Calibri"/>
        <family val="2"/>
        <scheme val="minor"/>
      </rPr>
      <t xml:space="preserve"> column using the </t>
    </r>
    <r>
      <rPr>
        <b/>
        <sz val="11"/>
        <color theme="1"/>
        <rFont val="Calibri"/>
        <family val="2"/>
        <scheme val="minor"/>
      </rPr>
      <t>TEXT</t>
    </r>
    <r>
      <rPr>
        <sz val="11"/>
        <color theme="1"/>
        <rFont val="Calibri"/>
        <family val="2"/>
        <scheme val="minor"/>
      </rPr>
      <t xml:space="preserve"> function in the format </t>
    </r>
    <r>
      <rPr>
        <i/>
        <sz val="11"/>
        <color theme="1"/>
        <rFont val="Calibri"/>
        <family val="2"/>
        <scheme val="minor"/>
      </rPr>
      <t>Month Year</t>
    </r>
    <r>
      <rPr>
        <sz val="11"/>
        <color theme="1"/>
        <rFont val="Calibri"/>
        <family val="2"/>
        <scheme val="minor"/>
      </rPr>
      <t xml:space="preserve"> </t>
    </r>
  </si>
  <si>
    <r>
      <t xml:space="preserve">Created a </t>
    </r>
    <r>
      <rPr>
        <b/>
        <sz val="11"/>
        <color theme="1"/>
        <rFont val="Calibri"/>
        <family val="2"/>
        <scheme val="minor"/>
      </rPr>
      <t>Quarter</t>
    </r>
    <r>
      <rPr>
        <sz val="11"/>
        <color theme="1"/>
        <rFont val="Calibri"/>
        <family val="2"/>
        <scheme val="minor"/>
      </rPr>
      <t xml:space="preserve"> column by combining the quarter number (derived from the month) with the year</t>
    </r>
  </si>
  <si>
    <r>
      <t>Overall business performance remained profitable</t>
    </r>
    <r>
      <rPr>
        <sz val="11"/>
        <color theme="1"/>
        <rFont val="Calibri"/>
        <family val="2"/>
        <scheme val="minor"/>
      </rPr>
      <t xml:space="preserve">, generating </t>
    </r>
    <r>
      <rPr>
        <b/>
        <sz val="11"/>
        <color theme="1"/>
        <rFont val="Calibri"/>
        <family val="2"/>
        <scheme val="minor"/>
      </rPr>
      <t>$10.62M in revenue</t>
    </r>
    <r>
      <rPr>
        <sz val="11"/>
        <color theme="1"/>
        <rFont val="Calibri"/>
        <family val="2"/>
        <scheme val="minor"/>
      </rPr>
      <t xml:space="preserve"> and </t>
    </r>
    <r>
      <rPr>
        <b/>
        <sz val="11"/>
        <color theme="1"/>
        <rFont val="Calibri"/>
        <family val="2"/>
        <scheme val="minor"/>
      </rPr>
      <t>$3.39M in profit</t>
    </r>
    <r>
      <rPr>
        <sz val="11"/>
        <color theme="1"/>
        <rFont val="Calibri"/>
        <family val="2"/>
        <scheme val="minor"/>
      </rPr>
      <t xml:space="preserve">, with a healthy </t>
    </r>
    <r>
      <rPr>
        <b/>
        <sz val="11"/>
        <color theme="1"/>
        <rFont val="Calibri"/>
        <family val="2"/>
        <scheme val="minor"/>
      </rPr>
      <t>24.55% profit margin</t>
    </r>
    <r>
      <rPr>
        <sz val="11"/>
        <color theme="1"/>
        <rFont val="Calibri"/>
        <family val="2"/>
        <scheme val="minor"/>
      </rPr>
      <t>, indicating that pricing and cost management remained effective despite varying sales performance.</t>
    </r>
  </si>
  <si>
    <r>
      <t>Revenue followed a clear seasonal pattern.</t>
    </r>
    <r>
      <rPr>
        <sz val="11"/>
        <color theme="1"/>
        <rFont val="Calibri"/>
        <family val="2"/>
        <scheme val="minor"/>
      </rPr>
      <t xml:space="preserve"> Sales climbed steadily from </t>
    </r>
    <r>
      <rPr>
        <b/>
        <sz val="11"/>
        <color theme="1"/>
        <rFont val="Calibri"/>
        <family val="2"/>
        <scheme val="minor"/>
      </rPr>
      <t>January</t>
    </r>
    <r>
      <rPr>
        <sz val="11"/>
        <color theme="1"/>
        <rFont val="Calibri"/>
        <family val="2"/>
        <scheme val="minor"/>
      </rPr>
      <t xml:space="preserve">, peaked during </t>
    </r>
    <r>
      <rPr>
        <b/>
        <sz val="11"/>
        <color theme="1"/>
        <rFont val="Calibri"/>
        <family val="2"/>
        <scheme val="minor"/>
      </rPr>
      <t>May–July</t>
    </r>
    <r>
      <rPr>
        <sz val="11"/>
        <color theme="1"/>
        <rFont val="Calibri"/>
        <family val="2"/>
        <scheme val="minor"/>
      </rPr>
      <t xml:space="preserve">, then declined sharply in </t>
    </r>
    <r>
      <rPr>
        <b/>
        <sz val="11"/>
        <color theme="1"/>
        <rFont val="Calibri"/>
        <family val="2"/>
        <scheme val="minor"/>
      </rPr>
      <t>September–November</t>
    </r>
    <r>
      <rPr>
        <sz val="11"/>
        <color theme="1"/>
        <rFont val="Calibri"/>
        <family val="2"/>
        <scheme val="minor"/>
      </rPr>
      <t xml:space="preserve"> before recovering slightly in </t>
    </r>
    <r>
      <rPr>
        <b/>
        <sz val="11"/>
        <color theme="1"/>
        <rFont val="Calibri"/>
        <family val="2"/>
        <scheme val="minor"/>
      </rPr>
      <t>December</t>
    </r>
    <r>
      <rPr>
        <sz val="11"/>
        <color theme="1"/>
        <rFont val="Calibri"/>
        <family val="2"/>
        <scheme val="minor"/>
      </rPr>
      <t>, suggesting opportunities to strengthen promotions during weaker months.</t>
    </r>
  </si>
  <si>
    <r>
      <t>Africa</t>
    </r>
    <r>
      <rPr>
        <sz val="11"/>
        <color theme="1"/>
        <rFont val="Calibri"/>
        <family val="2"/>
        <scheme val="minor"/>
      </rPr>
      <t xml:space="preserve"> delivered </t>
    </r>
    <r>
      <rPr>
        <b/>
        <sz val="11"/>
        <color theme="1"/>
        <rFont val="Calibri"/>
        <family val="2"/>
        <scheme val="minor"/>
      </rPr>
      <t>consistent mid-range profitability</t>
    </r>
    <r>
      <rPr>
        <sz val="11"/>
        <color theme="1"/>
        <rFont val="Calibri"/>
        <family val="2"/>
        <scheme val="minor"/>
      </rPr>
      <t xml:space="preserve"> across its salespeople. While it did not produce the highest individual performer, the relatively balanced results indicate stable sales execution with room to grow through targeted campaigns.</t>
    </r>
  </si>
  <si>
    <r>
      <t>The Americas</t>
    </r>
    <r>
      <rPr>
        <sz val="11"/>
        <color theme="1"/>
        <rFont val="Calibri"/>
        <family val="2"/>
        <scheme val="minor"/>
      </rPr>
      <t xml:space="preserve"> showed the </t>
    </r>
    <r>
      <rPr>
        <b/>
        <sz val="11"/>
        <color theme="1"/>
        <rFont val="Calibri"/>
        <family val="2"/>
        <scheme val="minor"/>
      </rPr>
      <t>widest variation in salesperson performance</t>
    </r>
    <r>
      <rPr>
        <sz val="11"/>
        <color theme="1"/>
        <rFont val="Calibri"/>
        <family val="2"/>
        <scheme val="minor"/>
      </rPr>
      <t>, with some of the strongest contributors alongside lower-performing representatives. This suggests that sharing best practices from top performers could significantly lift regional results.</t>
    </r>
  </si>
  <si>
    <r>
      <t>Asia</t>
    </r>
    <r>
      <rPr>
        <sz val="11"/>
        <color theme="1"/>
        <rFont val="Calibri"/>
        <family val="2"/>
        <scheme val="minor"/>
      </rPr>
      <t xml:space="preserve"> maintained </t>
    </r>
    <r>
      <rPr>
        <b/>
        <sz val="11"/>
        <color theme="1"/>
        <rFont val="Calibri"/>
        <family val="2"/>
        <scheme val="minor"/>
      </rPr>
      <t>steady profit generation</t>
    </r>
    <r>
      <rPr>
        <sz val="11"/>
        <color theme="1"/>
        <rFont val="Calibri"/>
        <family val="2"/>
        <scheme val="minor"/>
      </rPr>
      <t xml:space="preserve"> without extreme highs or lows. The region appears dependable, making it a strong candidate for incremental investment to increase revenue while maintaining stable margins.</t>
    </r>
  </si>
  <si>
    <r>
      <t>Europe emerged as the strongest-performing region</t>
    </r>
    <r>
      <rPr>
        <sz val="11"/>
        <color theme="1"/>
        <rFont val="Calibri"/>
        <family val="2"/>
        <scheme val="minor"/>
      </rPr>
      <t xml:space="preserve">, recording the </t>
    </r>
    <r>
      <rPr>
        <b/>
        <sz val="11"/>
        <color theme="1"/>
        <rFont val="Calibri"/>
        <family val="2"/>
        <scheme val="minor"/>
      </rPr>
      <t>highest individual salesperson profit</t>
    </r>
    <r>
      <rPr>
        <sz val="11"/>
        <color theme="1"/>
        <rFont val="Calibri"/>
        <family val="2"/>
        <scheme val="minor"/>
      </rPr>
      <t xml:space="preserve"> on the dashboard. Expanding successful sales strategies used in Europe could help improve performance in other regions.</t>
    </r>
  </si>
  <si>
    <r>
      <t>Revenue is concentrated among a small number of SKUs.</t>
    </r>
    <r>
      <rPr>
        <sz val="11"/>
        <color theme="1"/>
        <rFont val="Calibri"/>
        <family val="2"/>
        <scheme val="minor"/>
      </rPr>
      <t xml:space="preserve"> Products such as </t>
    </r>
    <r>
      <rPr>
        <b/>
        <sz val="11"/>
        <color theme="1"/>
        <rFont val="Calibri"/>
        <family val="2"/>
        <scheme val="minor"/>
      </rPr>
      <t>CMP-8851</t>
    </r>
    <r>
      <rPr>
        <sz val="11"/>
        <color theme="1"/>
        <rFont val="Calibri"/>
        <family val="2"/>
        <scheme val="minor"/>
      </rPr>
      <t xml:space="preserve"> and </t>
    </r>
    <r>
      <rPr>
        <b/>
        <sz val="11"/>
        <color theme="1"/>
        <rFont val="Calibri"/>
        <family val="2"/>
        <scheme val="minor"/>
      </rPr>
      <t>NBK-2565</t>
    </r>
    <r>
      <rPr>
        <sz val="11"/>
        <color theme="1"/>
        <rFont val="Calibri"/>
        <family val="2"/>
        <scheme val="minor"/>
      </rPr>
      <t xml:space="preserve"> generated substantially more revenue than the remaining SKUs, highlighting the importance of protecting inventory and marketing support for these top-selling products while improving the performance of lower-selling SKUs.</t>
    </r>
  </si>
  <si>
    <r>
      <t>Discounting appears well controlled overall.</t>
    </r>
    <r>
      <rPr>
        <sz val="11"/>
        <color theme="1"/>
        <rFont val="Calibri"/>
        <family val="2"/>
        <scheme val="minor"/>
      </rPr>
      <t xml:space="preserve"> The discount outlier analysis shows most transactions clustered within a relatively narrow range, with only a few high-discount exceptions. Monitoring these outliers can help prevent unnecessary margin erosion while maintaining competitive pricing.</t>
    </r>
  </si>
  <si>
    <t>Insights from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</si>
</sst>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b/>
      <sz val="11"/>
      <color theme="1"/>
      <name val="Calibri"/>
      <family val="2"/>
      <scheme val="minor"/>
    </font>
    <font>
      <sz val="8"/>
      <name val="Calibri"/>
      <family val="2"/>
      <scheme val="minor"/>
    </font>
    <font>
      <sz val="14"/>
      <color theme="1"/>
      <name val="Calibri"/>
      <family val="2"/>
      <scheme val="minor"/>
    </font>
    <font>
      <b/>
      <sz val="14"/>
      <name val="Calibri"/>
      <family val="2"/>
      <scheme val="minor"/>
    </font>
    <font>
      <b/>
      <sz val="14"/>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1"/>
      <name val="Calibri"/>
      <family val="2"/>
      <scheme val="minor"/>
    </font>
    <font>
      <sz val="11"/>
      <color theme="8" tint="-0.499984740745262"/>
      <name val="Calibri"/>
      <family val="2"/>
      <scheme val="minor"/>
    </font>
    <font>
      <sz val="11"/>
      <color theme="1"/>
      <name val="Calibri"/>
      <family val="2"/>
      <scheme val="minor"/>
    </font>
    <font>
      <b/>
      <sz val="11"/>
      <color rgb="FF00B050"/>
      <name val="Calibri"/>
      <family val="2"/>
      <scheme val="minor"/>
    </font>
    <font>
      <b/>
      <sz val="11"/>
      <color rgb="FFFF0000"/>
      <name val="Calibri"/>
      <family val="2"/>
      <scheme val="minor"/>
    </font>
    <font>
      <i/>
      <sz val="11"/>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8" tint="-0.499984740745262"/>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9" fontId="13" fillId="0" borderId="0" applyFont="0" applyFill="0" applyBorder="0" applyAlignment="0" applyProtection="0"/>
  </cellStyleXfs>
  <cellXfs count="55">
    <xf numFmtId="0" fontId="0" fillId="0" borderId="0" xfId="0"/>
    <xf numFmtId="0" fontId="1" fillId="0" borderId="1" xfId="0"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1" fontId="1" fillId="0" borderId="1" xfId="0" applyNumberFormat="1" applyFont="1" applyBorder="1" applyAlignment="1">
      <alignment horizontal="center" vertical="top"/>
    </xf>
    <xf numFmtId="1" fontId="0" fillId="0" borderId="0" xfId="0" applyNumberFormat="1"/>
    <xf numFmtId="10" fontId="1" fillId="0" borderId="1" xfId="0" applyNumberFormat="1" applyFont="1" applyBorder="1" applyAlignment="1">
      <alignment horizontal="center" vertical="top"/>
    </xf>
    <xf numFmtId="10" fontId="0" fillId="0" borderId="0" xfId="0" applyNumberFormat="1"/>
    <xf numFmtId="14" fontId="1" fillId="0" borderId="1" xfId="0" applyNumberFormat="1" applyFont="1" applyBorder="1" applyAlignment="1">
      <alignment horizontal="center"/>
    </xf>
    <xf numFmtId="14" fontId="0" fillId="0" borderId="0" xfId="0" applyNumberFormat="1" applyAlignment="1">
      <alignment horizontal="center"/>
    </xf>
    <xf numFmtId="1" fontId="0" fillId="0" borderId="0" xfId="0" applyNumberFormat="1" applyAlignment="1">
      <alignment horizontal="center"/>
    </xf>
    <xf numFmtId="0" fontId="1" fillId="0" borderId="0" xfId="0" applyFont="1"/>
    <xf numFmtId="14" fontId="1" fillId="0" borderId="1" xfId="0" applyNumberFormat="1" applyFont="1" applyBorder="1" applyAlignment="1">
      <alignment horizontal="left"/>
    </xf>
    <xf numFmtId="10"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applyAlignment="1">
      <alignment horizontal="center"/>
    </xf>
    <xf numFmtId="0" fontId="0" fillId="2" borderId="0" xfId="0" applyFill="1"/>
    <xf numFmtId="0" fontId="3" fillId="3" borderId="0" xfId="0" applyFont="1" applyFill="1"/>
    <xf numFmtId="0" fontId="3" fillId="0" borderId="0" xfId="0" applyFont="1" applyAlignment="1">
      <alignment horizontal="left"/>
    </xf>
    <xf numFmtId="0" fontId="3" fillId="0" borderId="0" xfId="0" applyFont="1"/>
    <xf numFmtId="9" fontId="3" fillId="0" borderId="0" xfId="0" applyNumberFormat="1" applyFont="1"/>
    <xf numFmtId="2" fontId="5" fillId="0" borderId="0" xfId="0" applyNumberFormat="1" applyFont="1"/>
    <xf numFmtId="9" fontId="0" fillId="0" borderId="0" xfId="0" applyNumberFormat="1"/>
    <xf numFmtId="9" fontId="0" fillId="0" borderId="3" xfId="0" applyNumberFormat="1" applyBorder="1"/>
    <xf numFmtId="0" fontId="6" fillId="4" borderId="4" xfId="0" applyFont="1" applyFill="1" applyBorder="1" applyAlignment="1">
      <alignment horizontal="left"/>
    </xf>
    <xf numFmtId="0" fontId="6" fillId="4" borderId="2" xfId="0" applyFont="1" applyFill="1" applyBorder="1" applyAlignment="1">
      <alignment horizontal="left"/>
    </xf>
    <xf numFmtId="0" fontId="0" fillId="0" borderId="5" xfId="0" applyBorder="1"/>
    <xf numFmtId="0" fontId="7" fillId="5" borderId="0" xfId="0" applyFont="1" applyFill="1" applyAlignment="1">
      <alignment horizontal="left"/>
    </xf>
    <xf numFmtId="0" fontId="8" fillId="5" borderId="5" xfId="0" applyFont="1" applyFill="1" applyBorder="1" applyAlignment="1">
      <alignment horizontal="left"/>
    </xf>
    <xf numFmtId="0" fontId="7" fillId="5" borderId="3" xfId="0" applyFont="1" applyFill="1" applyBorder="1" applyAlignment="1">
      <alignment horizontal="left"/>
    </xf>
    <xf numFmtId="0" fontId="9" fillId="4" borderId="2" xfId="0" applyFont="1" applyFill="1" applyBorder="1" applyAlignment="1">
      <alignment horizontal="right"/>
    </xf>
    <xf numFmtId="0" fontId="9" fillId="4" borderId="4" xfId="0" applyFont="1" applyFill="1" applyBorder="1" applyAlignment="1">
      <alignment horizontal="right"/>
    </xf>
    <xf numFmtId="9" fontId="0" fillId="6" borderId="0" xfId="0" applyNumberFormat="1" applyFill="1"/>
    <xf numFmtId="0" fontId="10" fillId="0" borderId="0" xfId="0" applyFont="1" applyAlignment="1">
      <alignment vertical="top" wrapText="1"/>
    </xf>
    <xf numFmtId="0" fontId="12" fillId="7" borderId="0" xfId="0" applyFont="1" applyFill="1"/>
    <xf numFmtId="0" fontId="11" fillId="7" borderId="0" xfId="0" applyFont="1" applyFill="1"/>
    <xf numFmtId="9" fontId="0" fillId="0" borderId="0" xfId="1" applyFont="1"/>
    <xf numFmtId="0" fontId="14" fillId="0" borderId="0" xfId="0" applyFont="1" applyAlignment="1">
      <alignment horizontal="left"/>
    </xf>
    <xf numFmtId="0" fontId="1" fillId="0" borderId="0" xfId="0" applyFont="1" applyAlignment="1">
      <alignment horizontal="left"/>
    </xf>
    <xf numFmtId="0" fontId="15" fillId="0" borderId="0" xfId="0" applyFont="1" applyAlignment="1">
      <alignment horizontal="left"/>
    </xf>
    <xf numFmtId="0" fontId="0" fillId="0" borderId="0" xfId="0" applyNumberFormat="1"/>
    <xf numFmtId="0" fontId="14" fillId="0" borderId="0" xfId="0" applyNumberFormat="1" applyFont="1"/>
    <xf numFmtId="0" fontId="1" fillId="0" borderId="0" xfId="0" applyNumberFormat="1" applyFont="1"/>
    <xf numFmtId="0" fontId="15" fillId="0" borderId="0" xfId="0" applyNumberFormat="1" applyFont="1"/>
    <xf numFmtId="0" fontId="0" fillId="0" borderId="0" xfId="0" applyAlignment="1">
      <alignment horizontal="left" vertical="center" indent="1"/>
    </xf>
    <xf numFmtId="0" fontId="1" fillId="0" borderId="0" xfId="0" applyFont="1" applyAlignment="1">
      <alignment horizontal="left" vertical="center" indent="2"/>
    </xf>
    <xf numFmtId="0" fontId="0" fillId="0" borderId="0" xfId="0"/>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cellXfs>
  <cellStyles count="2">
    <cellStyle name="Normal" xfId="0" builtinId="0"/>
    <cellStyle name="Percent" xfId="1" builtinId="5"/>
  </cellStyles>
  <dxfs count="168">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ont>
        <color rgb="FF00B050"/>
      </font>
    </dxf>
    <dxf>
      <font>
        <color rgb="FF00B050"/>
      </font>
    </dxf>
    <dxf>
      <font>
        <color rgb="FFFF0000"/>
      </font>
    </dxf>
    <dxf>
      <font>
        <color rgb="FFFF0000"/>
      </font>
    </dxf>
    <dxf>
      <font>
        <b/>
      </font>
    </dxf>
    <dxf>
      <font>
        <b/>
      </font>
    </dxf>
    <dxf>
      <fill>
        <patternFill patternType="solid">
          <bgColor rgb="FFFFFF00"/>
        </patternFill>
      </fill>
    </dxf>
    <dxf>
      <fill>
        <patternFill patternType="solid">
          <bgColor rgb="FFFFFF00"/>
        </patternFill>
      </fill>
    </dxf>
    <dxf>
      <font>
        <strike val="0"/>
        <outline val="0"/>
        <shadow val="0"/>
        <u val="none"/>
        <vertAlign val="baseline"/>
        <sz val="14"/>
        <name val="Calibri"/>
        <family val="2"/>
        <scheme val="minor"/>
      </font>
      <numFmt numFmtId="13" formatCode="0%"/>
    </dxf>
    <dxf>
      <font>
        <strike val="0"/>
        <outline val="0"/>
        <shadow val="0"/>
        <u val="none"/>
        <vertAlign val="baseline"/>
        <sz val="14"/>
        <name val="Calibri"/>
        <family val="2"/>
        <scheme val="minor"/>
      </font>
    </dxf>
    <dxf>
      <font>
        <strike val="0"/>
        <outline val="0"/>
        <shadow val="0"/>
        <u val="none"/>
        <vertAlign val="baseline"/>
        <sz val="14"/>
        <name val="Calibri"/>
        <family val="2"/>
        <scheme val="minor"/>
      </font>
    </dxf>
    <dxf>
      <font>
        <strike val="0"/>
        <outline val="0"/>
        <shadow val="0"/>
        <u val="none"/>
        <vertAlign val="baseline"/>
        <sz val="14"/>
        <name val="Calibri"/>
        <family val="2"/>
        <scheme val="minor"/>
      </font>
      <alignment horizontal="left" vertical="bottom" textRotation="0" wrapText="0" indent="0" justifyLastLine="0" shrinkToFit="0" readingOrder="0"/>
    </dxf>
    <dxf>
      <font>
        <b/>
      </font>
    </dxf>
    <dxf>
      <font>
        <b/>
      </font>
    </dxf>
    <dxf>
      <font>
        <color rgb="FFFF0000"/>
      </font>
    </dxf>
    <dxf>
      <font>
        <color rgb="FFFF0000"/>
      </font>
    </dxf>
    <dxf>
      <font>
        <color rgb="FF00B050"/>
      </font>
    </dxf>
    <dxf>
      <font>
        <color rgb="FF00B05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Brief.xlsx]RevenueByMonthChart!PivotTable2</c:name>
    <c:fmtId val="4"/>
  </c:pivotSource>
  <c:chart>
    <c:title>
      <c:tx>
        <c:rich>
          <a:bodyPr rot="0" spcFirstLastPara="1" vertOverflow="ellipsis" vert="horz" wrap="square" anchor="ctr" anchorCtr="1"/>
          <a:lstStyle/>
          <a:p>
            <a:pPr>
              <a:defRPr sz="1400" b="0" i="0" u="none" strike="noStrike" kern="1200" cap="none" spc="20" baseline="0">
                <a:solidFill>
                  <a:schemeClr val="tx2"/>
                </a:solidFill>
                <a:latin typeface="+mn-lt"/>
                <a:ea typeface="+mn-ea"/>
                <a:cs typeface="+mn-cs"/>
              </a:defRPr>
            </a:pPr>
            <a:r>
              <a:rPr lang="en-US">
                <a:solidFill>
                  <a:schemeClr val="tx2"/>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2"/>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bg1"/>
            </a:solidFill>
            <a:ln w="12700"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RevenueByMonthChart!$B$1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RevenueByMonthChart!$A$2:$A$14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RevenueByMonthChart!$B$2:$B$14</c:f>
              <c:numCache>
                <c:formatCode>General</c:formatCode>
                <c:ptCount val="12"/>
                <c:pt idx="0">
                  <c:v>652290.2715400001</c:v>
                </c:pt>
                <c:pt idx="1">
                  <c:v>937572.48318832018</c:v>
                </c:pt>
                <c:pt idx="2">
                  <c:v>804287.23636999982</c:v>
                </c:pt>
                <c:pt idx="3">
                  <c:v>927284.72852999996</c:v>
                </c:pt>
                <c:pt idx="4">
                  <c:v>1267781.4577499998</c:v>
                </c:pt>
                <c:pt idx="5">
                  <c:v>1242729.1669899998</c:v>
                </c:pt>
                <c:pt idx="6">
                  <c:v>1207001.4451500003</c:v>
                </c:pt>
                <c:pt idx="7">
                  <c:v>1053213.2877099998</c:v>
                </c:pt>
                <c:pt idx="8">
                  <c:v>629646.34445000009</c:v>
                </c:pt>
                <c:pt idx="9">
                  <c:v>673055.51477999985</c:v>
                </c:pt>
                <c:pt idx="10">
                  <c:v>502327.82867000008</c:v>
                </c:pt>
                <c:pt idx="11">
                  <c:v>724796.97010544012</c:v>
                </c:pt>
              </c:numCache>
            </c:numRef>
          </c:val>
          <c:smooth val="0"/>
          <c:extLst>
            <c:ext xmlns:c16="http://schemas.microsoft.com/office/drawing/2014/chart" uri="{C3380CC4-5D6E-409C-BE32-E72D297353CC}">
              <c16:uniqueId val="{00000000-DECF-4E38-B3FA-1F3165A8FC2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38763680"/>
        <c:axId val="715191952"/>
      </c:lineChart>
      <c:catAx>
        <c:axId val="43876368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15191952"/>
        <c:crosses val="autoZero"/>
        <c:auto val="1"/>
        <c:lblAlgn val="ctr"/>
        <c:lblOffset val="100"/>
        <c:noMultiLvlLbl val="0"/>
      </c:catAx>
      <c:valAx>
        <c:axId val="715191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876368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Brief.xlsx]GrossRevenueBYSKUsChart!PivotTable4</c:name>
    <c:fmtId val="5"/>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Gross Revenue by SKUs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GrossRevenueBYSKUsChart!$B$1</c:f>
              <c:strCache>
                <c:ptCount val="1"/>
                <c:pt idx="0">
                  <c:v>Total</c:v>
                </c:pt>
              </c:strCache>
            </c:strRef>
          </c:tx>
          <c:spPr>
            <a:solidFill>
              <a:schemeClr val="accent1"/>
            </a:solidFill>
            <a:ln>
              <a:noFill/>
            </a:ln>
            <a:effectLst/>
          </c:spPr>
          <c:invertIfNegative val="0"/>
          <c:cat>
            <c:strRef>
              <c:f>GrossRevenueBYSKUsChart!$A$2:$A$12</c:f>
              <c:strCache>
                <c:ptCount val="10"/>
                <c:pt idx="0">
                  <c:v>CMP-8851</c:v>
                </c:pt>
                <c:pt idx="1">
                  <c:v>NET-2365</c:v>
                </c:pt>
                <c:pt idx="2">
                  <c:v>MON-6962</c:v>
                </c:pt>
                <c:pt idx="3">
                  <c:v>MON-2266</c:v>
                </c:pt>
                <c:pt idx="4">
                  <c:v>MON-6699</c:v>
                </c:pt>
                <c:pt idx="5">
                  <c:v>CMP-3938</c:v>
                </c:pt>
                <c:pt idx="6">
                  <c:v>LAP-3904</c:v>
                </c:pt>
                <c:pt idx="7">
                  <c:v>NET-5987</c:v>
                </c:pt>
                <c:pt idx="8">
                  <c:v>NET-5523</c:v>
                </c:pt>
                <c:pt idx="9">
                  <c:v>ACC-6626</c:v>
                </c:pt>
              </c:strCache>
            </c:strRef>
          </c:cat>
          <c:val>
            <c:numRef>
              <c:f>GrossRevenueBYSKUsChart!$B$2:$B$12</c:f>
              <c:numCache>
                <c:formatCode>General</c:formatCode>
                <c:ptCount val="10"/>
                <c:pt idx="0">
                  <c:v>139277.83032000001</c:v>
                </c:pt>
                <c:pt idx="1">
                  <c:v>109244</c:v>
                </c:pt>
                <c:pt idx="2">
                  <c:v>92715.25</c:v>
                </c:pt>
                <c:pt idx="3">
                  <c:v>87404.929919999995</c:v>
                </c:pt>
                <c:pt idx="4">
                  <c:v>85637.740319999983</c:v>
                </c:pt>
                <c:pt idx="5">
                  <c:v>84136.119600000005</c:v>
                </c:pt>
                <c:pt idx="6">
                  <c:v>82514.711519999997</c:v>
                </c:pt>
                <c:pt idx="7">
                  <c:v>82141.339800000002</c:v>
                </c:pt>
                <c:pt idx="8">
                  <c:v>79548.755999999994</c:v>
                </c:pt>
                <c:pt idx="9">
                  <c:v>79082.507010000001</c:v>
                </c:pt>
              </c:numCache>
            </c:numRef>
          </c:val>
          <c:extLst>
            <c:ext xmlns:c16="http://schemas.microsoft.com/office/drawing/2014/chart" uri="{C3380CC4-5D6E-409C-BE32-E72D297353CC}">
              <c16:uniqueId val="{00000000-5AAF-4907-AB02-D1EBD33BEEF3}"/>
            </c:ext>
          </c:extLst>
        </c:ser>
        <c:dLbls>
          <c:showLegendKey val="0"/>
          <c:showVal val="0"/>
          <c:showCatName val="0"/>
          <c:showSerName val="0"/>
          <c:showPercent val="0"/>
          <c:showBubbleSize val="0"/>
        </c:dLbls>
        <c:gapWidth val="182"/>
        <c:axId val="847701104"/>
        <c:axId val="715142512"/>
      </c:barChart>
      <c:catAx>
        <c:axId val="847701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42512"/>
        <c:crosses val="autoZero"/>
        <c:auto val="1"/>
        <c:lblAlgn val="ctr"/>
        <c:lblOffset val="100"/>
        <c:noMultiLvlLbl val="0"/>
      </c:catAx>
      <c:valAx>
        <c:axId val="715142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0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Brief.xlsx]ProfitByRegionChart!PivotTable3</c:name>
    <c:fmtId val="8"/>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ProfitByRegionChart!$B$1</c:f>
              <c:strCache>
                <c:ptCount val="1"/>
                <c:pt idx="0">
                  <c:v>Total</c:v>
                </c:pt>
              </c:strCache>
            </c:strRef>
          </c:tx>
          <c:spPr>
            <a:solidFill>
              <a:schemeClr val="accent1"/>
            </a:solidFill>
            <a:ln>
              <a:noFill/>
            </a:ln>
            <a:effectLst/>
          </c:spPr>
          <c:invertIfNegative val="0"/>
          <c:cat>
            <c:multiLvlStrRef>
              <c:f>ProfitByRegionChart!$A$2:$A$26</c:f>
              <c:multiLvlStrCache>
                <c:ptCount val="20"/>
                <c:lvl>
                  <c:pt idx="0">
                    <c:v>Direct</c:v>
                  </c:pt>
                  <c:pt idx="1">
                    <c:v>Distributor</c:v>
                  </c:pt>
                  <c:pt idx="2">
                    <c:v>Marketplace</c:v>
                  </c:pt>
                  <c:pt idx="3">
                    <c:v>Online</c:v>
                  </c:pt>
                  <c:pt idx="4">
                    <c:v>Retail</c:v>
                  </c:pt>
                  <c:pt idx="5">
                    <c:v>Direct</c:v>
                  </c:pt>
                  <c:pt idx="6">
                    <c:v>Distributor</c:v>
                  </c:pt>
                  <c:pt idx="7">
                    <c:v>Marketplace</c:v>
                  </c:pt>
                  <c:pt idx="8">
                    <c:v>Online</c:v>
                  </c:pt>
                  <c:pt idx="9">
                    <c:v>Retail</c:v>
                  </c:pt>
                  <c:pt idx="10">
                    <c:v>Direct</c:v>
                  </c:pt>
                  <c:pt idx="11">
                    <c:v>Distributor</c:v>
                  </c:pt>
                  <c:pt idx="12">
                    <c:v>Marketplace</c:v>
                  </c:pt>
                  <c:pt idx="13">
                    <c:v>Online</c:v>
                  </c:pt>
                  <c:pt idx="14">
                    <c:v>Retail</c:v>
                  </c:pt>
                  <c:pt idx="15">
                    <c:v>Direct</c:v>
                  </c:pt>
                  <c:pt idx="16">
                    <c:v>Distributor</c:v>
                  </c:pt>
                  <c:pt idx="17">
                    <c:v>Marketplace</c:v>
                  </c:pt>
                  <c:pt idx="18">
                    <c:v>Online</c:v>
                  </c:pt>
                  <c:pt idx="19">
                    <c:v>Retail</c:v>
                  </c:pt>
                </c:lvl>
                <c:lvl>
                  <c:pt idx="0">
                    <c:v>Africa</c:v>
                  </c:pt>
                  <c:pt idx="5">
                    <c:v>Americas</c:v>
                  </c:pt>
                  <c:pt idx="10">
                    <c:v>Asia</c:v>
                  </c:pt>
                  <c:pt idx="15">
                    <c:v>Europe</c:v>
                  </c:pt>
                </c:lvl>
              </c:multiLvlStrCache>
            </c:multiLvlStrRef>
          </c:cat>
          <c:val>
            <c:numRef>
              <c:f>ProfitByRegionChart!$B$2:$B$26</c:f>
              <c:numCache>
                <c:formatCode>General</c:formatCode>
                <c:ptCount val="20"/>
                <c:pt idx="0">
                  <c:v>192186.25369999997</c:v>
                </c:pt>
                <c:pt idx="1">
                  <c:v>216522.73646999997</c:v>
                </c:pt>
                <c:pt idx="2">
                  <c:v>143876.27652000001</c:v>
                </c:pt>
                <c:pt idx="3">
                  <c:v>98489.604229999997</c:v>
                </c:pt>
                <c:pt idx="4">
                  <c:v>154088.66997831996</c:v>
                </c:pt>
                <c:pt idx="5">
                  <c:v>256317.66830999995</c:v>
                </c:pt>
                <c:pt idx="6">
                  <c:v>153307.09861999998</c:v>
                </c:pt>
                <c:pt idx="7">
                  <c:v>96609.647520000013</c:v>
                </c:pt>
                <c:pt idx="8">
                  <c:v>244678.01656999998</c:v>
                </c:pt>
                <c:pt idx="9">
                  <c:v>69035.70921999999</c:v>
                </c:pt>
                <c:pt idx="10">
                  <c:v>235267.48079999996</c:v>
                </c:pt>
                <c:pt idx="11">
                  <c:v>150888.84763000003</c:v>
                </c:pt>
                <c:pt idx="12">
                  <c:v>161288.40448</c:v>
                </c:pt>
                <c:pt idx="13">
                  <c:v>147772.42488999999</c:v>
                </c:pt>
                <c:pt idx="14">
                  <c:v>151739.26441</c:v>
                </c:pt>
                <c:pt idx="15">
                  <c:v>271628.66764999996</c:v>
                </c:pt>
                <c:pt idx="16">
                  <c:v>105550.85219999998</c:v>
                </c:pt>
                <c:pt idx="17">
                  <c:v>170139.65674999999</c:v>
                </c:pt>
                <c:pt idx="18">
                  <c:v>200067.16277</c:v>
                </c:pt>
                <c:pt idx="19">
                  <c:v>167254.73251544</c:v>
                </c:pt>
              </c:numCache>
            </c:numRef>
          </c:val>
          <c:extLst>
            <c:ext xmlns:c16="http://schemas.microsoft.com/office/drawing/2014/chart" uri="{C3380CC4-5D6E-409C-BE32-E72D297353CC}">
              <c16:uniqueId val="{00000000-F6EA-4D38-8665-EEC02AFA1482}"/>
            </c:ext>
          </c:extLst>
        </c:ser>
        <c:dLbls>
          <c:showLegendKey val="0"/>
          <c:showVal val="0"/>
          <c:showCatName val="0"/>
          <c:showSerName val="0"/>
          <c:showPercent val="0"/>
          <c:showBubbleSize val="0"/>
        </c:dLbls>
        <c:gapWidth val="150"/>
        <c:overlap val="100"/>
        <c:axId val="1050283280"/>
        <c:axId val="715165072"/>
      </c:barChart>
      <c:catAx>
        <c:axId val="105028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65072"/>
        <c:crosses val="autoZero"/>
        <c:auto val="1"/>
        <c:lblAlgn val="ctr"/>
        <c:lblOffset val="100"/>
        <c:noMultiLvlLbl val="0"/>
      </c:catAx>
      <c:valAx>
        <c:axId val="71516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28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Brief.xlsx]GrossRevenueBYSKUsChart!PivotTable4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Gross Revenue by SKUs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GrossRevenueBYSKUsChart!$B$1</c:f>
              <c:strCache>
                <c:ptCount val="1"/>
                <c:pt idx="0">
                  <c:v>Total</c:v>
                </c:pt>
              </c:strCache>
            </c:strRef>
          </c:tx>
          <c:spPr>
            <a:solidFill>
              <a:schemeClr val="accent1"/>
            </a:solidFill>
            <a:ln>
              <a:noFill/>
            </a:ln>
            <a:effectLst/>
          </c:spPr>
          <c:invertIfNegative val="0"/>
          <c:cat>
            <c:strRef>
              <c:f>GrossRevenueBYSKUsChart!$A$2:$A$12</c:f>
              <c:strCache>
                <c:ptCount val="10"/>
                <c:pt idx="0">
                  <c:v>CMP-8851</c:v>
                </c:pt>
                <c:pt idx="1">
                  <c:v>NET-2365</c:v>
                </c:pt>
                <c:pt idx="2">
                  <c:v>MON-6962</c:v>
                </c:pt>
                <c:pt idx="3">
                  <c:v>MON-2266</c:v>
                </c:pt>
                <c:pt idx="4">
                  <c:v>MON-6699</c:v>
                </c:pt>
                <c:pt idx="5">
                  <c:v>CMP-3938</c:v>
                </c:pt>
                <c:pt idx="6">
                  <c:v>LAP-3904</c:v>
                </c:pt>
                <c:pt idx="7">
                  <c:v>NET-5987</c:v>
                </c:pt>
                <c:pt idx="8">
                  <c:v>NET-5523</c:v>
                </c:pt>
                <c:pt idx="9">
                  <c:v>ACC-6626</c:v>
                </c:pt>
              </c:strCache>
            </c:strRef>
          </c:cat>
          <c:val>
            <c:numRef>
              <c:f>GrossRevenueBYSKUsChart!$B$2:$B$12</c:f>
              <c:numCache>
                <c:formatCode>General</c:formatCode>
                <c:ptCount val="10"/>
                <c:pt idx="0">
                  <c:v>139277.83032000001</c:v>
                </c:pt>
                <c:pt idx="1">
                  <c:v>109244</c:v>
                </c:pt>
                <c:pt idx="2">
                  <c:v>92715.25</c:v>
                </c:pt>
                <c:pt idx="3">
                  <c:v>87404.929919999995</c:v>
                </c:pt>
                <c:pt idx="4">
                  <c:v>85637.740319999983</c:v>
                </c:pt>
                <c:pt idx="5">
                  <c:v>84136.119600000005</c:v>
                </c:pt>
                <c:pt idx="6">
                  <c:v>82514.711519999997</c:v>
                </c:pt>
                <c:pt idx="7">
                  <c:v>82141.339800000002</c:v>
                </c:pt>
                <c:pt idx="8">
                  <c:v>79548.755999999994</c:v>
                </c:pt>
                <c:pt idx="9">
                  <c:v>79082.507010000001</c:v>
                </c:pt>
              </c:numCache>
            </c:numRef>
          </c:val>
          <c:extLst>
            <c:ext xmlns:c16="http://schemas.microsoft.com/office/drawing/2014/chart" uri="{C3380CC4-5D6E-409C-BE32-E72D297353CC}">
              <c16:uniqueId val="{00000000-C4E1-4969-A140-AFAB007F3CE6}"/>
            </c:ext>
          </c:extLst>
        </c:ser>
        <c:dLbls>
          <c:showLegendKey val="0"/>
          <c:showVal val="0"/>
          <c:showCatName val="0"/>
          <c:showSerName val="0"/>
          <c:showPercent val="0"/>
          <c:showBubbleSize val="0"/>
        </c:dLbls>
        <c:gapWidth val="219"/>
        <c:axId val="847701104"/>
        <c:axId val="715142512"/>
      </c:barChart>
      <c:catAx>
        <c:axId val="847701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42512"/>
        <c:crosses val="autoZero"/>
        <c:auto val="1"/>
        <c:lblAlgn val="ctr"/>
        <c:lblOffset val="100"/>
        <c:noMultiLvlLbl val="0"/>
      </c:catAx>
      <c:valAx>
        <c:axId val="715142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0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Brief.xlsx]ProfitByRegionChart!PivotTable3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ProfitByRegionChart!$B$1</c:f>
              <c:strCache>
                <c:ptCount val="1"/>
                <c:pt idx="0">
                  <c:v>Total</c:v>
                </c:pt>
              </c:strCache>
            </c:strRef>
          </c:tx>
          <c:spPr>
            <a:solidFill>
              <a:schemeClr val="accent1"/>
            </a:solidFill>
            <a:ln>
              <a:noFill/>
            </a:ln>
            <a:effectLst/>
          </c:spPr>
          <c:invertIfNegative val="0"/>
          <c:cat>
            <c:multiLvlStrRef>
              <c:f>ProfitByRegionChart!$A$2:$A$26</c:f>
              <c:multiLvlStrCache>
                <c:ptCount val="20"/>
                <c:lvl>
                  <c:pt idx="0">
                    <c:v>Direct</c:v>
                  </c:pt>
                  <c:pt idx="1">
                    <c:v>Distributor</c:v>
                  </c:pt>
                  <c:pt idx="2">
                    <c:v>Marketplace</c:v>
                  </c:pt>
                  <c:pt idx="3">
                    <c:v>Online</c:v>
                  </c:pt>
                  <c:pt idx="4">
                    <c:v>Retail</c:v>
                  </c:pt>
                  <c:pt idx="5">
                    <c:v>Direct</c:v>
                  </c:pt>
                  <c:pt idx="6">
                    <c:v>Distributor</c:v>
                  </c:pt>
                  <c:pt idx="7">
                    <c:v>Marketplace</c:v>
                  </c:pt>
                  <c:pt idx="8">
                    <c:v>Online</c:v>
                  </c:pt>
                  <c:pt idx="9">
                    <c:v>Retail</c:v>
                  </c:pt>
                  <c:pt idx="10">
                    <c:v>Direct</c:v>
                  </c:pt>
                  <c:pt idx="11">
                    <c:v>Distributor</c:v>
                  </c:pt>
                  <c:pt idx="12">
                    <c:v>Marketplace</c:v>
                  </c:pt>
                  <c:pt idx="13">
                    <c:v>Online</c:v>
                  </c:pt>
                  <c:pt idx="14">
                    <c:v>Retail</c:v>
                  </c:pt>
                  <c:pt idx="15">
                    <c:v>Direct</c:v>
                  </c:pt>
                  <c:pt idx="16">
                    <c:v>Distributor</c:v>
                  </c:pt>
                  <c:pt idx="17">
                    <c:v>Marketplace</c:v>
                  </c:pt>
                  <c:pt idx="18">
                    <c:v>Online</c:v>
                  </c:pt>
                  <c:pt idx="19">
                    <c:v>Retail</c:v>
                  </c:pt>
                </c:lvl>
                <c:lvl>
                  <c:pt idx="0">
                    <c:v>Africa</c:v>
                  </c:pt>
                  <c:pt idx="5">
                    <c:v>Americas</c:v>
                  </c:pt>
                  <c:pt idx="10">
                    <c:v>Asia</c:v>
                  </c:pt>
                  <c:pt idx="15">
                    <c:v>Europe</c:v>
                  </c:pt>
                </c:lvl>
              </c:multiLvlStrCache>
            </c:multiLvlStrRef>
          </c:cat>
          <c:val>
            <c:numRef>
              <c:f>ProfitByRegionChart!$B$2:$B$26</c:f>
              <c:numCache>
                <c:formatCode>General</c:formatCode>
                <c:ptCount val="20"/>
                <c:pt idx="0">
                  <c:v>192186.25369999997</c:v>
                </c:pt>
                <c:pt idx="1">
                  <c:v>216522.73646999997</c:v>
                </c:pt>
                <c:pt idx="2">
                  <c:v>143876.27652000001</c:v>
                </c:pt>
                <c:pt idx="3">
                  <c:v>98489.604229999997</c:v>
                </c:pt>
                <c:pt idx="4">
                  <c:v>154088.66997831996</c:v>
                </c:pt>
                <c:pt idx="5">
                  <c:v>256317.66830999995</c:v>
                </c:pt>
                <c:pt idx="6">
                  <c:v>153307.09861999998</c:v>
                </c:pt>
                <c:pt idx="7">
                  <c:v>96609.647520000013</c:v>
                </c:pt>
                <c:pt idx="8">
                  <c:v>244678.01656999998</c:v>
                </c:pt>
                <c:pt idx="9">
                  <c:v>69035.70921999999</c:v>
                </c:pt>
                <c:pt idx="10">
                  <c:v>235267.48079999996</c:v>
                </c:pt>
                <c:pt idx="11">
                  <c:v>150888.84763000003</c:v>
                </c:pt>
                <c:pt idx="12">
                  <c:v>161288.40448</c:v>
                </c:pt>
                <c:pt idx="13">
                  <c:v>147772.42488999999</c:v>
                </c:pt>
                <c:pt idx="14">
                  <c:v>151739.26441</c:v>
                </c:pt>
                <c:pt idx="15">
                  <c:v>271628.66764999996</c:v>
                </c:pt>
                <c:pt idx="16">
                  <c:v>105550.85219999998</c:v>
                </c:pt>
                <c:pt idx="17">
                  <c:v>170139.65674999999</c:v>
                </c:pt>
                <c:pt idx="18">
                  <c:v>200067.16277</c:v>
                </c:pt>
                <c:pt idx="19">
                  <c:v>167254.73251544</c:v>
                </c:pt>
              </c:numCache>
            </c:numRef>
          </c:val>
          <c:extLst>
            <c:ext xmlns:c16="http://schemas.microsoft.com/office/drawing/2014/chart" uri="{C3380CC4-5D6E-409C-BE32-E72D297353CC}">
              <c16:uniqueId val="{00000000-0AAE-44CB-A0FF-9B7F5C64ED2C}"/>
            </c:ext>
          </c:extLst>
        </c:ser>
        <c:dLbls>
          <c:showLegendKey val="0"/>
          <c:showVal val="0"/>
          <c:showCatName val="0"/>
          <c:showSerName val="0"/>
          <c:showPercent val="0"/>
          <c:showBubbleSize val="0"/>
        </c:dLbls>
        <c:gapWidth val="150"/>
        <c:overlap val="100"/>
        <c:axId val="1050283280"/>
        <c:axId val="715165072"/>
      </c:barChart>
      <c:catAx>
        <c:axId val="105028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65072"/>
        <c:crosses val="autoZero"/>
        <c:auto val="1"/>
        <c:lblAlgn val="ctr"/>
        <c:lblOffset val="100"/>
        <c:noMultiLvlLbl val="0"/>
      </c:catAx>
      <c:valAx>
        <c:axId val="71516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28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Brief.xlsx]RevenueByMonthChart!PivotTable2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Revenue</a:t>
            </a:r>
            <a:r>
              <a:rPr lang="en-US" baseline="0">
                <a:solidFill>
                  <a:srgbClr val="002060"/>
                </a:solidFill>
              </a:rPr>
              <a:t> By Month</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RevenueByMonthChart!$B$1</c:f>
              <c:strCache>
                <c:ptCount val="1"/>
                <c:pt idx="0">
                  <c:v>Total</c:v>
                </c:pt>
              </c:strCache>
            </c:strRef>
          </c:tx>
          <c:spPr>
            <a:ln w="28575" cap="rnd">
              <a:solidFill>
                <a:schemeClr val="accent1"/>
              </a:solidFill>
              <a:round/>
            </a:ln>
            <a:effectLst/>
          </c:spPr>
          <c:marker>
            <c:symbol val="none"/>
          </c:marker>
          <c:cat>
            <c:strRef>
              <c:f>RevenueByMonthChart!$A$2:$A$14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RevenueByMonthChart!$B$2:$B$14</c:f>
              <c:numCache>
                <c:formatCode>General</c:formatCode>
                <c:ptCount val="12"/>
                <c:pt idx="0">
                  <c:v>652290.2715400001</c:v>
                </c:pt>
                <c:pt idx="1">
                  <c:v>937572.48318832018</c:v>
                </c:pt>
                <c:pt idx="2">
                  <c:v>804287.23636999982</c:v>
                </c:pt>
                <c:pt idx="3">
                  <c:v>927284.72852999996</c:v>
                </c:pt>
                <c:pt idx="4">
                  <c:v>1267781.4577499998</c:v>
                </c:pt>
                <c:pt idx="5">
                  <c:v>1242729.1669899998</c:v>
                </c:pt>
                <c:pt idx="6">
                  <c:v>1207001.4451500003</c:v>
                </c:pt>
                <c:pt idx="7">
                  <c:v>1053213.2877099998</c:v>
                </c:pt>
                <c:pt idx="8">
                  <c:v>629646.34445000009</c:v>
                </c:pt>
                <c:pt idx="9">
                  <c:v>673055.51477999985</c:v>
                </c:pt>
                <c:pt idx="10">
                  <c:v>502327.82867000008</c:v>
                </c:pt>
                <c:pt idx="11">
                  <c:v>724796.97010544012</c:v>
                </c:pt>
              </c:numCache>
            </c:numRef>
          </c:val>
          <c:smooth val="0"/>
          <c:extLst>
            <c:ext xmlns:c16="http://schemas.microsoft.com/office/drawing/2014/chart" uri="{C3380CC4-5D6E-409C-BE32-E72D297353CC}">
              <c16:uniqueId val="{00000000-0074-4911-8EAF-D8E437CDC1A4}"/>
            </c:ext>
          </c:extLst>
        </c:ser>
        <c:dLbls>
          <c:showLegendKey val="0"/>
          <c:showVal val="0"/>
          <c:showCatName val="0"/>
          <c:showSerName val="0"/>
          <c:showPercent val="0"/>
          <c:showBubbleSize val="0"/>
        </c:dLbls>
        <c:smooth val="0"/>
        <c:axId val="438763680"/>
        <c:axId val="715191952"/>
      </c:lineChart>
      <c:catAx>
        <c:axId val="43876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91952"/>
        <c:crosses val="autoZero"/>
        <c:auto val="1"/>
        <c:lblAlgn val="ctr"/>
        <c:lblOffset val="100"/>
        <c:noMultiLvlLbl val="0"/>
      </c:catAx>
      <c:valAx>
        <c:axId val="71519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76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Discount Outliers</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2"/>
              </a:solidFill>
              <a:latin typeface="Calibri"/>
            </a:rPr>
            <a:t>Discount Outliers</a:t>
          </a:r>
        </a:p>
      </cx:txPr>
      <cx:extLst>
        <cx:ext uri="ext:featex">
          <cx:featureExtension feature="mp" drop="onModelChange">
            <cx:offset top="0.066666670143604279" left="-0.033333335071802139"/>
          </cx:featureExtension>
        </cx:ext>
      </cx:extLst>
    </cx:title>
    <cx:plotArea>
      <cx:plotAreaRegion>
        <cx:series layoutId="boxWhisker" uniqueId="{00000000-8EFE-4098-B518-927D03806A0D}">
          <cx:tx>
            <cx:txData>
              <cx:f>_xlchart.v1.0</cx:f>
              <cx:v>DiscountPct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85725</xdr:colOff>
      <xdr:row>0</xdr:row>
      <xdr:rowOff>28575</xdr:rowOff>
    </xdr:from>
    <xdr:to>
      <xdr:col>23</xdr:col>
      <xdr:colOff>485775</xdr:colOff>
      <xdr:row>6</xdr:row>
      <xdr:rowOff>95250</xdr:rowOff>
    </xdr:to>
    <xdr:sp macro="" textlink="">
      <xdr:nvSpPr>
        <xdr:cNvPr id="7" name="Rectangle: Rounded Corners 6">
          <a:extLst>
            <a:ext uri="{FF2B5EF4-FFF2-40B4-BE49-F238E27FC236}">
              <a16:creationId xmlns:a16="http://schemas.microsoft.com/office/drawing/2014/main" id="{D055F128-0325-0F10-DD75-1653ECFB18C7}"/>
            </a:ext>
          </a:extLst>
        </xdr:cNvPr>
        <xdr:cNvSpPr/>
      </xdr:nvSpPr>
      <xdr:spPr>
        <a:xfrm>
          <a:off x="1914525" y="28575"/>
          <a:ext cx="12592050" cy="115252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solidFill>
                <a:srgbClr val="002060"/>
              </a:solidFill>
            </a:rPr>
            <a:t>                                Sales Perfomance Dashboard</a:t>
          </a:r>
        </a:p>
      </xdr:txBody>
    </xdr:sp>
    <xdr:clientData/>
  </xdr:twoCellAnchor>
  <xdr:twoCellAnchor>
    <xdr:from>
      <xdr:col>3</xdr:col>
      <xdr:colOff>85724</xdr:colOff>
      <xdr:row>6</xdr:row>
      <xdr:rowOff>133350</xdr:rowOff>
    </xdr:from>
    <xdr:to>
      <xdr:col>6</xdr:col>
      <xdr:colOff>609599</xdr:colOff>
      <xdr:row>12</xdr:row>
      <xdr:rowOff>38100</xdr:rowOff>
    </xdr:to>
    <xdr:sp macro="" textlink="">
      <xdr:nvSpPr>
        <xdr:cNvPr id="8" name="Rectangle: Rounded Corners 7">
          <a:extLst>
            <a:ext uri="{FF2B5EF4-FFF2-40B4-BE49-F238E27FC236}">
              <a16:creationId xmlns:a16="http://schemas.microsoft.com/office/drawing/2014/main" id="{AA957F88-D2B7-A400-FB3E-2ED758EABE95}"/>
            </a:ext>
          </a:extLst>
        </xdr:cNvPr>
        <xdr:cNvSpPr/>
      </xdr:nvSpPr>
      <xdr:spPr>
        <a:xfrm>
          <a:off x="1914524" y="1219200"/>
          <a:ext cx="2352675" cy="990600"/>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Total Revenue</a:t>
          </a:r>
        </a:p>
        <a:p>
          <a:pPr algn="l"/>
          <a:endParaRPr lang="en-US" sz="1200" b="1">
            <a:solidFill>
              <a:srgbClr val="002060"/>
            </a:solidFill>
          </a:endParaRPr>
        </a:p>
      </xdr:txBody>
    </xdr:sp>
    <xdr:clientData/>
  </xdr:twoCellAnchor>
  <xdr:twoCellAnchor>
    <xdr:from>
      <xdr:col>11</xdr:col>
      <xdr:colOff>314325</xdr:colOff>
      <xdr:row>6</xdr:row>
      <xdr:rowOff>142875</xdr:rowOff>
    </xdr:from>
    <xdr:to>
      <xdr:col>15</xdr:col>
      <xdr:colOff>323850</xdr:colOff>
      <xdr:row>11</xdr:row>
      <xdr:rowOff>171450</xdr:rowOff>
    </xdr:to>
    <xdr:sp macro="" textlink="">
      <xdr:nvSpPr>
        <xdr:cNvPr id="10" name="Rectangle: Rounded Corners 9">
          <a:extLst>
            <a:ext uri="{FF2B5EF4-FFF2-40B4-BE49-F238E27FC236}">
              <a16:creationId xmlns:a16="http://schemas.microsoft.com/office/drawing/2014/main" id="{CEDD76C5-49D9-F763-4608-5859AEA3CA13}"/>
            </a:ext>
          </a:extLst>
        </xdr:cNvPr>
        <xdr:cNvSpPr/>
      </xdr:nvSpPr>
      <xdr:spPr>
        <a:xfrm>
          <a:off x="7019925" y="1228725"/>
          <a:ext cx="2447925" cy="933450"/>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Margin%</a:t>
          </a:r>
        </a:p>
      </xdr:txBody>
    </xdr:sp>
    <xdr:clientData/>
  </xdr:twoCellAnchor>
  <xdr:twoCellAnchor>
    <xdr:from>
      <xdr:col>15</xdr:col>
      <xdr:colOff>371475</xdr:colOff>
      <xdr:row>6</xdr:row>
      <xdr:rowOff>133350</xdr:rowOff>
    </xdr:from>
    <xdr:to>
      <xdr:col>19</xdr:col>
      <xdr:colOff>361950</xdr:colOff>
      <xdr:row>12</xdr:row>
      <xdr:rowOff>0</xdr:rowOff>
    </xdr:to>
    <xdr:sp macro="" textlink="">
      <xdr:nvSpPr>
        <xdr:cNvPr id="11" name="Rectangle: Rounded Corners 10">
          <a:extLst>
            <a:ext uri="{FF2B5EF4-FFF2-40B4-BE49-F238E27FC236}">
              <a16:creationId xmlns:a16="http://schemas.microsoft.com/office/drawing/2014/main" id="{4B6D612A-4F07-98F4-A89B-15A700FC8543}"/>
            </a:ext>
          </a:extLst>
        </xdr:cNvPr>
        <xdr:cNvSpPr/>
      </xdr:nvSpPr>
      <xdr:spPr>
        <a:xfrm>
          <a:off x="9515475" y="1219200"/>
          <a:ext cx="2428875" cy="952500"/>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Average Order</a:t>
          </a:r>
          <a:r>
            <a:rPr lang="en-US" sz="1600" b="1" baseline="0">
              <a:solidFill>
                <a:srgbClr val="002060"/>
              </a:solidFill>
            </a:rPr>
            <a:t> Value</a:t>
          </a:r>
          <a:endParaRPr lang="en-US" sz="1600" b="1">
            <a:solidFill>
              <a:srgbClr val="002060"/>
            </a:solidFill>
          </a:endParaRPr>
        </a:p>
      </xdr:txBody>
    </xdr:sp>
    <xdr:clientData/>
  </xdr:twoCellAnchor>
  <xdr:twoCellAnchor>
    <xdr:from>
      <xdr:col>19</xdr:col>
      <xdr:colOff>390525</xdr:colOff>
      <xdr:row>6</xdr:row>
      <xdr:rowOff>142874</xdr:rowOff>
    </xdr:from>
    <xdr:to>
      <xdr:col>23</xdr:col>
      <xdr:colOff>457200</xdr:colOff>
      <xdr:row>11</xdr:row>
      <xdr:rowOff>152400</xdr:rowOff>
    </xdr:to>
    <xdr:sp macro="" textlink="">
      <xdr:nvSpPr>
        <xdr:cNvPr id="12" name="Rectangle: Rounded Corners 11">
          <a:extLst>
            <a:ext uri="{FF2B5EF4-FFF2-40B4-BE49-F238E27FC236}">
              <a16:creationId xmlns:a16="http://schemas.microsoft.com/office/drawing/2014/main" id="{0A0C8A12-72B1-BE6E-B93C-060F10EA03F0}"/>
            </a:ext>
          </a:extLst>
        </xdr:cNvPr>
        <xdr:cNvSpPr/>
      </xdr:nvSpPr>
      <xdr:spPr>
        <a:xfrm>
          <a:off x="11972925" y="1228724"/>
          <a:ext cx="2505075" cy="914401"/>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On-time %</a:t>
          </a:r>
        </a:p>
      </xdr:txBody>
    </xdr:sp>
    <xdr:clientData/>
  </xdr:twoCellAnchor>
  <xdr:twoCellAnchor>
    <xdr:from>
      <xdr:col>3</xdr:col>
      <xdr:colOff>209550</xdr:colOff>
      <xdr:row>8</xdr:row>
      <xdr:rowOff>133349</xdr:rowOff>
    </xdr:from>
    <xdr:to>
      <xdr:col>6</xdr:col>
      <xdr:colOff>342900</xdr:colOff>
      <xdr:row>11</xdr:row>
      <xdr:rowOff>133349</xdr:rowOff>
    </xdr:to>
    <xdr:sp macro="" textlink="RevenueByMonthChart!B14">
      <xdr:nvSpPr>
        <xdr:cNvPr id="14" name="TextBox 13">
          <a:extLst>
            <a:ext uri="{FF2B5EF4-FFF2-40B4-BE49-F238E27FC236}">
              <a16:creationId xmlns:a16="http://schemas.microsoft.com/office/drawing/2014/main" id="{1AE6A694-E379-0D9F-C13E-5FB03030CA47}"/>
            </a:ext>
          </a:extLst>
        </xdr:cNvPr>
        <xdr:cNvSpPr txBox="1"/>
      </xdr:nvSpPr>
      <xdr:spPr>
        <a:xfrm>
          <a:off x="2038350" y="1613806"/>
          <a:ext cx="1962150" cy="5551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AE5516-65ED-4532-B6BD-3D8D5B555260}" type="TxLink">
            <a:rPr lang="en-US" sz="2400" b="1" i="0" u="none" strike="noStrike">
              <a:solidFill>
                <a:schemeClr val="accent1">
                  <a:lumMod val="50000"/>
                </a:schemeClr>
              </a:solidFill>
              <a:latin typeface="Calibri"/>
              <a:ea typeface="Calibri"/>
              <a:cs typeface="Calibri"/>
            </a:rPr>
            <a:pPr/>
            <a:t>10621986.74</a:t>
          </a:fld>
          <a:endParaRPr lang="en-US" sz="2400" b="1">
            <a:solidFill>
              <a:schemeClr val="accent1">
                <a:lumMod val="50000"/>
              </a:schemeClr>
            </a:solidFill>
          </a:endParaRPr>
        </a:p>
      </xdr:txBody>
    </xdr:sp>
    <xdr:clientData/>
  </xdr:twoCellAnchor>
  <xdr:twoCellAnchor>
    <xdr:from>
      <xdr:col>11</xdr:col>
      <xdr:colOff>419100</xdr:colOff>
      <xdr:row>8</xdr:row>
      <xdr:rowOff>95251</xdr:rowOff>
    </xdr:from>
    <xdr:to>
      <xdr:col>15</xdr:col>
      <xdr:colOff>200025</xdr:colOff>
      <xdr:row>11</xdr:row>
      <xdr:rowOff>9526</xdr:rowOff>
    </xdr:to>
    <xdr:sp macro="" textlink="ABCAnalysisPivotTable!I5">
      <xdr:nvSpPr>
        <xdr:cNvPr id="16" name="TextBox 15">
          <a:extLst>
            <a:ext uri="{FF2B5EF4-FFF2-40B4-BE49-F238E27FC236}">
              <a16:creationId xmlns:a16="http://schemas.microsoft.com/office/drawing/2014/main" id="{2C281896-EF6E-F9C6-2C2A-A047CBBFECC2}"/>
            </a:ext>
          </a:extLst>
        </xdr:cNvPr>
        <xdr:cNvSpPr txBox="1"/>
      </xdr:nvSpPr>
      <xdr:spPr>
        <a:xfrm>
          <a:off x="7124700" y="1543051"/>
          <a:ext cx="2219325"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FA830A-C107-45DD-9A18-B2A5AFEA30C4}" type="TxLink">
            <a:rPr lang="en-US" sz="2400" b="1" i="0" u="none" strike="noStrike">
              <a:solidFill>
                <a:srgbClr val="002060"/>
              </a:solidFill>
              <a:latin typeface="Calibri"/>
              <a:ea typeface="Calibri"/>
              <a:cs typeface="Calibri"/>
            </a:rPr>
            <a:pPr/>
            <a:t>24.55%</a:t>
          </a:fld>
          <a:endParaRPr lang="en-US" sz="2400" b="1">
            <a:solidFill>
              <a:srgbClr val="002060"/>
            </a:solidFill>
          </a:endParaRPr>
        </a:p>
      </xdr:txBody>
    </xdr:sp>
    <xdr:clientData/>
  </xdr:twoCellAnchor>
  <xdr:twoCellAnchor>
    <xdr:from>
      <xdr:col>15</xdr:col>
      <xdr:colOff>466725</xdr:colOff>
      <xdr:row>8</xdr:row>
      <xdr:rowOff>114301</xdr:rowOff>
    </xdr:from>
    <xdr:to>
      <xdr:col>19</xdr:col>
      <xdr:colOff>247650</xdr:colOff>
      <xdr:row>11</xdr:row>
      <xdr:rowOff>9526</xdr:rowOff>
    </xdr:to>
    <xdr:sp macro="" textlink="AvgOrdVal!B615">
      <xdr:nvSpPr>
        <xdr:cNvPr id="17" name="TextBox 16">
          <a:extLst>
            <a:ext uri="{FF2B5EF4-FFF2-40B4-BE49-F238E27FC236}">
              <a16:creationId xmlns:a16="http://schemas.microsoft.com/office/drawing/2014/main" id="{C63AE864-EFF5-C12D-CF69-FF4E5E42A532}"/>
            </a:ext>
          </a:extLst>
        </xdr:cNvPr>
        <xdr:cNvSpPr txBox="1"/>
      </xdr:nvSpPr>
      <xdr:spPr>
        <a:xfrm>
          <a:off x="9610725" y="1562101"/>
          <a:ext cx="2219325"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478124-2B55-4105-904F-76CA5B9EC905}" type="TxLink">
            <a:rPr lang="en-US" sz="2400" b="1" i="0" u="none" strike="noStrike">
              <a:solidFill>
                <a:schemeClr val="accent1">
                  <a:lumMod val="50000"/>
                </a:schemeClr>
              </a:solidFill>
              <a:latin typeface="Calibri"/>
              <a:ea typeface="Calibri"/>
              <a:cs typeface="Calibri"/>
            </a:rPr>
            <a:pPr/>
            <a:t>17441.68594</a:t>
          </a:fld>
          <a:endParaRPr lang="en-US" sz="2400" b="1">
            <a:solidFill>
              <a:schemeClr val="accent1">
                <a:lumMod val="50000"/>
              </a:schemeClr>
            </a:solidFill>
          </a:endParaRPr>
        </a:p>
      </xdr:txBody>
    </xdr:sp>
    <xdr:clientData/>
  </xdr:twoCellAnchor>
  <xdr:twoCellAnchor>
    <xdr:from>
      <xdr:col>19</xdr:col>
      <xdr:colOff>523875</xdr:colOff>
      <xdr:row>8</xdr:row>
      <xdr:rowOff>161925</xdr:rowOff>
    </xdr:from>
    <xdr:to>
      <xdr:col>23</xdr:col>
      <xdr:colOff>323850</xdr:colOff>
      <xdr:row>11</xdr:row>
      <xdr:rowOff>57150</xdr:rowOff>
    </xdr:to>
    <xdr:sp macro="" textlink="ServiceLevelProxy!B17">
      <xdr:nvSpPr>
        <xdr:cNvPr id="18" name="TextBox 17">
          <a:extLst>
            <a:ext uri="{FF2B5EF4-FFF2-40B4-BE49-F238E27FC236}">
              <a16:creationId xmlns:a16="http://schemas.microsoft.com/office/drawing/2014/main" id="{56DE2115-7E59-DAE0-560C-EB2A058F71A0}"/>
            </a:ext>
          </a:extLst>
        </xdr:cNvPr>
        <xdr:cNvSpPr txBox="1"/>
      </xdr:nvSpPr>
      <xdr:spPr>
        <a:xfrm>
          <a:off x="12106275" y="1609725"/>
          <a:ext cx="2238375"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A9B512-C298-41CC-BBE6-AAF6E715EE52}" type="TxLink">
            <a:rPr lang="en-US" sz="2400" b="1" i="0" u="none" strike="noStrike">
              <a:solidFill>
                <a:schemeClr val="accent1">
                  <a:lumMod val="50000"/>
                </a:schemeClr>
              </a:solidFill>
              <a:latin typeface="Calibri"/>
              <a:ea typeface="Calibri"/>
              <a:cs typeface="Calibri"/>
            </a:rPr>
            <a:pPr/>
            <a:t>22.00%</a:t>
          </a:fld>
          <a:endParaRPr lang="en-US" sz="2400" b="1">
            <a:solidFill>
              <a:schemeClr val="accent1">
                <a:lumMod val="50000"/>
              </a:schemeClr>
            </a:solidFill>
          </a:endParaRPr>
        </a:p>
      </xdr:txBody>
    </xdr:sp>
    <xdr:clientData/>
  </xdr:twoCellAnchor>
  <xdr:twoCellAnchor>
    <xdr:from>
      <xdr:col>3</xdr:col>
      <xdr:colOff>152400</xdr:colOff>
      <xdr:row>12</xdr:row>
      <xdr:rowOff>88900</xdr:rowOff>
    </xdr:from>
    <xdr:to>
      <xdr:col>13</xdr:col>
      <xdr:colOff>571500</xdr:colOff>
      <xdr:row>31</xdr:row>
      <xdr:rowOff>152400</xdr:rowOff>
    </xdr:to>
    <xdr:graphicFrame macro="">
      <xdr:nvGraphicFramePr>
        <xdr:cNvPr id="3" name="Chart 2">
          <a:extLst>
            <a:ext uri="{FF2B5EF4-FFF2-40B4-BE49-F238E27FC236}">
              <a16:creationId xmlns:a16="http://schemas.microsoft.com/office/drawing/2014/main" id="{99D2013A-7F7E-465E-AE50-4FF1AF460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65314</xdr:colOff>
      <xdr:row>12</xdr:row>
      <xdr:rowOff>88900</xdr:rowOff>
    </xdr:from>
    <xdr:to>
      <xdr:col>23</xdr:col>
      <xdr:colOff>419099</xdr:colOff>
      <xdr:row>31</xdr:row>
      <xdr:rowOff>127000</xdr:rowOff>
    </xdr:to>
    <xdr:graphicFrame macro="">
      <xdr:nvGraphicFramePr>
        <xdr:cNvPr id="20" name="Chart 19">
          <a:extLst>
            <a:ext uri="{FF2B5EF4-FFF2-40B4-BE49-F238E27FC236}">
              <a16:creationId xmlns:a16="http://schemas.microsoft.com/office/drawing/2014/main" id="{88AED73C-8274-43A0-9EA2-24115C71F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121920</xdr:colOff>
      <xdr:row>32</xdr:row>
      <xdr:rowOff>76200</xdr:rowOff>
    </xdr:from>
    <xdr:to>
      <xdr:col>13</xdr:col>
      <xdr:colOff>563880</xdr:colOff>
      <xdr:row>56</xdr:row>
      <xdr:rowOff>137160</xdr:rowOff>
    </xdr:to>
    <xdr:graphicFrame macro="">
      <xdr:nvGraphicFramePr>
        <xdr:cNvPr id="23" name="Chart 22">
          <a:extLst>
            <a:ext uri="{FF2B5EF4-FFF2-40B4-BE49-F238E27FC236}">
              <a16:creationId xmlns:a16="http://schemas.microsoft.com/office/drawing/2014/main" id="{E8F7838C-0357-4745-91BF-1FA0A5EE2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107043</xdr:colOff>
      <xdr:row>32</xdr:row>
      <xdr:rowOff>78378</xdr:rowOff>
    </xdr:from>
    <xdr:to>
      <xdr:col>23</xdr:col>
      <xdr:colOff>424543</xdr:colOff>
      <xdr:row>56</xdr:row>
      <xdr:rowOff>156755</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12838F69-9989-4BE0-95A5-1C0D975FA7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641443" y="5930538"/>
              <a:ext cx="5803900" cy="446749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43543</xdr:colOff>
      <xdr:row>0</xdr:row>
      <xdr:rowOff>62594</xdr:rowOff>
    </xdr:from>
    <xdr:to>
      <xdr:col>3</xdr:col>
      <xdr:colOff>43543</xdr:colOff>
      <xdr:row>8</xdr:row>
      <xdr:rowOff>10887</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F029F0F5-11E4-41EA-9219-7649EA23B22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3543" y="62594"/>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xdr:colOff>
      <xdr:row>8</xdr:row>
      <xdr:rowOff>65314</xdr:rowOff>
    </xdr:from>
    <xdr:to>
      <xdr:col>3</xdr:col>
      <xdr:colOff>54428</xdr:colOff>
      <xdr:row>17</xdr:row>
      <xdr:rowOff>149135</xdr:rowOff>
    </xdr:to>
    <mc:AlternateContent xmlns:mc="http://schemas.openxmlformats.org/markup-compatibility/2006" xmlns:a14="http://schemas.microsoft.com/office/drawing/2010/main">
      <mc:Choice Requires="a14">
        <xdr:graphicFrame macro="">
          <xdr:nvGraphicFramePr>
            <xdr:cNvPr id="13" name="Channel 1">
              <a:extLst>
                <a:ext uri="{FF2B5EF4-FFF2-40B4-BE49-F238E27FC236}">
                  <a16:creationId xmlns:a16="http://schemas.microsoft.com/office/drawing/2014/main" id="{FB281CE9-94FB-4778-B8AE-70103E069BC3}"/>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54428" y="1545771"/>
              <a:ext cx="1828800" cy="1749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10885</xdr:rowOff>
    </xdr:from>
    <xdr:to>
      <xdr:col>3</xdr:col>
      <xdr:colOff>76200</xdr:colOff>
      <xdr:row>28</xdr:row>
      <xdr:rowOff>152400</xdr:rowOff>
    </xdr:to>
    <mc:AlternateContent xmlns:mc="http://schemas.openxmlformats.org/markup-compatibility/2006" xmlns:a14="http://schemas.microsoft.com/office/drawing/2010/main">
      <mc:Choice Requires="a14">
        <xdr:graphicFrame macro="">
          <xdr:nvGraphicFramePr>
            <xdr:cNvPr id="26" name="Country 1">
              <a:extLst>
                <a:ext uri="{FF2B5EF4-FFF2-40B4-BE49-F238E27FC236}">
                  <a16:creationId xmlns:a16="http://schemas.microsoft.com/office/drawing/2014/main" id="{F74101F5-051C-45FD-86CF-CDE944D9952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3341914"/>
              <a:ext cx="1905000" cy="1931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10886</xdr:colOff>
      <xdr:row>29</xdr:row>
      <xdr:rowOff>21771</xdr:rowOff>
    </xdr:from>
    <xdr:to>
      <xdr:col>3</xdr:col>
      <xdr:colOff>43543</xdr:colOff>
      <xdr:row>42</xdr:row>
      <xdr:rowOff>83003</xdr:rowOff>
    </xdr:to>
    <mc:AlternateContent xmlns:mc="http://schemas.openxmlformats.org/markup-compatibility/2006" xmlns:a14="http://schemas.microsoft.com/office/drawing/2010/main">
      <mc:Choice Requires="a14">
        <xdr:graphicFrame macro="">
          <xdr:nvGraphicFramePr>
            <xdr:cNvPr id="28" name="Month 1">
              <a:extLst>
                <a:ext uri="{FF2B5EF4-FFF2-40B4-BE49-F238E27FC236}">
                  <a16:creationId xmlns:a16="http://schemas.microsoft.com/office/drawing/2014/main" id="{5AFBC84A-CB60-42DE-A98E-391C20013C4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886" y="5388428"/>
              <a:ext cx="1861457"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43543</xdr:colOff>
      <xdr:row>42</xdr:row>
      <xdr:rowOff>152400</xdr:rowOff>
    </xdr:from>
    <xdr:to>
      <xdr:col>3</xdr:col>
      <xdr:colOff>43543</xdr:colOff>
      <xdr:row>56</xdr:row>
      <xdr:rowOff>141514</xdr:rowOff>
    </xdr:to>
    <mc:AlternateContent xmlns:mc="http://schemas.openxmlformats.org/markup-compatibility/2006" xmlns:a14="http://schemas.microsoft.com/office/drawing/2010/main">
      <mc:Choice Requires="a14">
        <xdr:graphicFrame macro="">
          <xdr:nvGraphicFramePr>
            <xdr:cNvPr id="30" name="Salesperson 1">
              <a:extLst>
                <a:ext uri="{FF2B5EF4-FFF2-40B4-BE49-F238E27FC236}">
                  <a16:creationId xmlns:a16="http://schemas.microsoft.com/office/drawing/2014/main" id="{4141614D-A137-46E3-8B63-58ADA75CC1D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43543" y="7924800"/>
              <a:ext cx="1828800" cy="2579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32657</xdr:colOff>
      <xdr:row>6</xdr:row>
      <xdr:rowOff>152401</xdr:rowOff>
    </xdr:from>
    <xdr:to>
      <xdr:col>11</xdr:col>
      <xdr:colOff>283029</xdr:colOff>
      <xdr:row>12</xdr:row>
      <xdr:rowOff>21772</xdr:rowOff>
    </xdr:to>
    <xdr:sp macro="" textlink="">
      <xdr:nvSpPr>
        <xdr:cNvPr id="31" name="Rectangle: Rounded Corners 30">
          <a:extLst>
            <a:ext uri="{FF2B5EF4-FFF2-40B4-BE49-F238E27FC236}">
              <a16:creationId xmlns:a16="http://schemas.microsoft.com/office/drawing/2014/main" id="{5F49AC15-0F91-5A3D-23E9-B58456FDB339}"/>
            </a:ext>
          </a:extLst>
        </xdr:cNvPr>
        <xdr:cNvSpPr/>
      </xdr:nvSpPr>
      <xdr:spPr>
        <a:xfrm>
          <a:off x="4299857" y="1262744"/>
          <a:ext cx="2688772" cy="979714"/>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1">
                  <a:lumMod val="50000"/>
                </a:schemeClr>
              </a:solidFill>
            </a:rPr>
            <a:t>Total</a:t>
          </a:r>
          <a:r>
            <a:rPr lang="en-US" sz="1600" b="1" baseline="0">
              <a:solidFill>
                <a:schemeClr val="accent1">
                  <a:lumMod val="50000"/>
                </a:schemeClr>
              </a:solidFill>
            </a:rPr>
            <a:t> Profit</a:t>
          </a:r>
          <a:endParaRPr lang="en-US" sz="1600" b="1">
            <a:solidFill>
              <a:schemeClr val="accent1">
                <a:lumMod val="50000"/>
              </a:schemeClr>
            </a:solidFill>
          </a:endParaRPr>
        </a:p>
      </xdr:txBody>
    </xdr:sp>
    <xdr:clientData/>
  </xdr:twoCellAnchor>
  <xdr:twoCellAnchor>
    <xdr:from>
      <xdr:col>7</xdr:col>
      <xdr:colOff>163286</xdr:colOff>
      <xdr:row>8</xdr:row>
      <xdr:rowOff>141514</xdr:rowOff>
    </xdr:from>
    <xdr:to>
      <xdr:col>11</xdr:col>
      <xdr:colOff>21771</xdr:colOff>
      <xdr:row>11</xdr:row>
      <xdr:rowOff>108857</xdr:rowOff>
    </xdr:to>
    <xdr:sp macro="" textlink="SalesProductivity!C19">
      <xdr:nvSpPr>
        <xdr:cNvPr id="32" name="TextBox 31">
          <a:extLst>
            <a:ext uri="{FF2B5EF4-FFF2-40B4-BE49-F238E27FC236}">
              <a16:creationId xmlns:a16="http://schemas.microsoft.com/office/drawing/2014/main" id="{A3F901FB-6EA5-7C5C-EB99-304507477DD8}"/>
            </a:ext>
          </a:extLst>
        </xdr:cNvPr>
        <xdr:cNvSpPr txBox="1"/>
      </xdr:nvSpPr>
      <xdr:spPr>
        <a:xfrm>
          <a:off x="4430486" y="1621971"/>
          <a:ext cx="2296885" cy="522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C278CB-49FA-4D75-BBC6-6249D2DB16B2}" type="TxLink">
            <a:rPr lang="en-US" sz="2400" b="1" i="0" u="none" strike="noStrike">
              <a:solidFill>
                <a:srgbClr val="002060"/>
              </a:solidFill>
              <a:latin typeface="Calibri"/>
              <a:ea typeface="Calibri"/>
              <a:cs typeface="Calibri"/>
            </a:rPr>
            <a:t>3386709.175</a:t>
          </a:fld>
          <a:endParaRPr lang="en-US" sz="2400" b="1">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21CDED21-DC60-7CB8-3846-DA2632F10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139D5104-061C-E2EC-64A0-C5CE1F95D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327660</xdr:colOff>
      <xdr:row>0</xdr:row>
      <xdr:rowOff>22860</xdr:rowOff>
    </xdr:from>
    <xdr:to>
      <xdr:col>16</xdr:col>
      <xdr:colOff>327660</xdr:colOff>
      <xdr:row>13</xdr:row>
      <xdr:rowOff>112395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45BD3C6-0369-754F-8360-B16AF2BBCB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65920" y="22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365760</xdr:colOff>
      <xdr:row>14</xdr:row>
      <xdr:rowOff>7620</xdr:rowOff>
    </xdr:from>
    <xdr:to>
      <xdr:col>16</xdr:col>
      <xdr:colOff>365760</xdr:colOff>
      <xdr:row>27</xdr:row>
      <xdr:rowOff>97155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3B114374-B33B-A876-A9E1-82D46BDCEE8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304020" y="2567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114300</xdr:colOff>
      <xdr:row>16</xdr:row>
      <xdr:rowOff>144781</xdr:rowOff>
    </xdr:from>
    <xdr:to>
      <xdr:col>11</xdr:col>
      <xdr:colOff>114300</xdr:colOff>
      <xdr:row>26</xdr:row>
      <xdr:rowOff>1</xdr:rowOff>
    </xdr:to>
    <mc:AlternateContent xmlns:mc="http://schemas.openxmlformats.org/markup-compatibility/2006" xmlns:a14="http://schemas.microsoft.com/office/drawing/2010/main">
      <mc:Choice Requires="a14">
        <xdr:graphicFrame macro="">
          <xdr:nvGraphicFramePr>
            <xdr:cNvPr id="5" name="Channel">
              <a:extLst>
                <a:ext uri="{FF2B5EF4-FFF2-40B4-BE49-F238E27FC236}">
                  <a16:creationId xmlns:a16="http://schemas.microsoft.com/office/drawing/2014/main" id="{6D6E1884-5BE2-B96C-E320-0AEF2B22B584}"/>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6004560" y="3070861"/>
              <a:ext cx="182880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586740</xdr:colOff>
      <xdr:row>17</xdr:row>
      <xdr:rowOff>68580</xdr:rowOff>
    </xdr:to>
    <xdr:graphicFrame macro="">
      <xdr:nvGraphicFramePr>
        <xdr:cNvPr id="2" name="Chart 1">
          <a:extLst>
            <a:ext uri="{FF2B5EF4-FFF2-40B4-BE49-F238E27FC236}">
              <a16:creationId xmlns:a16="http://schemas.microsoft.com/office/drawing/2014/main" id="{53250E4D-19AB-1E42-9A14-9F03C566B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83820</xdr:colOff>
      <xdr:row>0</xdr:row>
      <xdr:rowOff>114300</xdr:rowOff>
    </xdr:from>
    <xdr:to>
      <xdr:col>16</xdr:col>
      <xdr:colOff>83820</xdr:colOff>
      <xdr:row>14</xdr:row>
      <xdr:rowOff>20955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E6FEC3BE-A46C-5BF1-8E55-4E21446095A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991600" y="114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14</xdr:row>
      <xdr:rowOff>83820</xdr:rowOff>
    </xdr:from>
    <xdr:to>
      <xdr:col>15</xdr:col>
      <xdr:colOff>601980</xdr:colOff>
      <xdr:row>26</xdr:row>
      <xdr:rowOff>129540</xdr:rowOff>
    </xdr:to>
    <mc:AlternateContent xmlns:mc="http://schemas.openxmlformats.org/markup-compatibility/2006" xmlns:a14="http://schemas.microsoft.com/office/drawing/2010/main">
      <mc:Choice Requires="a14">
        <xdr:graphicFrame macro="">
          <xdr:nvGraphicFramePr>
            <xdr:cNvPr id="5" name="Salesperson">
              <a:extLst>
                <a:ext uri="{FF2B5EF4-FFF2-40B4-BE49-F238E27FC236}">
                  <a16:creationId xmlns:a16="http://schemas.microsoft.com/office/drawing/2014/main" id="{C7B691AB-07F3-9B99-0EBD-AE9ADF7BDC6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900160" y="2644140"/>
              <a:ext cx="1828800" cy="2240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2.555453819441" createdVersion="8" refreshedVersion="8" minRefreshableVersion="3" recordCount="609" xr:uid="{1E935E1E-294D-487D-B8D9-425F4B05FEA1}">
  <cacheSource type="worksheet">
    <worksheetSource ref="A1:Y610" sheet="Staging Table"/>
  </cacheSource>
  <cacheFields count="28">
    <cacheField name="OrderID" numFmtId="0">
      <sharedItems/>
    </cacheField>
    <cacheField name="OrderDate" numFmtId="14">
      <sharedItems containsSemiMixedTypes="0" containsNonDate="0" containsDate="1" containsString="0" minDate="2023-01-02T00:00:00" maxDate="2025-09-16T00:00:00" count="457">
        <d v="2024-12-17T00:00:00"/>
        <d v="2023-02-28T00:00:00"/>
        <d v="2025-06-09T00:00:00"/>
        <d v="2024-03-26T00:00:00"/>
        <d v="2024-06-29T00:00:00"/>
        <d v="2025-09-15T00:00:00"/>
        <d v="2025-04-04T00:00:00"/>
        <d v="2023-02-24T00:00:00"/>
        <d v="2024-03-01T00:00:00"/>
        <d v="2023-05-11T00:00:00"/>
        <d v="2024-02-03T00:00:00"/>
        <d v="2025-04-22T00:00:00"/>
        <d v="2023-08-30T00:00:00"/>
        <d v="2023-10-26T00:00:00"/>
        <d v="2025-04-23T00:00:00"/>
        <d v="2025-08-05T00:00:00"/>
        <d v="2025-02-28T00:00:00"/>
        <d v="2023-01-15T00:00:00"/>
        <d v="2025-03-24T00:00:00"/>
        <d v="2023-05-23T00:00:00"/>
        <d v="2025-06-03T00:00:00"/>
        <d v="2024-05-23T00:00:00"/>
        <d v="2023-05-17T00:00:00"/>
        <d v="2024-02-18T00:00:00"/>
        <d v="2023-04-13T00:00:00"/>
        <d v="2023-06-29T00:00:00"/>
        <d v="2024-02-14T00:00:00"/>
        <d v="2023-01-29T00:00:00"/>
        <d v="2025-07-09T00:00:00"/>
        <d v="2024-09-03T00:00:00"/>
        <d v="2025-06-21T00:00:00"/>
        <d v="2024-10-17T00:00:00"/>
        <d v="2023-08-15T00:00:00"/>
        <d v="2023-04-26T00:00:00"/>
        <d v="2025-02-07T00:00:00"/>
        <d v="2025-03-30T00:00:00"/>
        <d v="2024-12-04T00:00:00"/>
        <d v="2023-05-03T00:00:00"/>
        <d v="2024-01-28T00:00:00"/>
        <d v="2024-11-07T00:00:00"/>
        <d v="2025-07-14T00:00:00"/>
        <d v="2025-03-11T00:00:00"/>
        <d v="2025-05-17T00:00:00"/>
        <d v="2023-05-04T00:00:00"/>
        <d v="2024-03-06T00:00:00"/>
        <d v="2024-10-16T00:00:00"/>
        <d v="2024-05-12T00:00:00"/>
        <d v="2024-11-30T00:00:00"/>
        <d v="2023-07-02T00:00:00"/>
        <d v="2024-09-07T00:00:00"/>
        <d v="2024-08-22T00:00:00"/>
        <d v="2023-03-27T00:00:00"/>
        <d v="2023-07-09T00:00:00"/>
        <d v="2025-08-06T00:00:00"/>
        <d v="2025-04-09T00:00:00"/>
        <d v="2025-01-17T00:00:00"/>
        <d v="2024-05-10T00:00:00"/>
        <d v="2025-01-22T00:00:00"/>
        <d v="2025-01-11T00:00:00"/>
        <d v="2025-04-01T00:00:00"/>
        <d v="2023-09-25T00:00:00"/>
        <d v="2024-11-27T00:00:00"/>
        <d v="2025-01-21T00:00:00"/>
        <d v="2024-12-05T00:00:00"/>
        <d v="2024-07-13T00:00:00"/>
        <d v="2023-11-20T00:00:00"/>
        <d v="2025-03-29T00:00:00"/>
        <d v="2024-03-30T00:00:00"/>
        <d v="2024-08-17T00:00:00"/>
        <d v="2023-10-21T00:00:00"/>
        <d v="2024-12-24T00:00:00"/>
        <d v="2023-08-21T00:00:00"/>
        <d v="2025-04-13T00:00:00"/>
        <d v="2024-12-08T00:00:00"/>
        <d v="2023-05-01T00:00:00"/>
        <d v="2023-03-25T00:00:00"/>
        <d v="2024-04-21T00:00:00"/>
        <d v="2024-02-29T00:00:00"/>
        <d v="2025-06-24T00:00:00"/>
        <d v="2024-11-11T00:00:00"/>
        <d v="2024-03-02T00:00:00"/>
        <d v="2023-08-03T00:00:00"/>
        <d v="2024-01-13T00:00:00"/>
        <d v="2023-01-22T00:00:00"/>
        <d v="2023-08-02T00:00:00"/>
        <d v="2024-06-02T00:00:00"/>
        <d v="2023-03-14T00:00:00"/>
        <d v="2024-05-30T00:00:00"/>
        <d v="2023-01-26T00:00:00"/>
        <d v="2023-03-31T00:00:00"/>
        <d v="2025-05-14T00:00:00"/>
        <d v="2023-04-18T00:00:00"/>
        <d v="2024-02-25T00:00:00"/>
        <d v="2025-06-25T00:00:00"/>
        <d v="2024-09-05T00:00:00"/>
        <d v="2025-08-21T00:00:00"/>
        <d v="2023-09-08T00:00:00"/>
        <d v="2025-04-17T00:00:00"/>
        <d v="2023-11-30T00:00:00"/>
        <d v="2025-07-22T00:00:00"/>
        <d v="2024-01-02T00:00:00"/>
        <d v="2023-04-14T00:00:00"/>
        <d v="2023-07-25T00:00:00"/>
        <d v="2023-06-17T00:00:00"/>
        <d v="2023-02-23T00:00:00"/>
        <d v="2025-03-03T00:00:00"/>
        <d v="2023-05-06T00:00:00"/>
        <d v="2023-02-21T00:00:00"/>
        <d v="2025-07-11T00:00:00"/>
        <d v="2025-04-28T00:00:00"/>
        <d v="2023-06-13T00:00:00"/>
        <d v="2023-12-05T00:00:00"/>
        <d v="2023-12-24T00:00:00"/>
        <d v="2023-08-26T00:00:00"/>
        <d v="2023-04-05T00:00:00"/>
        <d v="2024-10-11T00:00:00"/>
        <d v="2023-06-20T00:00:00"/>
        <d v="2023-08-23T00:00:00"/>
        <d v="2023-02-20T00:00:00"/>
        <d v="2024-08-07T00:00:00"/>
        <d v="2024-10-25T00:00:00"/>
        <d v="2025-03-08T00:00:00"/>
        <d v="2025-01-09T00:00:00"/>
        <d v="2024-06-19T00:00:00"/>
        <d v="2024-10-09T00:00:00"/>
        <d v="2025-02-19T00:00:00"/>
        <d v="2025-01-31T00:00:00"/>
        <d v="2024-12-15T00:00:00"/>
        <d v="2025-03-06T00:00:00"/>
        <d v="2023-06-23T00:00:00"/>
        <d v="2025-05-18T00:00:00"/>
        <d v="2024-08-10T00:00:00"/>
        <d v="2025-04-16T00:00:00"/>
        <d v="2024-03-23T00:00:00"/>
        <d v="2025-08-11T00:00:00"/>
        <d v="2024-12-21T00:00:00"/>
        <d v="2024-06-23T00:00:00"/>
        <d v="2023-01-02T00:00:00"/>
        <d v="2025-05-12T00:00:00"/>
        <d v="2023-04-03T00:00:00"/>
        <d v="2024-01-08T00:00:00"/>
        <d v="2023-10-25T00:00:00"/>
        <d v="2023-08-19T00:00:00"/>
        <d v="2023-09-19T00:00:00"/>
        <d v="2025-07-27T00:00:00"/>
        <d v="2024-03-11T00:00:00"/>
        <d v="2024-01-12T00:00:00"/>
        <d v="2023-06-09T00:00:00"/>
        <d v="2024-03-16T00:00:00"/>
        <d v="2025-09-01T00:00:00"/>
        <d v="2024-12-27T00:00:00"/>
        <d v="2024-05-27T00:00:00"/>
        <d v="2023-07-01T00:00:00"/>
        <d v="2024-08-19T00:00:00"/>
        <d v="2023-01-27T00:00:00"/>
        <d v="2023-09-17T00:00:00"/>
        <d v="2025-06-27T00:00:00"/>
        <d v="2025-01-03T00:00:00"/>
        <d v="2023-08-12T00:00:00"/>
        <d v="2023-04-16T00:00:00"/>
        <d v="2025-06-15T00:00:00"/>
        <d v="2023-06-14T00:00:00"/>
        <d v="2023-01-07T00:00:00"/>
        <d v="2025-02-04T00:00:00"/>
        <d v="2025-09-11T00:00:00"/>
        <d v="2023-06-24T00:00:00"/>
        <d v="2023-12-26T00:00:00"/>
        <d v="2023-09-14T00:00:00"/>
        <d v="2024-06-08T00:00:00"/>
        <d v="2025-06-01T00:00:00"/>
        <d v="2025-07-23T00:00:00"/>
        <d v="2023-04-19T00:00:00"/>
        <d v="2024-08-04T00:00:00"/>
        <d v="2023-02-15T00:00:00"/>
        <d v="2023-05-02T00:00:00"/>
        <d v="2024-07-19T00:00:00"/>
        <d v="2024-10-27T00:00:00"/>
        <d v="2024-10-23T00:00:00"/>
        <d v="2023-06-05T00:00:00"/>
        <d v="2023-01-10T00:00:00"/>
        <d v="2023-11-10T00:00:00"/>
        <d v="2023-10-15T00:00:00"/>
        <d v="2025-06-05T00:00:00"/>
        <d v="2023-12-06T00:00:00"/>
        <d v="2024-11-25T00:00:00"/>
        <d v="2024-03-15T00:00:00"/>
        <d v="2024-01-16T00:00:00"/>
        <d v="2024-05-18T00:00:00"/>
        <d v="2024-04-16T00:00:00"/>
        <d v="2023-05-10T00:00:00"/>
        <d v="2023-02-11T00:00:00"/>
        <d v="2025-05-27T00:00:00"/>
        <d v="2023-12-07T00:00:00"/>
        <d v="2023-04-23T00:00:00"/>
        <d v="2024-02-11T00:00:00"/>
        <d v="2025-07-19T00:00:00"/>
        <d v="2025-08-03T00:00:00"/>
        <d v="2023-11-28T00:00:00"/>
        <d v="2024-08-30T00:00:00"/>
        <d v="2023-05-20T00:00:00"/>
        <d v="2025-01-20T00:00:00"/>
        <d v="2023-01-13T00:00:00"/>
        <d v="2025-09-14T00:00:00"/>
        <d v="2024-08-12T00:00:00"/>
        <d v="2023-06-22T00:00:00"/>
        <d v="2024-04-26T00:00:00"/>
        <d v="2024-07-18T00:00:00"/>
        <d v="2023-12-19T00:00:00"/>
        <d v="2023-10-09T00:00:00"/>
        <d v="2024-01-10T00:00:00"/>
        <d v="2023-10-18T00:00:00"/>
        <d v="2023-03-04T00:00:00"/>
        <d v="2023-05-14T00:00:00"/>
        <d v="2023-03-07T00:00:00"/>
        <d v="2024-12-23T00:00:00"/>
        <d v="2025-09-02T00:00:00"/>
        <d v="2024-03-07T00:00:00"/>
        <d v="2023-05-07T00:00:00"/>
        <d v="2025-04-24T00:00:00"/>
        <d v="2024-09-19T00:00:00"/>
        <d v="2025-08-30T00:00:00"/>
        <d v="2024-04-04T00:00:00"/>
        <d v="2025-05-19T00:00:00"/>
        <d v="2025-02-16T00:00:00"/>
        <d v="2023-04-10T00:00:00"/>
        <d v="2023-08-08T00:00:00"/>
        <d v="2024-10-04T00:00:00"/>
        <d v="2024-04-05T00:00:00"/>
        <d v="2023-09-30T00:00:00"/>
        <d v="2024-09-09T00:00:00"/>
        <d v="2025-04-06T00:00:00"/>
        <d v="2023-12-22T00:00:00"/>
        <d v="2024-07-09T00:00:00"/>
        <d v="2025-06-22T00:00:00"/>
        <d v="2024-12-10T00:00:00"/>
        <d v="2023-07-18T00:00:00"/>
        <d v="2024-05-20T00:00:00"/>
        <d v="2023-06-01T00:00:00"/>
        <d v="2023-07-05T00:00:00"/>
        <d v="2025-03-23T00:00:00"/>
        <d v="2024-11-08T00:00:00"/>
        <d v="2024-10-13T00:00:00"/>
        <d v="2024-09-02T00:00:00"/>
        <d v="2024-06-09T00:00:00"/>
        <d v="2025-02-12T00:00:00"/>
        <d v="2024-09-25T00:00:00"/>
        <d v="2025-01-07T00:00:00"/>
        <d v="2024-06-11T00:00:00"/>
        <d v="2024-03-04T00:00:00"/>
        <d v="2024-01-25T00:00:00"/>
        <d v="2025-04-11T00:00:00"/>
        <d v="2025-09-10T00:00:00"/>
        <d v="2023-12-02T00:00:00"/>
        <d v="2023-09-18T00:00:00"/>
        <d v="2024-01-21T00:00:00"/>
        <d v="2023-06-15T00:00:00"/>
        <d v="2024-08-03T00:00:00"/>
        <d v="2025-08-07T00:00:00"/>
        <d v="2024-03-09T00:00:00"/>
        <d v="2025-05-29T00:00:00"/>
        <d v="2023-12-03T00:00:00"/>
        <d v="2023-11-15T00:00:00"/>
        <d v="2023-03-17T00:00:00"/>
        <d v="2023-11-14T00:00:00"/>
        <d v="2023-03-23T00:00:00"/>
        <d v="2024-11-05T00:00:00"/>
        <d v="2024-04-24T00:00:00"/>
        <d v="2024-07-24T00:00:00"/>
        <d v="2024-03-03T00:00:00"/>
        <d v="2025-03-21T00:00:00"/>
        <d v="2025-03-10T00:00:00"/>
        <d v="2024-10-30T00:00:00"/>
        <d v="2024-07-15T00:00:00"/>
        <d v="2023-12-30T00:00:00"/>
        <d v="2024-05-22T00:00:00"/>
        <d v="2023-04-21T00:00:00"/>
        <d v="2024-01-24T00:00:00"/>
        <d v="2023-03-19T00:00:00"/>
        <d v="2025-08-28T00:00:00"/>
        <d v="2024-05-19T00:00:00"/>
        <d v="2025-06-14T00:00:00"/>
        <d v="2025-04-27T00:00:00"/>
        <d v="2023-12-20T00:00:00"/>
        <d v="2023-07-03T00:00:00"/>
        <d v="2024-03-18T00:00:00"/>
        <d v="2023-08-17T00:00:00"/>
        <d v="2025-04-12T00:00:00"/>
        <d v="2025-08-25T00:00:00"/>
        <d v="2024-01-01T00:00:00"/>
        <d v="2024-11-01T00:00:00"/>
        <d v="2025-05-16T00:00:00"/>
        <d v="2024-04-03T00:00:00"/>
        <d v="2025-08-13T00:00:00"/>
        <d v="2023-10-31T00:00:00"/>
        <d v="2024-10-22T00:00:00"/>
        <d v="2024-07-11T00:00:00"/>
        <d v="2024-01-18T00:00:00"/>
        <d v="2025-07-03T00:00:00"/>
        <d v="2025-02-21T00:00:00"/>
        <d v="2024-05-21T00:00:00"/>
        <d v="2023-10-07T00:00:00"/>
        <d v="2024-04-19T00:00:00"/>
        <d v="2023-04-22T00:00:00"/>
        <d v="2024-07-31T00:00:00"/>
        <d v="2023-06-10T00:00:00"/>
        <d v="2023-07-07T00:00:00"/>
        <d v="2023-01-12T00:00:00"/>
        <d v="2025-05-10T00:00:00"/>
        <d v="2024-11-02T00:00:00"/>
        <d v="2024-03-31T00:00:00"/>
        <d v="2025-05-02T00:00:00"/>
        <d v="2024-01-20T00:00:00"/>
        <d v="2024-12-12T00:00:00"/>
        <d v="2025-02-15T00:00:00"/>
        <d v="2023-07-14T00:00:00"/>
        <d v="2024-04-12T00:00:00"/>
        <d v="2025-08-10T00:00:00"/>
        <d v="2023-01-30T00:00:00"/>
        <d v="2024-02-01T00:00:00"/>
        <d v="2024-06-15T00:00:00"/>
        <d v="2023-10-04T00:00:00"/>
        <d v="2024-11-04T00:00:00"/>
        <d v="2024-06-04T00:00:00"/>
        <d v="2023-02-05T00:00:00"/>
        <d v="2024-02-08T00:00:00"/>
        <d v="2023-01-20T00:00:00"/>
        <d v="2024-07-28T00:00:00"/>
        <d v="2025-01-10T00:00:00"/>
        <d v="2023-05-24T00:00:00"/>
        <d v="2023-04-06T00:00:00"/>
        <d v="2024-08-27T00:00:00"/>
        <d v="2024-02-06T00:00:00"/>
        <d v="2024-08-18T00:00:00"/>
        <d v="2024-06-05T00:00:00"/>
        <d v="2024-05-07T00:00:00"/>
        <d v="2023-03-13T00:00:00"/>
        <d v="2024-05-01T00:00:00"/>
        <d v="2025-09-08T00:00:00"/>
        <d v="2024-12-14T00:00:00"/>
        <d v="2023-07-24T00:00:00"/>
        <d v="2024-09-06T00:00:00"/>
        <d v="2023-07-26T00:00:00"/>
        <d v="2025-09-12T00:00:00"/>
        <d v="2025-04-07T00:00:00"/>
        <d v="2024-04-29T00:00:00"/>
        <d v="2024-04-06T00:00:00"/>
        <d v="2023-12-29T00:00:00"/>
        <d v="2025-02-25T00:00:00"/>
        <d v="2025-02-17T00:00:00"/>
        <d v="2023-10-12T00:00:00"/>
        <d v="2025-08-20T00:00:00"/>
        <d v="2024-03-13T00:00:00"/>
        <d v="2024-12-20T00:00:00"/>
        <d v="2024-01-11T00:00:00"/>
        <d v="2024-09-13T00:00:00"/>
        <d v="2024-10-10T00:00:00"/>
        <d v="2024-06-30T00:00:00"/>
        <d v="2023-07-10T00:00:00"/>
        <d v="2025-08-02T00:00:00"/>
        <d v="2024-06-10T00:00:00"/>
        <d v="2024-09-10T00:00:00"/>
        <d v="2025-03-25T00:00:00"/>
        <d v="2024-07-29T00:00:00"/>
        <d v="2024-10-29T00:00:00"/>
        <d v="2024-10-14T00:00:00"/>
        <d v="2023-08-29T00:00:00"/>
        <d v="2024-06-07T00:00:00"/>
        <d v="2024-11-20T00:00:00"/>
        <d v="2024-11-12T00:00:00"/>
        <d v="2024-05-05T00:00:00"/>
        <d v="2024-05-28T00:00:00"/>
        <d v="2025-02-06T00:00:00"/>
        <d v="2024-03-10T00:00:00"/>
        <d v="2025-02-02T00:00:00"/>
        <d v="2023-08-27T00:00:00"/>
        <d v="2023-08-10T00:00:00"/>
        <d v="2024-09-22T00:00:00"/>
        <d v="2025-03-31T00:00:00"/>
        <d v="2023-12-16T00:00:00"/>
        <d v="2024-11-21T00:00:00"/>
        <d v="2024-02-17T00:00:00"/>
        <d v="2023-03-03T00:00:00"/>
        <d v="2024-07-25T00:00:00"/>
        <d v="2023-03-06T00:00:00"/>
        <d v="2023-02-19T00:00:00"/>
        <d v="2023-09-21T00:00:00"/>
        <d v="2025-07-21T00:00:00"/>
        <d v="2023-06-03T00:00:00"/>
        <d v="2023-10-30T00:00:00"/>
        <d v="2025-05-07T00:00:00"/>
        <d v="2023-02-07T00:00:00"/>
        <d v="2023-01-19T00:00:00"/>
        <d v="2025-06-26T00:00:00"/>
        <d v="2024-08-08T00:00:00"/>
        <d v="2023-07-22T00:00:00"/>
        <d v="2025-05-21T00:00:00"/>
        <d v="2023-12-18T00:00:00"/>
        <d v="2024-10-03T00:00:00"/>
        <d v="2024-06-03T00:00:00"/>
        <d v="2024-02-16T00:00:00"/>
        <d v="2024-03-27T00:00:00"/>
        <d v="2024-08-14T00:00:00"/>
        <d v="2023-07-19T00:00:00"/>
        <d v="2025-06-17T00:00:00"/>
        <d v="2025-03-15T00:00:00"/>
        <d v="2023-12-28T00:00:00"/>
        <d v="2024-02-27T00:00:00"/>
        <d v="2023-04-12T00:00:00"/>
        <d v="2024-06-16T00:00:00"/>
        <d v="2023-02-27T00:00:00"/>
        <d v="2024-10-02T00:00:00"/>
        <d v="2025-07-20T00:00:00"/>
        <d v="2024-12-07T00:00:00"/>
        <d v="2024-09-23T00:00:00"/>
        <d v="2025-08-14T00:00:00"/>
        <d v="2024-10-08T00:00:00"/>
        <d v="2023-08-25T00:00:00"/>
        <d v="2024-05-04T00:00:00"/>
        <d v="2023-07-16T00:00:00"/>
        <d v="2025-08-01T00:00:00"/>
        <d v="2023-10-05T00:00:00"/>
        <d v="2023-05-27T00:00:00"/>
        <d v="2024-10-24T00:00:00"/>
        <d v="2024-11-06T00:00:00"/>
        <d v="2025-07-24T00:00:00"/>
        <d v="2023-11-19T00:00:00"/>
        <d v="2024-08-16T00:00:00"/>
        <d v="2024-11-22T00:00:00"/>
        <d v="2025-01-29T00:00:00"/>
        <d v="2023-07-30T00:00:00"/>
        <d v="2025-03-14T00:00:00"/>
        <d v="2024-04-09T00:00:00"/>
        <d v="2025-07-17T00:00:00"/>
        <d v="2023-02-08T00:00:00"/>
        <d v="2024-12-28T00:00:00"/>
        <d v="2025-05-15T00:00:00"/>
        <d v="2023-12-01T00:00:00"/>
        <d v="2025-02-09T00:00:00"/>
        <d v="2023-07-08T00:00:00"/>
        <d v="2024-02-20T00:00:00"/>
        <d v="2023-05-29T00:00:00"/>
        <d v="2025-07-16T00:00:00"/>
        <d v="2024-08-31T00:00:00"/>
        <d v="2024-09-14T00:00:00"/>
        <d v="2025-01-04T00:00:00"/>
        <d v="2024-08-23T00:00:00"/>
        <d v="2024-06-06T00:00:00"/>
        <d v="2025-01-27T00:00:00"/>
        <d v="2024-12-29T00:00:00"/>
        <d v="2023-10-22T00:00:00"/>
        <d v="2024-02-19T00:00:00"/>
        <d v="2024-06-25T00:00:00"/>
        <d v="2025-04-14T00:00:00"/>
        <d v="2023-08-24T00:00:00"/>
        <d v="2023-03-02T00:00:00"/>
        <d v="2024-05-17T00:00:00"/>
        <d v="2024-05-14T00:00:00"/>
      </sharedItems>
      <fieldGroup par="27"/>
    </cacheField>
    <cacheField name="Month" numFmtId="14">
      <sharedItems count="33">
        <s v="Dec-2024"/>
        <s v="Feb-2023"/>
        <s v="Jun-2025"/>
        <s v="Mar-2024"/>
        <s v="Jun-2024"/>
        <s v="Sep-2025"/>
        <s v="Apr-2025"/>
        <s v="May-2023"/>
        <s v="Feb-2024"/>
        <s v="Aug-2023"/>
        <s v="Oct-2023"/>
        <s v="Aug-2025"/>
        <s v="Feb-2025"/>
        <s v="Jan-2023"/>
        <s v="Mar-2025"/>
        <s v="May-2024"/>
        <s v="Apr-2023"/>
        <s v="Jun-2023"/>
        <s v="Jul-2025"/>
        <s v="Sep-2024"/>
        <s v="Oct-2024"/>
        <s v="Jan-2024"/>
        <s v="Nov-2024"/>
        <s v="May-2025"/>
        <s v="Jul-2023"/>
        <s v="Aug-2024"/>
        <s v="Mar-2023"/>
        <s v="Jan-2025"/>
        <s v="Sep-2023"/>
        <s v="Jul-2024"/>
        <s v="Nov-2023"/>
        <s v="Apr-2024"/>
        <s v="Dec-2023"/>
      </sharedItems>
    </cacheField>
    <cacheField name="Quarter" numFmtId="0">
      <sharedItems count="11">
        <s v="Q4-2024"/>
        <s v="Q1-2023"/>
        <s v="Q2-2025"/>
        <s v="Q1-2024"/>
        <s v="Q2-2024"/>
        <s v="Q3-2025"/>
        <s v="Q2-2023"/>
        <s v="Q3-2023"/>
        <s v="Q4-2023"/>
        <s v="Q1-2025"/>
        <s v="Q3-2024"/>
      </sharedItems>
    </cacheField>
    <cacheField name="RequiredDate" numFmtId="14">
      <sharedItems containsSemiMixedTypes="0" containsNonDate="0" containsDate="1" containsString="0" minDate="2023-01-05T00:00:00" maxDate="2025-10-06T00:00:00"/>
    </cacheField>
    <cacheField name="UpdatedRequired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Region" numFmtId="0">
      <sharedItems/>
    </cacheField>
    <cacheField name="Country" numFmtId="0">
      <sharedItems count="12">
        <s v="United Kingdom"/>
        <s v="Kenya"/>
        <s v="France"/>
        <s v="USA"/>
        <s v="South Africa"/>
        <s v="Brazil"/>
        <s v="Germany"/>
        <s v="Japan"/>
        <s v="Nigeria"/>
        <s v="India"/>
        <s v="China"/>
        <s v="Canada"/>
      </sharedItems>
    </cacheField>
    <cacheField name="City" numFmtId="0">
      <sharedItems/>
    </cacheField>
    <cacheField name="CustomerSegment" numFmtId="0">
      <sharedItems/>
    </cacheField>
    <cacheField name="Channel" numFmtId="0">
      <sharedItems/>
    </cacheField>
    <cacheField name="Salesperson" numFmtId="0">
      <sharedItems/>
    </cacheField>
    <cacheField name="ProductCategory" numFmtId="0">
      <sharedItems/>
    </cacheField>
    <cacheField name="SKU" numFmtId="0">
      <sharedItems/>
    </cacheField>
    <cacheField name="UnitCost" numFmtId="2">
      <sharedItems containsSemiMixedTypes="0" containsString="0" containsNumber="1" minValue="5.34" maxValue="1495.79"/>
    </cacheField>
    <cacheField name="UnitPrice" numFmtId="2">
      <sharedItems containsSemiMixedTypes="0" containsString="0" containsNumber="1" minValue="4.22" maxValue="3661.07"/>
    </cacheField>
    <cacheField name="DiscountPct" numFmtId="10">
      <sharedItems containsSemiMixedTypes="0" containsString="0" containsNumber="1" minValue="0" maxValue="0.29499999999999998"/>
    </cacheField>
    <cacheField name="Disc&gt;30" numFmtId="10">
      <sharedItems/>
    </cacheField>
    <cacheField name="Quantity" numFmtId="1">
      <sharedItems containsSemiMixedTypes="0" containsString="0" containsNumber="1" containsInteger="1" minValue="2" maxValue="61"/>
    </cacheField>
    <cacheField name="GrossRevenue" numFmtId="0">
      <sharedItems containsSemiMixedTypes="0" containsString="0" containsNumber="1" minValue="18.659839999999999" maxValue="139277.83032000001"/>
    </cacheField>
    <cacheField name="Cost of Goods" numFmtId="0">
      <sharedItems containsSemiMixedTypes="0" containsString="0" containsNumber="1" minValue="22" maxValue="83258.290000000008"/>
    </cacheField>
    <cacheField name="Gross Profit" numFmtId="0">
      <sharedItems containsSemiMixedTypes="0" containsString="0" containsNumber="1" minValue="-15655.657510000005" maxValue="65188.659999999996"/>
    </cacheField>
    <cacheField name="MarginPct" numFmtId="10">
      <sharedItems containsSemiMixedTypes="0" containsString="0" containsNumber="1" minValue="-0.87167486187856302" maxValue="0.59711724195851179"/>
    </cacheField>
    <cacheField name="Price Band" numFmtId="0">
      <sharedItems/>
    </cacheField>
    <cacheField name="Months (OrderDate)" numFmtId="0" databaseField="0">
      <fieldGroup base="1">
        <rangePr groupBy="months" startDate="2023-01-02T00:00:00" endDate="2025-09-16T00:00:00"/>
        <groupItems count="14">
          <s v="&lt;1/2/2023"/>
          <s v="Jan"/>
          <s v="Feb"/>
          <s v="Mar"/>
          <s v="Apr"/>
          <s v="May"/>
          <s v="Jun"/>
          <s v="Jul"/>
          <s v="Aug"/>
          <s v="Sep"/>
          <s v="Oct"/>
          <s v="Nov"/>
          <s v="Dec"/>
          <s v="&gt;9/16/2025"/>
        </groupItems>
      </fieldGroup>
    </cacheField>
    <cacheField name="Quarters (OrderDate)" numFmtId="0" databaseField="0">
      <fieldGroup base="1">
        <rangePr groupBy="quarters" startDate="2023-01-02T00:00:00" endDate="2025-09-16T00:00:00"/>
        <groupItems count="6">
          <s v="&lt;1/2/2023"/>
          <s v="Qtr1"/>
          <s v="Qtr2"/>
          <s v="Qtr3"/>
          <s v="Qtr4"/>
          <s v="&gt;9/16/2025"/>
        </groupItems>
      </fieldGroup>
    </cacheField>
    <cacheField name="Years (OrderDate)"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2.586105555558" createdVersion="8" refreshedVersion="8" minRefreshableVersion="3" recordCount="611" xr:uid="{5CD2CDE5-6AC5-43E1-8957-DA4E05E775DF}">
  <cacheSource type="worksheet">
    <worksheetSource ref="A1:Y1048576" sheet="Staging Table"/>
  </cacheSource>
  <cacheFields count="25">
    <cacheField name="OrderID" numFmtId="0">
      <sharedItems containsBlank="1"/>
    </cacheField>
    <cacheField name="OrderDate" numFmtId="14">
      <sharedItems containsNonDate="0" containsDate="1" containsString="0" containsBlank="1" minDate="2023-01-02T00:00:00" maxDate="2025-09-16T00:00:00"/>
    </cacheField>
    <cacheField name="Month" numFmtId="14">
      <sharedItems containsBlank="1"/>
    </cacheField>
    <cacheField name="Quarter" numFmtId="0">
      <sharedItems containsBlank="1"/>
    </cacheField>
    <cacheField name="RequiredDate" numFmtId="14">
      <sharedItems containsNonDate="0" containsDate="1" containsString="0" containsBlank="1" minDate="2023-01-05T00:00:00" maxDate="2025-10-06T00:00:00"/>
    </cacheField>
    <cacheField name="UpdatedRequiredDate" numFmtId="14">
      <sharedItems containsNonDate="0" containsDate="1" containsString="0" containsBlank="1" minDate="2023-01-05T00:00:00" maxDate="2025-10-06T00:00:00"/>
    </cacheField>
    <cacheField name="LeadTimeDays" numFmtId="0">
      <sharedItems containsString="0" containsBlank="1" containsNumber="1" containsInteger="1" minValue="0" maxValue="30" count="32">
        <n v="30"/>
        <n v="25"/>
        <n v="9"/>
        <n v="10"/>
        <n v="27"/>
        <n v="3"/>
        <n v="13"/>
        <n v="14"/>
        <n v="18"/>
        <n v="2"/>
        <n v="11"/>
        <n v="7"/>
        <n v="29"/>
        <n v="22"/>
        <n v="20"/>
        <n v="0"/>
        <n v="8"/>
        <n v="4"/>
        <n v="6"/>
        <n v="19"/>
        <n v="21"/>
        <n v="15"/>
        <n v="12"/>
        <n v="23"/>
        <n v="26"/>
        <n v="17"/>
        <n v="1"/>
        <n v="28"/>
        <n v="5"/>
        <n v="16"/>
        <n v="24"/>
        <m/>
      </sharedItems>
    </cacheField>
    <cacheField name="Region" numFmtId="0">
      <sharedItems containsBlank="1" count="5">
        <s v="Europe"/>
        <s v="Africa"/>
        <s v="Americas"/>
        <s v="Asia"/>
        <m/>
      </sharedItems>
    </cacheField>
    <cacheField name="Country" numFmtId="0">
      <sharedItems containsBlank="1" count="13">
        <s v="United Kingdom"/>
        <s v="Kenya"/>
        <s v="France"/>
        <s v="USA"/>
        <s v="South Africa"/>
        <s v="Brazil"/>
        <s v="Germany"/>
        <s v="Japan"/>
        <s v="Nigeria"/>
        <s v="India"/>
        <s v="China"/>
        <s v="Canada"/>
        <m/>
      </sharedItems>
    </cacheField>
    <cacheField name="City" numFmtId="0">
      <sharedItems containsBlank="1"/>
    </cacheField>
    <cacheField name="CustomerSegment" numFmtId="0">
      <sharedItems containsBlank="1" count="7">
        <s v="Corporate"/>
        <s v="Small Business"/>
        <s v="Consumer"/>
        <s v="Enterprise"/>
        <s v="Non-Profit"/>
        <s v="Education"/>
        <m/>
      </sharedItems>
    </cacheField>
    <cacheField name="Channel" numFmtId="0">
      <sharedItems containsBlank="1" count="6">
        <s v="Retail"/>
        <s v="Marketplace"/>
        <s v="Direct"/>
        <s v="Distributor"/>
        <s v="Online"/>
        <m/>
      </sharedItems>
    </cacheField>
    <cacheField name="Salesperson" numFmtId="0">
      <sharedItems containsBlank="1" count="16">
        <s v="D. Smith"/>
        <s v="I. Johnson"/>
        <s v="H. Kim"/>
        <s v="J. Njeri"/>
        <s v="B. Chen"/>
        <s v="L. Okafor"/>
        <s v="F. Müller"/>
        <s v="M. Rossi"/>
        <s v="C. Otieno"/>
        <s v="N. Brown"/>
        <s v="E. Garcia"/>
        <s v="O. Wang"/>
        <s v="K. Singh"/>
        <s v="A. Patel"/>
        <s v="G. Dubois"/>
        <m/>
      </sharedItems>
    </cacheField>
    <cacheField name="ProductCategory" numFmtId="0">
      <sharedItems containsBlank="1" count="8">
        <s v="Monitors"/>
        <s v="Networking"/>
        <s v="Accessories"/>
        <s v="Phones"/>
        <s v="Components"/>
        <s v="Laptops"/>
        <s v="Printers"/>
        <m/>
      </sharedItems>
    </cacheField>
    <cacheField name="SKU" numFmtId="0">
      <sharedItems containsBlank="1" count="608">
        <s v="MON-4215"/>
        <s v="NET-9666"/>
        <s v="ACC-1770"/>
        <s v="MON-5444"/>
        <s v="NET-4241"/>
        <s v="ACC-6777"/>
        <s v="PHN-3803"/>
        <s v="CMP-1632"/>
        <s v="PHN-7852"/>
        <s v="PHN-8970"/>
        <s v="CMP-9264"/>
        <s v="MON-2842"/>
        <s v="NET-9989"/>
        <s v="LAP-7320"/>
        <s v="MON-3371"/>
        <s v="CMP-6346"/>
        <s v="LAP-3017"/>
        <s v="PRN-6276"/>
        <s v="PHN-4395"/>
        <s v="CMP-6925"/>
        <s v="PRN-6429"/>
        <s v="NET-1166"/>
        <s v="ACC-5206"/>
        <s v="CMP-9801"/>
        <s v="MON-9216"/>
        <s v="NET-1816"/>
        <s v="MON-2990"/>
        <s v="ACC-1021"/>
        <s v="MON-7207"/>
        <s v="LAP-2218"/>
        <s v="PRN-3917"/>
        <s v="PHN-3819"/>
        <s v="MON-4330"/>
        <s v="PHN-1234"/>
        <s v="CMP-4945"/>
        <s v="PRN-1882"/>
        <s v="PRN-8763"/>
        <s v="PRN-5492"/>
        <s v="PHN-5366"/>
        <s v="CMP-1470"/>
        <s v="PRN-9960"/>
        <s v="MON-7868"/>
        <s v="PHN-3007"/>
        <s v="ACC-3349"/>
        <s v="PHN-1670"/>
        <s v="PHN-4741"/>
        <s v="NET-6387"/>
        <s v="PRN-5813"/>
        <s v="PRN-4170"/>
        <s v="CMP-7256"/>
        <s v="NET-7998"/>
        <s v="PRN-4892"/>
        <s v="PRN-4506"/>
        <s v="CMP-6649"/>
        <s v="MON-4317"/>
        <s v="MON-5276"/>
        <s v="ACC-4511"/>
        <s v="LAP-1066"/>
        <s v="PRN-2991"/>
        <s v="PHN-6307"/>
        <s v="MON-9319"/>
        <s v="ACC-3551"/>
        <s v="PRN-5569"/>
        <s v="LAP-3779"/>
        <s v="ACC-2386"/>
        <s v="NET-9575"/>
        <s v="PRN-3785"/>
        <s v="NET-3033"/>
        <s v="PRN-8657"/>
        <s v="PHN-4556"/>
        <s v="LAP-2846"/>
        <s v="MON-2849"/>
        <s v="MON-8697"/>
        <s v="NET-9832"/>
        <s v="CMP-2136"/>
        <s v="CMP-6495"/>
        <s v="CMP-2335"/>
        <s v="CMP-5633"/>
        <s v="MON-9227"/>
        <s v="ACC-2990"/>
        <s v="MON-7106"/>
        <s v="NET-7588"/>
        <s v="PRN-3775"/>
        <s v="PRN-1141"/>
        <s v="NET-2932"/>
        <s v="CMP-3223"/>
        <s v="ACC-3951"/>
        <s v="CMP-8141"/>
        <s v="MON-2537"/>
        <s v="NET-3689"/>
        <s v="ACC-9820"/>
        <s v="CMP-8675"/>
        <s v="PHN-4356"/>
        <s v="NET-5941"/>
        <s v="NET-8787"/>
        <s v="LAP-7819"/>
        <s v="CMP-2865"/>
        <s v="LAP-1482"/>
        <s v="PHN-8014"/>
        <s v="MON-3350"/>
        <s v="PHN-5383"/>
        <s v="MON-5249"/>
        <s v="PRN-8137"/>
        <s v="ACC-4766"/>
        <s v="NET-8610"/>
        <s v="LAP-4899"/>
        <s v="NET-1804"/>
        <s v="NET-4554"/>
        <s v="LAP-3565"/>
        <s v="PHN-1784"/>
        <s v="ACC-8178"/>
        <s v="PRN-6536"/>
        <s v="PRN-7410"/>
        <s v="PRN-7976"/>
        <s v="ACC-4056"/>
        <s v="PHN-6131"/>
        <s v="NET-2499"/>
        <s v="PHN-7636"/>
        <s v="PHN-2462"/>
        <s v="PRN-8008"/>
        <s v="PHN-6506"/>
        <s v="PHN-3014"/>
        <s v="CMP-7063"/>
        <s v="MON-5259"/>
        <s v="PRN-5666"/>
        <s v="MON-4326"/>
        <s v="ACC-1492"/>
        <s v="MON-9906"/>
        <s v="NET-7924"/>
        <s v="CMP-9498"/>
        <s v="LAP-8119"/>
        <s v="PHN-2875"/>
        <s v="LAP-4607"/>
        <s v="CMP-1072"/>
        <s v="MON-1436"/>
        <s v="CMP-5820"/>
        <s v="MON-3773"/>
        <s v="NET-1846"/>
        <s v="CMP-3693"/>
        <s v="PRN-2542"/>
        <s v="NET-3749"/>
        <s v="PRN-1183"/>
        <s v="PRN-6178"/>
        <s v="PHN-4346"/>
        <s v="NET-6218"/>
        <s v="PRN-4788"/>
        <s v="ACC-5422"/>
        <s v="ACC-7671"/>
        <s v="LAP-8555"/>
        <s v="PRN-8850"/>
        <s v="ACC-4815"/>
        <s v="PRN-6585"/>
        <s v="PHN-5938"/>
        <s v="MON-2296"/>
        <s v="PRN-5005"/>
        <s v="CMP-5658"/>
        <s v="CMP-8270"/>
        <s v="CMP-5138"/>
        <s v="LAP-4517"/>
        <s v="MON-9194"/>
        <s v="PRN-8604"/>
        <s v="PRN-8758"/>
        <s v="LAP-1525"/>
        <s v="ACC-1663"/>
        <s v="CMP-6919"/>
        <s v="ACC-7240"/>
        <s v="NET-6533"/>
        <s v="CMP-5435"/>
        <s v="LAP-9782"/>
        <s v="LAP-4932"/>
        <s v="MON-7626"/>
        <s v="PHN-7019"/>
        <s v="CMP-6352"/>
        <s v="ACC-1731"/>
        <s v="ACC-7906"/>
        <s v="ACC-7938"/>
        <s v="ACC-5780"/>
        <s v="PHN-5675"/>
        <s v="PRN-4787"/>
        <s v="NET-2502"/>
        <s v="LAP-3278"/>
        <s v="PHN-6818"/>
        <s v="LAP-2942"/>
        <s v="PRN-4432"/>
        <s v="MON-1389"/>
        <s v="CMP-4093"/>
        <s v="ACC-1596"/>
        <s v="NET-2439"/>
        <s v="MON-8867"/>
        <s v="LAP-3581"/>
        <s v="LAP-3393"/>
        <s v="MON-5086"/>
        <s v="PHN-6854"/>
        <s v="MON-8939"/>
        <s v="PRN-9322"/>
        <s v="PRN-3690"/>
        <s v="LAP-4551"/>
        <s v="ACC-5260"/>
        <s v="PRN-4983"/>
        <s v="ACC-2902"/>
        <s v="PRN-8041"/>
        <s v="ACC-7047"/>
        <s v="MON-4361"/>
        <s v="MON-4195"/>
        <s v="PRN-1725"/>
        <s v="ACC-2903"/>
        <s v="PRN-2641"/>
        <s v="MON-2465"/>
        <s v="ACC-8242"/>
        <s v="ACC-1249"/>
        <s v="PRN-8175"/>
        <s v="MON-8629"/>
        <s v="LAP-1698"/>
        <s v="PHN-5082"/>
        <s v="ACC-1028"/>
        <s v="NET-3785"/>
        <s v="PHN-2447"/>
        <s v="LAP-7009"/>
        <s v="LAP-2806"/>
        <s v="CMP-8658"/>
        <s v="PHN-3159"/>
        <s v="NET-9003"/>
        <s v="LAP-7979"/>
        <s v="ACC-3385"/>
        <s v="PHN-9107"/>
        <s v="ACC-8094"/>
        <s v="MON-7622"/>
        <s v="MON-6065"/>
        <s v="ACC-1075"/>
        <s v="NET-8856"/>
        <s v="PRN-6776"/>
        <s v="PHN-8891"/>
        <s v="PHN-3482"/>
        <s v="LAP-6160"/>
        <s v="PRN-9488"/>
        <s v="PRN-7049"/>
        <s v="PHN-8057"/>
        <s v="PRN-1276"/>
        <s v="CMP-7617"/>
        <s v="PHN-7132"/>
        <s v="ACC-2364"/>
        <s v="PHN-2787"/>
        <s v="PRN-2749"/>
        <s v="CMP-5311"/>
        <s v="ACC-6543"/>
        <s v="MON-2993"/>
        <s v="PRN-6911"/>
        <s v="ACC-5150"/>
        <s v="PRN-5067"/>
        <s v="MON-4830"/>
        <s v="MON-7511"/>
        <s v="ACC-9038"/>
        <s v="CMP-6529"/>
        <s v="LAP-5763"/>
        <s v="PHN-2013"/>
        <s v="PRN-1786"/>
        <s v="NET-1145"/>
        <s v="MON-4925"/>
        <s v="CMP-1555"/>
        <s v="ACC-3721"/>
        <s v="PHN-5316"/>
        <s v="MON-4789"/>
        <s v="LAP-3905"/>
        <s v="CMP-8659"/>
        <s v="CMP-5946"/>
        <s v="ACC-4587"/>
        <s v="NET-2394"/>
        <s v="PRN-3159"/>
        <s v="NET-4155"/>
        <s v="NET-2628"/>
        <s v="CMP-5006"/>
        <s v="CMP-7563"/>
        <s v="CMP-6392"/>
        <s v="MON-5179"/>
        <s v="PRN-9557"/>
        <s v="NET-7901"/>
        <s v="PRN-6791"/>
        <s v="PHN-2436"/>
        <s v="MON-8422"/>
        <s v="NET-9569"/>
        <s v="PHN-1924"/>
        <s v="CMP-3743"/>
        <s v="PRN-5753"/>
        <s v="LAP-9766"/>
        <s v="PHN-6954"/>
        <s v="MON-4278"/>
        <s v="LAP-9016"/>
        <s v="MON-6287"/>
        <s v="CMP-1009"/>
        <s v="MON-8973"/>
        <s v="ACC-3833"/>
        <s v="LAP-1969"/>
        <s v="NET-1336"/>
        <s v="MON-5749"/>
        <s v="PRN-5591"/>
        <s v="PHN-4566"/>
        <s v="PRN-9787"/>
        <s v="LAP-4666"/>
        <s v="PHN-4644"/>
        <s v="ACC-2867"/>
        <s v="ACC-1060"/>
        <s v="PHN-8483"/>
        <s v="NET-4104"/>
        <s v="ACC-2988"/>
        <s v="CMP-2015"/>
        <s v="MON-6190"/>
        <s v="LAP-9901"/>
        <s v="PHN-4915"/>
        <s v="CMP-7055"/>
        <s v="NET-6269"/>
        <s v="CMP-4610"/>
        <s v="ACC-2735"/>
        <s v="ACC-6594"/>
        <s v="MON-6870"/>
        <s v="CMP-8604"/>
        <s v="LAP-5689"/>
        <s v="ACC-9150"/>
        <s v="ACC-4483"/>
        <s v="MON-4271"/>
        <s v="ACC-3961"/>
        <s v="PHN-8350"/>
        <s v="MON-1572"/>
        <s v="PRN-9624"/>
        <s v="LAP-6342"/>
        <s v="ACC-2761"/>
        <s v="PRN-9793"/>
        <s v="PHN-8072"/>
        <s v="NET-3828"/>
        <s v="NET-1966"/>
        <s v="CMP-4531"/>
        <s v="PRN-1271"/>
        <s v="NET-3432"/>
        <s v="CMP-4970"/>
        <s v="LAP-5531"/>
        <s v="LAP-1946"/>
        <s v="ACC-3103"/>
        <s v="PRN-2409"/>
        <s v="PRN-3014"/>
        <s v="PHN-3800"/>
        <s v="PHN-5445"/>
        <s v="PHN-9465"/>
        <s v="CMP-5208"/>
        <s v="ACC-4124"/>
        <s v="MON-8758"/>
        <s v="PRN-9867"/>
        <s v="PHN-7815"/>
        <s v="MON-5517"/>
        <s v="PRN-6660"/>
        <s v="CMP-1220"/>
        <s v="PHN-5887"/>
        <s v="CMP-8101"/>
        <s v="MON-7602"/>
        <s v="PRN-7303"/>
        <s v="NET-2062"/>
        <s v="ACC-7713"/>
        <s v="PRN-6490"/>
        <s v="MON-1564"/>
        <s v="PHN-2337"/>
        <s v="ACC-9445"/>
        <s v="PRN-1641"/>
        <s v="CMP-9307"/>
        <s v="PRN-9249"/>
        <s v="NET-8561"/>
        <s v="PHN-4677"/>
        <s v="MON-8651"/>
        <s v="ACC-2252"/>
        <s v="PRN-8392"/>
        <s v="LAP-8347"/>
        <s v="ACC-5144"/>
        <s v="ACC-5334"/>
        <s v="PRN-5876"/>
        <s v="LAP-8489"/>
        <s v="PRN-2098"/>
        <s v="NET-3460"/>
        <s v="NET-8761"/>
        <s v="PRN-4453"/>
        <s v="MON-5891"/>
        <s v="MON-7099"/>
        <s v="ACC-5079"/>
        <s v="PHN-2859"/>
        <s v="PRN-2293"/>
        <s v="PRN-9669"/>
        <s v="CMP-5825"/>
        <s v="PRN-4097"/>
        <s v="LAP-9931"/>
        <s v="PHN-2036"/>
        <s v="CMP-5911"/>
        <s v="NET-6036"/>
        <s v="NET-4675"/>
        <s v="LAP-7353"/>
        <s v="PHN-9789"/>
        <s v="MON-6882"/>
        <s v="MON-4373"/>
        <s v="MON-9967"/>
        <s v="MON-2462"/>
        <s v="CMP-8230"/>
        <s v="PHN-3077"/>
        <s v="ACC-6223"/>
        <s v="LAP-1739"/>
        <s v="PRN-4906"/>
        <s v="LAP-9100"/>
        <s v="CMP-2574"/>
        <s v="PHN-8776"/>
        <s v="NET-4228"/>
        <s v="MON-9274"/>
        <s v="CMP-3720"/>
        <s v="ACC-1238"/>
        <s v="MON-3504"/>
        <s v="ACC-7078"/>
        <s v="MON-6053"/>
        <s v="ACC-7838"/>
        <s v="LAP-7056"/>
        <s v="CMP-3875"/>
        <s v="MON-2998"/>
        <s v="ACC-7354"/>
        <s v="NET-9716"/>
        <s v="LAP-5009"/>
        <s v="PRN-1060"/>
        <s v="CMP-8196"/>
        <s v="PHN-7924"/>
        <s v="PHN-3398"/>
        <s v="PHN-1044"/>
        <s v="CMP-5065"/>
        <s v="PHN-8478"/>
        <s v="NET-5196"/>
        <s v="CMP-9001"/>
        <s v="CMP-8390"/>
        <s v="PRN-9378"/>
        <s v="NET-1412"/>
        <s v="PHN-8804"/>
        <s v="MON-3307"/>
        <s v="LAP-3904"/>
        <s v="CMP-8127"/>
        <s v="LAP-6577"/>
        <s v="PRN-1504"/>
        <s v="LAP-4828"/>
        <s v="PHN-4854"/>
        <s v="LAP-9230"/>
        <s v="LAP-8633"/>
        <s v="PRN-6068"/>
        <s v="NET-7166"/>
        <s v="PRN-2829"/>
        <s v="PRN-4893"/>
        <s v="NET-5268"/>
        <s v="MON-1118"/>
        <s v="PHN-1919"/>
        <s v="PRN-7079"/>
        <s v="CMP-2040"/>
        <s v="MON-2100"/>
        <s v="PRN-4911"/>
        <s v="LAP-5078"/>
        <s v="CMP-3313"/>
        <s v="CMP-7371"/>
        <s v="ACC-5177"/>
        <s v="PRN-5264"/>
        <s v="NET-5482"/>
        <s v="CMP-8002"/>
        <s v="MON-5188"/>
        <s v="ACC-9591"/>
        <s v="PRN-5107"/>
        <s v="NET-8329"/>
        <s v="NET-2894"/>
        <s v="LAP-7553"/>
        <s v="CMP-2410"/>
        <s v="MON-6341"/>
        <s v="LAP-7136"/>
        <s v="ACC-9644"/>
        <s v="PRN-2407"/>
        <s v="ACC-3989"/>
        <s v="ACC-9533"/>
        <s v="LAP-3490"/>
        <s v="MON-7943"/>
        <s v="LAP-3679"/>
        <s v="PHN-1717"/>
        <s v="NET-7349"/>
        <s v="ACC-6626"/>
        <s v="MON-2073"/>
        <s v="MON-6699"/>
        <s v="CMP-5211"/>
        <s v="ACC-8999"/>
        <s v="CMP-1223"/>
        <s v="LAP-2378"/>
        <s v="CMP-4630"/>
        <s v="NET-1699"/>
        <s v="ACC-8620"/>
        <s v="PHN-5683"/>
        <s v="CMP-2693"/>
        <s v="ACC-9162"/>
        <s v="ACC-3645"/>
        <s v="ACC-8557"/>
        <s v="LAP-7523"/>
        <s v="NET-8957"/>
        <s v="CMP-6811"/>
        <s v="PRN-2301"/>
        <s v="CMP-2096"/>
        <s v="PRN-7089"/>
        <s v="LAP-3385"/>
        <s v="MON-5424"/>
        <s v="CMP-4159"/>
        <s v="NET-6014"/>
        <s v="NET-3535"/>
        <s v="ACC-1604"/>
        <s v="NET-3850"/>
        <s v="PHN-7488"/>
        <s v="MON-8688"/>
        <s v="MON-5386"/>
        <s v="LAP-2774"/>
        <s v="PRN-1923"/>
        <s v="NET-5523"/>
        <s v="PHN-2341"/>
        <s v="MON-2266"/>
        <s v="MON-4959"/>
        <s v="MON-7869"/>
        <s v="LAP-7099"/>
        <s v="NET-4735"/>
        <s v="LAP-1990"/>
        <s v="CMP-3259"/>
        <s v="LAP-4483"/>
        <s v="CMP-3731"/>
        <s v="PRN-1654"/>
        <s v="LAP-8469"/>
        <s v="MON-3043"/>
        <s v="PHN-6832"/>
        <s v="NET-1282"/>
        <s v="CMP-3978"/>
        <s v="ACC-8098"/>
        <s v="NET-4491"/>
        <s v="CMP-1940"/>
        <s v="PHN-4568"/>
        <s v="PHN-9399"/>
        <s v="ACC-3068"/>
        <s v="PRN-9490"/>
        <s v="MON-1663"/>
        <s v="ACC-3415"/>
        <s v="CMP-9392"/>
        <s v="PRN-8970"/>
        <s v="CMP-3093"/>
        <s v="MON-9733"/>
        <s v="PHN-3971"/>
        <s v="PHN-7274"/>
        <s v="MON-6892"/>
        <s v="LAP-1178"/>
        <s v="PHN-9234"/>
        <s v="LAP-4987"/>
        <s v="CMP-4807"/>
        <s v="ACC-1659"/>
        <s v="NET-9835"/>
        <s v="ACC-1882"/>
        <s v="ACC-9283"/>
        <s v="ACC-8683"/>
        <s v="CMP-6971"/>
        <s v="NET-3728"/>
        <s v="ACC-6348"/>
        <s v="NET-7966"/>
        <s v="NET-2460"/>
        <s v="PRN-7019"/>
        <s v="CMP-3938"/>
        <s v="PHN-1671"/>
        <s v="NET-1645"/>
        <s v="PHN-1197"/>
        <s v="PRN-9975"/>
        <s v="NET-8430"/>
        <s v="NET-1893"/>
        <s v="MON-3745"/>
        <s v="PRN-1086"/>
        <s v="PRN-6131"/>
        <s v="CMP-8851"/>
        <s v="NET-5018"/>
        <s v="LAP-8825"/>
        <s v="LAP-3220"/>
        <s v="PHN-6480"/>
        <s v="LAP-3604"/>
        <s v="NET-5423"/>
        <s v="LAP-6989"/>
        <s v="LAP-1989"/>
        <s v="LAP-1308"/>
        <s v="NET-9177"/>
        <s v="CMP-6898"/>
        <s v="NET-3255"/>
        <s v="CMP-8545"/>
        <s v="NET-1612"/>
        <s v="PHN-6111"/>
        <s v="LAP-5150"/>
        <s v="NET-1228"/>
        <s v="PHN-6866"/>
        <s v="CMP-1156"/>
        <s v="CMP-1559"/>
        <s v="PHN-9677"/>
        <s v="LAP-6750"/>
        <s v="NET-6578"/>
        <s v="LAP-6499"/>
        <s v="PHN-8368"/>
        <s v="MON-9662"/>
        <s v="NET-5195"/>
        <s v="MON-6310"/>
        <s v="LAP-9024"/>
        <s v="PRN-6308"/>
        <s v="PRN-3143"/>
        <s v="NET-5987"/>
        <s v="MON-6962"/>
        <s v="LAP-1619"/>
        <s v="PRN-4732"/>
        <s v="MON-2828"/>
        <s v="LAP-8214"/>
        <s v="PHN-7974"/>
        <s v="NET-2365"/>
        <s v="LAP-9815"/>
        <m/>
      </sharedItems>
    </cacheField>
    <cacheField name="UnitCost" numFmtId="2">
      <sharedItems containsString="0" containsBlank="1" containsNumber="1" minValue="5.34" maxValue="1495.79"/>
    </cacheField>
    <cacheField name="UnitPrice" numFmtId="2">
      <sharedItems containsString="0" containsBlank="1" containsNumber="1" minValue="4.22" maxValue="3661.07"/>
    </cacheField>
    <cacheField name="DiscountPct" numFmtId="10">
      <sharedItems containsString="0" containsBlank="1" containsNumber="1" minValue="0" maxValue="0.29499999999999998"/>
    </cacheField>
    <cacheField name="Disc&gt;30" numFmtId="10">
      <sharedItems containsBlank="1"/>
    </cacheField>
    <cacheField name="Quantity" numFmtId="1">
      <sharedItems containsString="0" containsBlank="1" containsNumber="1" containsInteger="1" minValue="2" maxValue="61"/>
    </cacheField>
    <cacheField name="GrossRevenue" numFmtId="0">
      <sharedItems containsString="0" containsBlank="1" containsNumber="1" minValue="18.659839999999999" maxValue="139277.83032000001"/>
    </cacheField>
    <cacheField name="Cost of Goods" numFmtId="0">
      <sharedItems containsString="0" containsBlank="1" containsNumber="1" minValue="22" maxValue="83258.290000000008"/>
    </cacheField>
    <cacheField name="Gross Profit" numFmtId="0">
      <sharedItems containsString="0" containsBlank="1" containsNumber="1" minValue="-15655.657510000005" maxValue="65188.659999999996"/>
    </cacheField>
    <cacheField name="MarginPct" numFmtId="10">
      <sharedItems containsString="0" containsBlank="1" containsNumber="1" minValue="-0.87167486187856302" maxValue="0.59711724195851179"/>
    </cacheField>
    <cacheField name="Price Band"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7.473130439816" createdVersion="8" refreshedVersion="8" minRefreshableVersion="3" recordCount="610" xr:uid="{6C75D634-1CBA-440D-A46B-33DE0151F115}">
  <cacheSource type="worksheet">
    <worksheetSource ref="A1:AA1048576" sheet="Staging Table"/>
  </cacheSource>
  <cacheFields count="27">
    <cacheField name="OrderID" numFmtId="0">
      <sharedItems containsBlank="1"/>
    </cacheField>
    <cacheField name="OrderDate" numFmtId="14">
      <sharedItems containsNonDate="0" containsDate="1" containsString="0" containsBlank="1" minDate="2023-01-02T00:00:00" maxDate="2025-09-16T00:00:00"/>
    </cacheField>
    <cacheField name="Month" numFmtId="14">
      <sharedItems containsBlank="1"/>
    </cacheField>
    <cacheField name="Quarter" numFmtId="0">
      <sharedItems containsBlank="1"/>
    </cacheField>
    <cacheField name="RequiredDate" numFmtId="14">
      <sharedItems containsNonDate="0" containsDate="1" containsString="0" containsBlank="1" minDate="2023-01-05T00:00:00" maxDate="2025-10-06T00:00:00"/>
    </cacheField>
    <cacheField name="UpdatedRequiredDate" numFmtId="14">
      <sharedItems containsNonDate="0" containsDate="1" containsString="0" containsBlank="1" minDate="2023-01-05T00:00:00" maxDate="2025-10-06T00:00:00"/>
    </cacheField>
    <cacheField name="LeadTimeDays" numFmtId="0">
      <sharedItems containsString="0" containsBlank="1" containsNumber="1" containsInteger="1" minValue="0" maxValue="30"/>
    </cacheField>
    <cacheField name="Region" numFmtId="0">
      <sharedItems containsBlank="1" count="5">
        <s v="Europe"/>
        <s v="Africa"/>
        <s v="Americas"/>
        <s v="Asia"/>
        <m/>
      </sharedItems>
    </cacheField>
    <cacheField name="Country" numFmtId="0">
      <sharedItems containsBlank="1"/>
    </cacheField>
    <cacheField name="City" numFmtId="0">
      <sharedItems containsBlank="1"/>
    </cacheField>
    <cacheField name="CustomerSegment" numFmtId="0">
      <sharedItems containsBlank="1"/>
    </cacheField>
    <cacheField name="Channel" numFmtId="0">
      <sharedItems containsBlank="1"/>
    </cacheField>
    <cacheField name="Salesperson" numFmtId="0">
      <sharedItems containsBlank="1" count="16">
        <s v="D. Smith"/>
        <s v="I. Johnson"/>
        <s v="H. Kim"/>
        <s v="J. Njeri"/>
        <s v="B. Chen"/>
        <s v="L. Okafor"/>
        <s v="F. Müller"/>
        <s v="M. Rossi"/>
        <s v="C. Otieno"/>
        <s v="N. Brown"/>
        <s v="E. Garcia"/>
        <s v="O. Wang"/>
        <s v="K. Singh"/>
        <s v="A. Patel"/>
        <s v="G. Dubois"/>
        <m/>
      </sharedItems>
    </cacheField>
    <cacheField name="ProductCategory" numFmtId="0">
      <sharedItems containsBlank="1"/>
    </cacheField>
    <cacheField name="SKU" numFmtId="0">
      <sharedItems containsBlank="1"/>
    </cacheField>
    <cacheField name="UnitCost" numFmtId="2">
      <sharedItems containsString="0" containsBlank="1" containsNumber="1" minValue="5.34" maxValue="1495.79"/>
    </cacheField>
    <cacheField name="UnitPrice" numFmtId="2">
      <sharedItems containsString="0" containsBlank="1" containsNumber="1" minValue="4.22" maxValue="3661.07"/>
    </cacheField>
    <cacheField name="DiscountPct" numFmtId="10">
      <sharedItems containsString="0" containsBlank="1" containsNumber="1" minValue="0" maxValue="0.29499999999999998" count="216">
        <n v="0.10199999999999999"/>
        <n v="0.13100000000000001"/>
        <n v="7.4999999999999997E-2"/>
        <n v="0.11899999999999999"/>
        <n v="0.11799999999999999"/>
        <n v="0.21199999999999999"/>
        <n v="0.13400000000000001"/>
        <n v="4.7E-2"/>
        <n v="0.13200000000000001"/>
        <n v="0.13700000000000001"/>
        <n v="0.17699999999999999"/>
        <n v="0.151"/>
        <n v="0.14399999999999999"/>
        <n v="7.1999999999999995E-2"/>
        <n v="0.215"/>
        <n v="0.17899999999999999"/>
        <n v="0.17299999999999999"/>
        <n v="0.19400000000000001"/>
        <n v="6.4000000000000001E-2"/>
        <n v="0.14799999999999999"/>
        <n v="0.157"/>
        <n v="4.4999999999999998E-2"/>
        <n v="0.129"/>
        <n v="0.17599999999999999"/>
        <n v="0.114"/>
        <n v="0.28199999999999997"/>
        <n v="6.6000000000000003E-2"/>
        <n v="0.25900000000000001"/>
        <n v="0.22600000000000001"/>
        <n v="4.2999999999999997E-2"/>
        <n v="9.0999999999999998E-2"/>
        <n v="5.7000000000000002E-2"/>
        <n v="0.29499999999999998"/>
        <n v="0"/>
        <n v="0.121"/>
        <n v="0.13500000000000001"/>
        <n v="0.156"/>
        <n v="0.23799999999999999"/>
        <n v="0.12"/>
        <n v="0.128"/>
        <n v="0.122"/>
        <n v="0.107"/>
        <n v="0.16700000000000001"/>
        <n v="0.19700000000000001"/>
        <n v="3.7999999999999999E-2"/>
        <n v="0.214"/>
        <n v="0.10100000000000001"/>
        <n v="8.8999999999999996E-2"/>
        <n v="0.153"/>
        <n v="6.5000000000000002E-2"/>
        <n v="1.4E-2"/>
        <n v="0.20399999999999999"/>
        <n v="0.16300000000000001"/>
        <n v="0.182"/>
        <n v="0.18"/>
        <n v="7.0999999999999994E-2"/>
        <n v="2.1999999999999999E-2"/>
        <n v="3.4000000000000002E-2"/>
        <n v="0.13"/>
        <n v="0.13300000000000001"/>
        <n v="5.6000000000000001E-2"/>
        <n v="0.113"/>
        <n v="2.9000000000000001E-2"/>
        <n v="9.1999999999999998E-2"/>
        <n v="4.9000000000000002E-2"/>
        <n v="0.14000000000000001"/>
        <n v="0.29299999999999998"/>
        <n v="0.20100000000000001"/>
        <n v="0.115"/>
        <n v="0.11600000000000001"/>
        <n v="6.7000000000000004E-2"/>
        <n v="0.19600000000000001"/>
        <n v="0.22900000000000001"/>
        <n v="0.16500000000000001"/>
        <n v="0.187"/>
        <n v="9.4E-2"/>
        <n v="8.4000000000000005E-2"/>
        <n v="0.26500000000000001"/>
        <n v="7.8E-2"/>
        <n v="0.186"/>
        <n v="0.125"/>
        <n v="9.8000000000000004E-2"/>
        <n v="0.24"/>
        <n v="0.188"/>
        <n v="0.16900000000000001"/>
        <n v="0.14199999999999999"/>
        <n v="0.14099999999999999"/>
        <n v="4.1000000000000002E-2"/>
        <n v="5.2999999999999999E-2"/>
        <n v="2.8000000000000001E-2"/>
        <n v="9.2999999999999999E-2"/>
        <n v="4.0000000000000001E-3"/>
        <n v="0.108"/>
        <n v="5.8999999999999997E-2"/>
        <n v="0.111"/>
        <n v="0.14499999999999999"/>
        <n v="0.08"/>
        <n v="0.13900000000000001"/>
        <n v="0.17399999999999999"/>
        <n v="0.105"/>
        <n v="0.192"/>
        <n v="0.104"/>
        <n v="0.222"/>
        <n v="8.5999999999999993E-2"/>
        <n v="0.25700000000000001"/>
        <n v="0.112"/>
        <n v="4.2000000000000003E-2"/>
        <n v="0.25800000000000001"/>
        <n v="8.6999999999999994E-2"/>
        <n v="0.14899999999999999"/>
        <n v="0.22"/>
        <n v="0.20499999999999999"/>
        <n v="0.25"/>
        <n v="0.02"/>
        <n v="6.0000000000000001E-3"/>
        <n v="0.14699999999999999"/>
        <n v="6.8000000000000005E-2"/>
        <n v="0.185"/>
        <n v="5.8000000000000003E-2"/>
        <n v="3.1E-2"/>
        <n v="0.09"/>
        <n v="8.3000000000000004E-2"/>
        <n v="0.20699999999999999"/>
        <n v="0.13600000000000001"/>
        <n v="0.23699999999999999"/>
        <n v="0.22500000000000001"/>
        <n v="0.23899999999999999"/>
        <n v="8.7999999999999995E-2"/>
        <n v="0.20899999999999999"/>
        <n v="0.184"/>
        <n v="7.3999999999999996E-2"/>
        <n v="5.0999999999999997E-2"/>
        <n v="0.23499999999999999"/>
        <n v="0.24099999999999999"/>
        <n v="0.19"/>
        <n v="0.23599999999999999"/>
        <n v="2.5000000000000001E-2"/>
        <n v="0.245"/>
        <n v="0.154"/>
        <n v="0.20300000000000001"/>
        <n v="0.189"/>
        <n v="0.01"/>
        <n v="0.24299999999999999"/>
        <n v="0.17499999999999999"/>
        <n v="0.109"/>
        <n v="0.26600000000000001"/>
        <n v="0.152"/>
        <n v="9.9000000000000005E-2"/>
        <n v="0.123"/>
        <n v="0.159"/>
        <n v="8.2000000000000003E-2"/>
        <n v="4.5999999999999999E-2"/>
        <n v="0.11"/>
        <n v="0.14299999999999999"/>
        <n v="6.3E-2"/>
        <n v="0.216"/>
        <n v="3.2000000000000001E-2"/>
        <n v="0.16"/>
        <n v="0.03"/>
        <n v="0.27200000000000002"/>
        <n v="0.14599999999999999"/>
        <n v="0.106"/>
        <n v="0.126"/>
        <n v="8.9999999999999993E-3"/>
        <n v="7.0000000000000007E-2"/>
        <n v="0.254"/>
        <n v="1.2E-2"/>
        <n v="0.2"/>
        <n v="5.5E-2"/>
        <n v="9.5000000000000001E-2"/>
        <n v="0.13800000000000001"/>
        <n v="0.27800000000000002"/>
        <n v="0.10299999999999999"/>
        <n v="9.6000000000000002E-2"/>
        <n v="4.3999999999999997E-2"/>
        <n v="3.9E-2"/>
        <n v="1.7999999999999999E-2"/>
        <n v="0.21099999999999999"/>
        <n v="0.16800000000000001"/>
        <n v="0.155"/>
        <n v="1.7000000000000001E-2"/>
        <n v="3.6999999999999998E-2"/>
        <n v="0.127"/>
        <n v="0.218"/>
        <n v="6.9000000000000006E-2"/>
        <n v="1.9E-2"/>
        <n v="7.6999999999999999E-2"/>
        <n v="0.16400000000000001"/>
        <n v="7.2999999999999995E-2"/>
        <n v="0.05"/>
        <n v="8.1000000000000003E-2"/>
        <n v="0.255"/>
        <n v="0.17"/>
        <n v="5.3999999999999999E-2"/>
        <n v="0.1"/>
        <n v="0.29199999999999998"/>
        <n v="0.26100000000000001"/>
        <n v="7.0000000000000001E-3"/>
        <n v="0.23"/>
        <n v="0.26300000000000001"/>
        <n v="0.15"/>
        <n v="0.161"/>
        <n v="6.2E-2"/>
        <n v="2.1000000000000001E-2"/>
        <n v="7.5999999999999998E-2"/>
        <n v="0.27"/>
        <n v="0.20799999999999999"/>
        <n v="0.18099999999999999"/>
        <n v="0.183"/>
        <n v="0.158"/>
        <n v="0.17199999999999999"/>
        <n v="0.17100000000000001"/>
        <n v="3.5000000000000003E-2"/>
        <n v="0.248"/>
        <n v="0.25600000000000001"/>
        <m/>
      </sharedItems>
    </cacheField>
    <cacheField name="Disc&gt;30" numFmtId="10">
      <sharedItems containsBlank="1"/>
    </cacheField>
    <cacheField name="Quantity" numFmtId="1">
      <sharedItems containsString="0" containsBlank="1" containsNumber="1" containsInteger="1" minValue="2" maxValue="61"/>
    </cacheField>
    <cacheField name="GrossRevenue" numFmtId="0">
      <sharedItems containsString="0" containsBlank="1" containsNumber="1" minValue="18.659839999999999" maxValue="139277.83032000001"/>
    </cacheField>
    <cacheField name="Cost of Goods" numFmtId="0">
      <sharedItems containsString="0" containsBlank="1" containsNumber="1" minValue="22" maxValue="83258.290000000008"/>
    </cacheField>
    <cacheField name="Gross Profit" numFmtId="0">
      <sharedItems containsString="0" containsBlank="1" containsNumber="1" minValue="-15655.657510000005" maxValue="65188.659999999996"/>
    </cacheField>
    <cacheField name="MarginPct" numFmtId="10">
      <sharedItems containsString="0" containsBlank="1" containsNumber="1" minValue="-0.87167486187856302" maxValue="0.59711724195851179"/>
    </cacheField>
    <cacheField name="Price Band" numFmtId="0">
      <sharedItems containsBlank="1"/>
    </cacheField>
    <cacheField name="Met Target" numFmtId="0">
      <sharedItems containsBlank="1"/>
    </cacheField>
    <cacheField name="Disc&gt;20" numFmtId="0">
      <sharedItems containsBlank="1" count="3">
        <s v="Low Discount"/>
        <s v="High Discount"/>
        <m/>
      </sharedItems>
    </cacheField>
  </cacheFields>
  <extLst>
    <ext xmlns:x14="http://schemas.microsoft.com/office/spreadsheetml/2009/9/main" uri="{725AE2AE-9491-48be-B2B4-4EB974FC3084}">
      <x14:pivotCacheDefinition pivotCacheId="57901112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7.564175347223" createdVersion="8" refreshedVersion="8" minRefreshableVersion="3" recordCount="610" xr:uid="{484C62B3-038C-41B1-A0A5-3E048152A2E4}">
  <cacheSource type="worksheet">
    <worksheetSource ref="A1:AF1048576" sheet="Staging Table"/>
  </cacheSource>
  <cacheFields count="35">
    <cacheField name="OrderID" numFmtId="0">
      <sharedItems containsBlank="1" count="610">
        <s v="ORD-2024-930679"/>
        <s v="ORD-2023-373538"/>
        <s v="ORD-2025-639542"/>
        <s v="ORD-2024-207096"/>
        <s v="ORD-2024-919471"/>
        <s v="ORD-2025-667201"/>
        <s v="ORD-2025-541048"/>
        <s v="ORD-2023-286994"/>
        <s v="ORD-2024-516704"/>
        <s v="ORD-2023-251563"/>
        <s v="ORD-2024-960952"/>
        <s v="ORD-2025-946490"/>
        <s v="ORD-2023-235230"/>
        <s v="ORD-2023-835226"/>
        <s v="ORD-2025-488349"/>
        <s v="ORD-2025-537785"/>
        <s v="ORD-2025-728935"/>
        <s v="ORD-2023-112666"/>
        <s v="ORD-2025-177994"/>
        <s v="ORD-2023-603650"/>
        <s v="ORD-2025-698069"/>
        <s v="ORD-2024-403664"/>
        <s v="ORD-2023-704111"/>
        <s v="ORD-2024-206121"/>
        <s v="ORD-2025-778145"/>
        <s v="ORD-2023-766015"/>
        <s v="ORD-2023-258768"/>
        <s v="ORD-2024-232632"/>
        <s v="ORD-2023-856322"/>
        <s v="ORD-2025-956101"/>
        <s v="ORD-2024-207792"/>
        <s v="ORD-2025-908258"/>
        <s v="ORD-2024-260775"/>
        <s v="ORD-2023-274037"/>
        <s v="ORD-2023-340056"/>
        <s v="ORD-2025-460466"/>
        <s v="ORD-2025-752845"/>
        <s v="ORD-2024-866535"/>
        <s v="ORD-2023-378676"/>
        <s v="ORD-2024-838925"/>
        <s v="ORD-2024-225829"/>
        <s v="ORD-2025-586799"/>
        <s v="ORD-2025-926547"/>
        <s v="ORD-2025-828263"/>
        <s v="ORD-2023-898009"/>
        <s v="ORD-2024-853298"/>
        <s v="ORD-2024-792558"/>
        <s v="ORD-2024-973420"/>
        <s v="ORD-2024-788105"/>
        <s v="ORD-2023-920483"/>
        <s v="ORD-2024-581530"/>
        <s v="ORD-2024-745424"/>
        <s v="ORD-2023-864121"/>
        <s v="ORD-2023-539967"/>
        <s v="ORD-2025-419532"/>
        <s v="ORD-2025-138578"/>
        <s v="ORD-2025-649239"/>
        <s v="ORD-2024-641220"/>
        <s v="ORD-2025-415018"/>
        <s v="ORD-2025-653781"/>
        <s v="ORD-2025-861401"/>
        <s v="ORD-2023-271918"/>
        <s v="ORD-2024-266562"/>
        <s v="ORD-2025-578007"/>
        <s v="ORD-2024-478165"/>
        <s v="ORD-2024-892908"/>
        <s v="ORD-2024-970848"/>
        <s v="ORD-2023-975863"/>
        <s v="ORD-2025-269934"/>
        <s v="ORD-2025-168148"/>
        <s v="ORD-2024-897622"/>
        <s v="ORD-2024-585443"/>
        <s v="ORD-2023-659070"/>
        <s v="ORD-2024-972318"/>
        <s v="ORD-2023-603238"/>
        <s v="ORD-2025-169093"/>
        <s v="ORD-2024-382152"/>
        <s v="ORD-2023-125739"/>
        <s v="ORD-2023-240507"/>
        <s v="ORD-2024-247032"/>
        <s v="ORD-2025-473192"/>
        <s v="ORD-2024-197852"/>
        <s v="ORD-2025-306903"/>
        <s v="ORD-2024-423853"/>
        <s v="ORD-2024-496601"/>
        <s v="ORD-2024-961501"/>
        <s v="ORD-2023-253245"/>
        <s v="ORD-2024-851883"/>
        <s v="ORD-2023-613317"/>
        <s v="ORD-2023-713614"/>
        <s v="ORD-2024-166150"/>
        <s v="ORD-2023-799597"/>
        <s v="ORD-2024-605518"/>
        <s v="ORD-2023-177794"/>
        <s v="ORD-2023-811823"/>
        <s v="ORD-2023-419187"/>
        <s v="ORD-2025-114382"/>
        <s v="ORD-2023-157993"/>
        <s v="ORD-2023-613287"/>
        <s v="ORD-2024-811752"/>
        <s v="ORD-2025-591006"/>
        <s v="ORD-2024-569164"/>
        <s v="ORD-2025-652467"/>
        <s v="ORD-2023-755337"/>
        <s v="ORD-2025-907040"/>
        <s v="ORD-2023-191563"/>
        <s v="ORD-2025-541501"/>
        <s v="ORD-2024-719055"/>
        <s v="ORD-2023-867166"/>
        <s v="ORD-2023-897079"/>
        <s v="ORD-2023-660608"/>
        <s v="ORD-2023-651638"/>
        <s v="ORD-2023-735274"/>
        <s v="ORD-2024-792137"/>
        <s v="ORD-2025-501927"/>
        <s v="ORD-2023-363031"/>
        <s v="ORD-2023-156396"/>
        <s v="ORD-2025-155182"/>
        <s v="ORD-2025-252117"/>
        <s v="ORD-2023-769774"/>
        <s v="ORD-2023-581799"/>
        <s v="ORD-2023-967239"/>
        <s v="ORD-2023-713375"/>
        <s v="ORD-2023-987700"/>
        <s v="ORD-2024-720756"/>
        <s v="ORD-2023-602648"/>
        <s v="ORD-2023-375011"/>
        <s v="ORD-2023-848013"/>
        <s v="ORD-2024-136321"/>
        <s v="ORD-2024-250862"/>
        <s v="ORD-2025-512310"/>
        <s v="ORD-2025-354346"/>
        <s v="ORD-2024-878493"/>
        <s v="ORD-2024-942981"/>
        <s v="ORD-2025-484073"/>
        <s v="ORD-2025-192876"/>
        <s v="ORD-2023-548934"/>
        <s v="ORD-2024-800947"/>
        <s v="ORD-2025-487261"/>
        <s v="ORD-2023-128295"/>
        <s v="ORD-2025-364852"/>
        <s v="ORD-2024-307849"/>
        <s v="ORD-2025-246470"/>
        <s v="ORD-2024-446030"/>
        <s v="ORD-2025-189846"/>
        <s v="ORD-2024-164288"/>
        <s v="ORD-2025-939953"/>
        <s v="ORD-2024-787018"/>
        <s v="ORD-2023-723587"/>
        <s v="ORD-2025-866565"/>
        <s v="ORD-2023-727290"/>
        <s v="ORD-2024-872291"/>
        <s v="ORD-2023-597666"/>
        <s v="ORD-2023-749324"/>
        <s v="ORD-2023-517216"/>
        <s v="ORD-2025-496178"/>
        <s v="ORD-2024-275203"/>
        <s v="ORD-2024-153053"/>
        <s v="ORD-2025-640677"/>
        <s v="ORD-2023-427304"/>
        <s v="ORD-2024-999607"/>
        <s v="ORD-2024-834983"/>
        <s v="ORD-2023-825495"/>
        <s v="ORD-2025-840976"/>
        <s v="ORD-2024-170313"/>
        <s v="ORD-2024-578646"/>
        <s v="ORD-2023-215819"/>
        <s v="ORD-2024-792353"/>
        <s v="ORD-2023-430904"/>
        <s v="ORD-2023-552115"/>
        <s v="ORD-2025-184754"/>
        <s v="ORD-2025-515515"/>
        <s v="ORD-2023-883066"/>
        <s v="ORD-2023-609394"/>
        <s v="ORD-2025-856556"/>
        <s v="ORD-2024-210687"/>
        <s v="ORD-2024-289089"/>
        <s v="ORD-2023-290279"/>
        <s v="ORD-2025-417942"/>
        <s v="ORD-2023-689428"/>
        <s v="ORD-2025-659650"/>
        <s v="ORD-2025-244832"/>
        <s v="ORD-2023-610470"/>
        <s v="ORD-2023-813340"/>
        <s v="ORD-2023-192324"/>
        <s v="ORD-2024-427031"/>
        <s v="ORD-2025-231184"/>
        <s v="ORD-2025-703623"/>
        <s v="ORD-2023-256951"/>
        <s v="ORD-2024-433936"/>
        <s v="ORD-2024-355095"/>
        <s v="ORD-2023-480975"/>
        <s v="ORD-2023-880296"/>
        <s v="ORD-2024-855073"/>
        <s v="ORD-2024-350100"/>
        <s v="ORD-2024-358795"/>
        <s v="ORD-2023-386663"/>
        <s v="ORD-2023-884192"/>
        <s v="ORD-2023-653343"/>
        <s v="ORD-2023-925146"/>
        <s v="ORD-2025-411385"/>
        <s v="ORD-2023-824839"/>
        <s v="ORD-2024-961756"/>
        <s v="ORD-2024-220234"/>
        <s v="ORD-2024-749242"/>
        <s v="ORD-2024-375848"/>
        <s v="ORD-2023-890605"/>
        <s v="ORD-2024-364080"/>
        <s v="ORD-2023-913592"/>
        <s v="ORD-2023-960380"/>
        <s v="ORD-2025-486350"/>
        <s v="ORD-2023-596758"/>
        <s v="ORD-2024-336584"/>
        <s v="ORD-2023-937291"/>
        <s v="ORD-2024-968374"/>
        <s v="ORD-2025-649633"/>
        <s v="ORD-2025-281413"/>
        <s v="ORD-2023-964434"/>
        <s v="ORD-2024-542244"/>
        <s v="ORD-2023-676553"/>
        <s v="ORD-2025-909340"/>
        <s v="ORD-2023-382017"/>
        <s v="ORD-2025-737787"/>
        <s v="ORD-2024-212990"/>
        <s v="ORD-2023-399631"/>
        <s v="ORD-2024-567435"/>
        <s v="ORD-2025-678328"/>
        <s v="ORD-2024-398783"/>
        <s v="ORD-2023-126505"/>
        <s v="ORD-2024-655710"/>
        <s v="ORD-2023-502205"/>
        <s v="ORD-2024-885858"/>
        <s v="ORD-2023-378104"/>
        <s v="ORD-2025-526752"/>
        <s v="ORD-2023-276806"/>
        <s v="ORD-2023-931633"/>
        <s v="ORD-2023-949710"/>
        <s v="ORD-2024-902741"/>
        <s v="ORD-2025-898022"/>
        <s v="ORD-2024-692673"/>
        <s v="ORD-2023-747341"/>
        <s v="ORD-2023-144816"/>
        <s v="ORD-2025-757957"/>
        <s v="ORD-2024-777623"/>
        <s v="ORD-2025-993993"/>
        <s v="ORD-2024-211453"/>
        <s v="ORD-2025-779530"/>
        <s v="ORD-2024-356812"/>
        <s v="ORD-2025-337268"/>
        <s v="ORD-2023-294716"/>
        <s v="ORD-2023-573656"/>
        <s v="ORD-2023-197661"/>
        <s v="ORD-2024-997336"/>
        <s v="ORD-2024-310809"/>
        <s v="ORD-2023-619385"/>
        <s v="ORD-2023-133848"/>
        <s v="ORD-2023-568013"/>
        <s v="ORD-2024-728474"/>
        <s v="ORD-2025-765220"/>
        <s v="ORD-2023-249805"/>
        <s v="ORD-2024-468615"/>
        <s v="ORD-2025-278048"/>
        <s v="ORD-2024-837651"/>
        <s v="ORD-2025-635337"/>
        <s v="ORD-2023-369150"/>
        <s v="ORD-2024-389336"/>
        <s v="ORD-2023-868460"/>
        <s v="ORD-2023-309373"/>
        <s v="ORD-2025-947929"/>
        <s v="ORD-2023-521818"/>
        <s v="ORD-2024-320972"/>
        <s v="ORD-2024-756884"/>
        <s v="ORD-2024-664046"/>
        <s v="ORD-2024-909942"/>
        <s v="ORD-2025-650719"/>
        <s v="ORD-2024-510520"/>
        <s v="ORD-2025-636162"/>
        <s v="ORD-2024-206081"/>
        <s v="ORD-2024-566589"/>
        <s v="ORD-2024-419248"/>
        <s v="ORD-2024-532184"/>
        <s v="ORD-2023-349264"/>
        <s v="ORD-2025-487025"/>
        <s v="ORD-2025-150713"/>
        <s v="ORD-2023-501220"/>
        <s v="ORD-2025-725646"/>
        <s v="ORD-2023-212701"/>
        <s v="ORD-2025-983096"/>
        <s v="ORD-2024-202877"/>
        <s v="ORD-2023-722117"/>
        <s v="ORD-2024-604471"/>
        <s v="ORD-2023-173313"/>
        <s v="ORD-2024-689872"/>
        <s v="ORD-2025-822030"/>
        <s v="ORD-2024-343877"/>
        <s v="ORD-2024-626750"/>
        <s v="ORD-2025-246692"/>
        <s v="ORD-2025-820255"/>
        <s v="ORD-2023-453699"/>
        <s v="ORD-2023-239789"/>
        <s v="ORD-2023-406606"/>
        <s v="ORD-2023-181257"/>
        <s v="ORD-2023-933238"/>
        <s v="ORD-2023-619570"/>
        <s v="ORD-2023-835010"/>
        <s v="ORD-2024-170021"/>
        <s v="ORD-2024-833375"/>
        <s v="ORD-2024-678110"/>
        <s v="ORD-2024-868223"/>
        <s v="ORD-2025-125517"/>
        <s v="ORD-2025-680118"/>
        <s v="ORD-2024-357368"/>
        <s v="ORD-2024-605629"/>
        <s v="ORD-2023-808024"/>
        <s v="ORD-2024-347736"/>
        <s v="ORD-2023-752962"/>
        <s v="ORD-2024-207669"/>
        <s v="ORD-2023-548874"/>
        <s v="ORD-2025-922513"/>
        <s v="ORD-2024-503082"/>
        <s v="ORD-2025-580047"/>
        <s v="ORD-2025-526650"/>
        <s v="ORD-2023-431328"/>
        <s v="ORD-2023-472078"/>
        <s v="ORD-2023-497686"/>
        <s v="ORD-2024-287210"/>
        <s v="ORD-2024-550400"/>
        <s v="ORD-2023-525643"/>
        <s v="ORD-2023-594955"/>
        <s v="ORD-2025-626047"/>
        <s v="ORD-2023-841426"/>
        <s v="ORD-2023-588455"/>
        <s v="ORD-2025-608069"/>
        <s v="ORD-2025-762212"/>
        <s v="ORD-2024-760799"/>
        <s v="ORD-2023-580751"/>
        <s v="ORD-2024-921935"/>
        <s v="ORD-2024-381197"/>
        <s v="ORD-2024-988736"/>
        <s v="ORD-2025-509940"/>
        <s v="ORD-2024-219735"/>
        <s v="ORD-2025-683043"/>
        <s v="ORD-2023-382272"/>
        <s v="ORD-2023-842488"/>
        <s v="ORD-2024-640340"/>
        <s v="ORD-2025-683247"/>
        <s v="ORD-2024-571797"/>
        <s v="ORD-2023-334213"/>
        <s v="ORD-2024-892173"/>
        <s v="ORD-2025-779659"/>
        <s v="ORD-2025-881624"/>
        <s v="ORD-2024-155337"/>
        <s v="ORD-2023-304451"/>
        <s v="ORD-2024-599522"/>
        <s v="ORD-2023-308124"/>
        <s v="ORD-2023-107265"/>
        <s v="ORD-2023-374486"/>
        <s v="ORD-2024-947056"/>
        <s v="ORD-2023-536542"/>
        <s v="ORD-2023-621393"/>
        <s v="ORD-2023-700699"/>
        <s v="ORD-2025-191328"/>
        <s v="ORD-2023-664790"/>
        <s v="ORD-2024-588972"/>
        <s v="ORD-2023-921939"/>
        <s v="ORD-2024-745822"/>
        <s v="ORD-2025-762301"/>
        <s v="ORD-2024-890180"/>
        <s v="ORD-2024-102866"/>
        <s v="ORD-2025-332931"/>
        <s v="ORD-2023-479747"/>
        <s v="ORD-2025-789245"/>
        <s v="ORD-2024-939873"/>
        <s v="ORD-2025-289139"/>
        <s v="ORD-2023-575584"/>
        <s v="ORD-2024-764468"/>
        <s v="ORD-2024-389102"/>
        <s v="ORD-2025-485946"/>
        <s v="ORD-2024-687073"/>
        <s v="ORD-2023-302041"/>
        <s v="ORD-2025-831576"/>
        <s v="ORD-2024-925626"/>
        <s v="ORD-2023-343322"/>
        <s v="ORD-2024-892879"/>
        <s v="ORD-2024-134084"/>
        <s v="ORD-2024-366010"/>
        <s v="ORD-2023-855675"/>
        <s v="ORD-2024-979401"/>
        <s v="ORD-2023-586275"/>
        <s v="ORD-2024-817997"/>
        <s v="ORD-2025-149156"/>
        <s v="ORD-2024-668926"/>
        <s v="ORD-2023-172095"/>
        <s v="ORD-2023-545150"/>
        <s v="ORD-2024-635626"/>
        <s v="ORD-2024-647571"/>
        <s v="ORD-2023-946143"/>
        <s v="ORD-2024-993481"/>
        <s v="ORD-2024-277241"/>
        <s v="ORD-2024-713332"/>
        <s v="ORD-2024-331408"/>
        <s v="ORD-2024-527858"/>
        <s v="ORD-2023-281890"/>
        <s v="ORD-2025-474368"/>
        <s v="ORD-2024-402240"/>
        <s v="ORD-2025-823055"/>
        <s v="ORD-2024-836421"/>
        <s v="ORD-2023-261081"/>
        <s v="ORD-2024-972999"/>
        <s v="ORD-2023-912395"/>
        <s v="ORD-2023-356427"/>
        <s v="ORD-2024-704056"/>
        <s v="ORD-2024-499009"/>
        <s v="ORD-2024-553449"/>
        <s v="ORD-2025-248586"/>
        <s v="ORD-2024-555229"/>
        <s v="ORD-2025-548982"/>
        <s v="ORD-2024-855600"/>
        <s v="ORD-2023-744942"/>
        <s v="ORD-2024-594592"/>
        <s v="ORD-2023-178249"/>
        <s v="ORD-2024-251426"/>
        <s v="ORD-2025-276968"/>
        <s v="ORD-2025-705398"/>
        <s v="ORD-2023-623293"/>
        <s v="ORD-2025-960931"/>
        <s v="ORD-2024-243988"/>
        <s v="ORD-2025-718992"/>
        <s v="ORD-2024-390951"/>
        <s v="ORD-2024-296582"/>
        <s v="ORD-2024-805860"/>
        <s v="ORD-2023-369160"/>
        <s v="ORD-2023-159821"/>
        <s v="ORD-2024-964950"/>
        <s v="ORD-2024-442776"/>
        <s v="ORD-2023-292714"/>
        <s v="ORD-2025-646342"/>
        <s v="ORD-2023-562894"/>
        <s v="ORD-2024-223618"/>
        <s v="ORD-2024-907733"/>
        <s v="ORD-2024-687100"/>
        <s v="ORD-2025-330203"/>
        <s v="ORD-2024-301260"/>
        <s v="ORD-2024-333192"/>
        <s v="ORD-2024-966651"/>
        <s v="ORD-2024-766980"/>
        <s v="ORD-2024-331226"/>
        <s v="ORD-2023-243704"/>
        <s v="ORD-2024-584090"/>
        <s v="ORD-2024-329104"/>
        <s v="ORD-2024-783321"/>
        <s v="ORD-2024-776337"/>
        <s v="ORD-2024-202166"/>
        <s v="ORD-2023-809913"/>
        <s v="ORD-2024-638884"/>
        <s v="ORD-2025-532859"/>
        <s v="ORD-2025-915869"/>
        <s v="ORD-2024-906395"/>
        <s v="ORD-2024-247979"/>
        <s v="ORD-2025-898843"/>
        <s v="ORD-2023-664749"/>
        <s v="ORD-2025-331237"/>
        <s v="ORD-2023-867175"/>
        <s v="ORD-2025-803803"/>
        <s v="ORD-2024-206311"/>
        <s v="ORD-2024-444710"/>
        <s v="ORD-2025-662997"/>
        <s v="ORD-2023-674887"/>
        <s v="ORD-2025-874124"/>
        <s v="ORD-2025-766923"/>
        <s v="ORD-2025-944081"/>
        <s v="ORD-2025-440093"/>
        <s v="ORD-2024-192263"/>
        <s v="ORD-2023-422918"/>
        <s v="ORD-2024-647473"/>
        <s v="ORD-2023-139236"/>
        <s v="ORD-2024-901115"/>
        <s v="ORD-2023-854471"/>
        <s v="ORD-2023-884625"/>
        <s v="ORD-2023-450877"/>
        <s v="ORD-2025-629393"/>
        <s v="ORD-2023-244375"/>
        <s v="ORD-2023-211715"/>
        <s v="ORD-2023-638181"/>
        <s v="ORD-2023-594700"/>
        <s v="ORD-2024-257550"/>
        <s v="ORD-2025-673091"/>
        <s v="ORD-2023-271836"/>
        <s v="ORD-2024-451005"/>
        <s v="ORD-2023-780206"/>
        <s v="ORD-2023-667815"/>
        <s v="ORD-2025-929414"/>
        <s v="ORD-2024-915495"/>
        <s v="ORD-2024-851993"/>
        <s v="ORD-2023-109927"/>
        <s v="ORD-2023-368449"/>
        <s v="ORD-2024-201376"/>
        <s v="ORD-2025-745263"/>
        <s v="ORD-2023-715175"/>
        <s v="ORD-2025-795385"/>
        <s v="ORD-2023-728177"/>
        <s v="ORD-2025-188059"/>
        <s v="ORD-2025-281062"/>
        <s v="ORD-2024-510591"/>
        <s v="ORD-2024-237478"/>
        <s v="ORD-2024-626925"/>
        <s v="ORD-2024-886939"/>
        <s v="ORD-2024-544865"/>
        <s v="ORD-2023-184577"/>
        <s v="ORD-2024-948800"/>
        <s v="ORD-2024-286833"/>
        <s v="ORD-2023-906481"/>
        <s v="ORD-2025-964661"/>
        <s v="ORD-2023-825836"/>
        <s v="ORD-2025-700847"/>
        <s v="ORD-2023-885216"/>
        <s v="ORD-2025-480172"/>
        <s v="ORD-2025-624006"/>
        <s v="ORD-2024-594527"/>
        <s v="ORD-2025-997421"/>
        <s v="ORD-2023-974506"/>
        <s v="ORD-2024-515105"/>
        <s v="ORD-2023-867285"/>
        <s v="ORD-2024-580808"/>
        <s v="ORD-2023-619493"/>
        <s v="ORD-2024-686712"/>
        <s v="ORD-2025-843974"/>
        <s v="ORD-2024-140633"/>
        <s v="ORD-2023-961864"/>
        <s v="ORD-2024-438404"/>
        <s v="ORD-2024-819979"/>
        <s v="ORD-2023-944052"/>
        <s v="ORD-2025-949776"/>
        <s v="ORD-2023-390998"/>
        <s v="ORD-2023-488227"/>
        <s v="ORD-2023-632893"/>
        <s v="ORD-2023-868734"/>
        <s v="ORD-2024-500890"/>
        <s v="ORD-2024-500511"/>
        <s v="ORD-2023-732585"/>
        <s v="ORD-2023-195665"/>
        <s v="ORD-2024-589570"/>
        <s v="ORD-2023-569862"/>
        <s v="ORD-2025-418232"/>
        <s v="ORD-2024-500109"/>
        <s v="ORD-2023-474313"/>
        <s v="ORD-2025-146850"/>
        <s v="ORD-2024-862371"/>
        <s v="ORD-2023-521280"/>
        <s v="ORD-2023-957692"/>
        <s v="ORD-2024-215294"/>
        <s v="ORD-2025-779574"/>
        <s v="ORD-2024-732543"/>
        <s v="ORD-2024-468501"/>
        <s v="ORD-2025-474710"/>
        <s v="ORD-2023-561823"/>
        <s v="ORD-2023-701153"/>
        <s v="ORD-2024-353078"/>
        <s v="ORD-2024-508213"/>
        <s v="ORD-2025-564184"/>
        <s v="ORD-2023-290237"/>
        <s v="ORD-2025-233883"/>
        <s v="ORD-2023-987081"/>
        <s v="ORD-2025-685236"/>
        <s v="ORD-2024-105586"/>
        <s v="ORD-2023-576840"/>
        <s v="ORD-2024-332076"/>
        <s v="ORD-2025-752192"/>
        <s v="ORD-2025-132174"/>
        <s v="ORD-2023-159379"/>
        <s v="ORD-2024-651852"/>
        <s v="ORD-2025-417336"/>
        <s v="ORD-2025-254721"/>
        <s v="ORD-2023-573146"/>
        <s v="ORD-2023-451931"/>
        <s v="ORD-2025-931538"/>
        <s v="ORD-2023-286720"/>
        <s v="ORD-2025-312803"/>
        <s v="ORD-2024-437164"/>
        <s v="ORD-2025-588029"/>
        <s v="ORD-2023-867836"/>
        <s v="ORD-2023-927385"/>
        <s v="ORD-2025-678688"/>
        <s v="ORD-2024-536442"/>
        <s v="ORD-2024-771210"/>
        <s v="ORD-2023-434071"/>
        <s v="ORD-2024-819778"/>
        <s v="ORD-2025-137394"/>
        <s v="ORD-2024-167215"/>
        <s v="ORD-2024-572312"/>
        <s v="ORD-2023-132101"/>
        <s v="ORD-2024-465898"/>
        <s v="ORD-2023-472050"/>
        <s v="ORD-2025-328504"/>
        <s v="ORD-2025-677880"/>
        <s v="ORD-2023-888245"/>
        <s v="ORD-2024-165942"/>
        <s v="ORD-2023-163610"/>
        <s v="ORD-2024-468655"/>
        <s v="ORD-2024-998320"/>
        <s v="ORD-2024-341535"/>
        <s v="ORD-2025-845715"/>
        <s v="ORD-2025-398335"/>
        <s v="ORD-2023-640022"/>
        <s v="ORD-2023-869884"/>
        <s v="ORD-2024-474999"/>
        <s v="ORD-2024-690270"/>
        <s v="ORD-2024-548345"/>
        <s v="ORD-2024-798002"/>
        <m/>
      </sharedItems>
    </cacheField>
    <cacheField name="OrderDate" numFmtId="14">
      <sharedItems containsNonDate="0" containsDate="1" containsString="0" containsBlank="1" minDate="2023-01-02T00:00:00" maxDate="2025-09-16T00:00:00" count="458">
        <d v="2024-12-17T00:00:00"/>
        <d v="2023-02-28T00:00:00"/>
        <d v="2025-06-09T00:00:00"/>
        <d v="2024-03-26T00:00:00"/>
        <d v="2024-06-29T00:00:00"/>
        <d v="2025-09-15T00:00:00"/>
        <d v="2025-04-04T00:00:00"/>
        <d v="2023-02-24T00:00:00"/>
        <d v="2024-03-01T00:00:00"/>
        <d v="2023-05-11T00:00:00"/>
        <d v="2024-02-03T00:00:00"/>
        <d v="2025-04-22T00:00:00"/>
        <d v="2023-08-30T00:00:00"/>
        <d v="2023-10-26T00:00:00"/>
        <d v="2025-04-23T00:00:00"/>
        <d v="2025-08-05T00:00:00"/>
        <d v="2025-02-28T00:00:00"/>
        <d v="2023-01-15T00:00:00"/>
        <d v="2025-03-24T00:00:00"/>
        <d v="2023-05-23T00:00:00"/>
        <d v="2025-06-03T00:00:00"/>
        <d v="2024-05-23T00:00:00"/>
        <d v="2023-05-17T00:00:00"/>
        <d v="2024-02-18T00:00:00"/>
        <d v="2023-04-13T00:00:00"/>
        <d v="2023-06-29T00:00:00"/>
        <d v="2024-02-14T00:00:00"/>
        <d v="2023-01-29T00:00:00"/>
        <d v="2025-07-09T00:00:00"/>
        <d v="2024-09-03T00:00:00"/>
        <d v="2025-06-21T00:00:00"/>
        <d v="2024-10-17T00:00:00"/>
        <d v="2023-08-15T00:00:00"/>
        <d v="2023-04-26T00:00:00"/>
        <d v="2025-02-07T00:00:00"/>
        <d v="2025-03-30T00:00:00"/>
        <d v="2024-12-04T00:00:00"/>
        <d v="2023-05-03T00:00:00"/>
        <d v="2024-01-28T00:00:00"/>
        <d v="2024-11-07T00:00:00"/>
        <d v="2025-07-14T00:00:00"/>
        <d v="2025-03-11T00:00:00"/>
        <d v="2025-05-17T00:00:00"/>
        <d v="2023-05-04T00:00:00"/>
        <d v="2024-03-06T00:00:00"/>
        <d v="2024-10-16T00:00:00"/>
        <d v="2024-05-12T00:00:00"/>
        <d v="2024-11-30T00:00:00"/>
        <d v="2023-07-02T00:00:00"/>
        <d v="2024-09-07T00:00:00"/>
        <d v="2024-08-22T00:00:00"/>
        <d v="2023-03-27T00:00:00"/>
        <d v="2023-07-09T00:00:00"/>
        <d v="2025-08-06T00:00:00"/>
        <d v="2025-04-09T00:00:00"/>
        <d v="2025-01-17T00:00:00"/>
        <d v="2024-05-10T00:00:00"/>
        <d v="2025-01-22T00:00:00"/>
        <d v="2025-01-11T00:00:00"/>
        <d v="2025-04-01T00:00:00"/>
        <d v="2023-09-25T00:00:00"/>
        <d v="2024-11-27T00:00:00"/>
        <d v="2025-01-21T00:00:00"/>
        <d v="2024-12-05T00:00:00"/>
        <d v="2024-07-13T00:00:00"/>
        <d v="2023-11-20T00:00:00"/>
        <d v="2025-03-29T00:00:00"/>
        <d v="2024-03-30T00:00:00"/>
        <d v="2024-08-17T00:00:00"/>
        <d v="2023-10-21T00:00:00"/>
        <d v="2024-12-24T00:00:00"/>
        <d v="2023-08-21T00:00:00"/>
        <d v="2025-04-13T00:00:00"/>
        <d v="2024-12-08T00:00:00"/>
        <d v="2023-05-01T00:00:00"/>
        <d v="2023-03-25T00:00:00"/>
        <d v="2024-04-21T00:00:00"/>
        <d v="2024-02-29T00:00:00"/>
        <d v="2025-06-24T00:00:00"/>
        <d v="2024-11-11T00:00:00"/>
        <d v="2024-03-02T00:00:00"/>
        <d v="2023-08-03T00:00:00"/>
        <d v="2024-01-13T00:00:00"/>
        <d v="2023-01-22T00:00:00"/>
        <d v="2023-08-02T00:00:00"/>
        <d v="2024-06-02T00:00:00"/>
        <d v="2023-03-14T00:00:00"/>
        <d v="2024-05-30T00:00:00"/>
        <d v="2023-01-26T00:00:00"/>
        <d v="2023-03-31T00:00:00"/>
        <d v="2025-05-14T00:00:00"/>
        <d v="2023-04-18T00:00:00"/>
        <d v="2024-02-25T00:00:00"/>
        <d v="2025-06-25T00:00:00"/>
        <d v="2024-09-05T00:00:00"/>
        <d v="2025-08-21T00:00:00"/>
        <d v="2023-09-08T00:00:00"/>
        <d v="2025-04-17T00:00:00"/>
        <d v="2023-11-30T00:00:00"/>
        <d v="2025-07-22T00:00:00"/>
        <d v="2024-01-02T00:00:00"/>
        <d v="2023-04-14T00:00:00"/>
        <d v="2023-07-25T00:00:00"/>
        <d v="2023-06-17T00:00:00"/>
        <d v="2023-02-23T00:00:00"/>
        <d v="2025-03-03T00:00:00"/>
        <d v="2023-05-06T00:00:00"/>
        <d v="2023-02-21T00:00:00"/>
        <d v="2025-07-11T00:00:00"/>
        <d v="2025-04-28T00:00:00"/>
        <d v="2023-06-13T00:00:00"/>
        <d v="2023-12-05T00:00:00"/>
        <d v="2023-12-24T00:00:00"/>
        <d v="2023-08-26T00:00:00"/>
        <d v="2023-04-05T00:00:00"/>
        <d v="2024-10-11T00:00:00"/>
        <d v="2023-06-20T00:00:00"/>
        <d v="2023-08-23T00:00:00"/>
        <d v="2023-02-20T00:00:00"/>
        <d v="2024-08-07T00:00:00"/>
        <d v="2024-10-25T00:00:00"/>
        <d v="2025-03-08T00:00:00"/>
        <d v="2025-01-09T00:00:00"/>
        <d v="2024-06-19T00:00:00"/>
        <d v="2024-10-09T00:00:00"/>
        <d v="2025-02-19T00:00:00"/>
        <d v="2025-01-31T00:00:00"/>
        <d v="2024-12-15T00:00:00"/>
        <d v="2025-03-06T00:00:00"/>
        <d v="2023-06-23T00:00:00"/>
        <d v="2025-05-18T00:00:00"/>
        <d v="2024-08-10T00:00:00"/>
        <d v="2025-04-16T00:00:00"/>
        <d v="2024-03-23T00:00:00"/>
        <d v="2025-08-11T00:00:00"/>
        <d v="2024-12-21T00:00:00"/>
        <d v="2024-06-23T00:00:00"/>
        <d v="2023-01-02T00:00:00"/>
        <d v="2025-05-12T00:00:00"/>
        <d v="2023-04-03T00:00:00"/>
        <d v="2024-01-08T00:00:00"/>
        <d v="2023-10-25T00:00:00"/>
        <d v="2023-08-19T00:00:00"/>
        <d v="2023-09-19T00:00:00"/>
        <d v="2025-07-27T00:00:00"/>
        <d v="2024-03-11T00:00:00"/>
        <d v="2024-01-12T00:00:00"/>
        <d v="2023-06-09T00:00:00"/>
        <d v="2024-03-16T00:00:00"/>
        <d v="2025-09-01T00:00:00"/>
        <d v="2024-12-27T00:00:00"/>
        <d v="2024-05-27T00:00:00"/>
        <d v="2023-07-01T00:00:00"/>
        <d v="2024-08-19T00:00:00"/>
        <d v="2023-01-27T00:00:00"/>
        <d v="2023-09-17T00:00:00"/>
        <d v="2025-06-27T00:00:00"/>
        <d v="2025-01-03T00:00:00"/>
        <d v="2023-08-12T00:00:00"/>
        <d v="2023-04-16T00:00:00"/>
        <d v="2025-06-15T00:00:00"/>
        <d v="2023-06-14T00:00:00"/>
        <d v="2023-01-07T00:00:00"/>
        <d v="2025-02-04T00:00:00"/>
        <d v="2025-09-11T00:00:00"/>
        <d v="2023-06-24T00:00:00"/>
        <d v="2023-12-26T00:00:00"/>
        <d v="2023-09-14T00:00:00"/>
        <d v="2024-06-08T00:00:00"/>
        <d v="2025-06-01T00:00:00"/>
        <d v="2025-07-23T00:00:00"/>
        <d v="2023-04-19T00:00:00"/>
        <d v="2024-08-04T00:00:00"/>
        <d v="2023-02-15T00:00:00"/>
        <d v="2023-05-02T00:00:00"/>
        <d v="2024-07-19T00:00:00"/>
        <d v="2024-10-27T00:00:00"/>
        <d v="2024-10-23T00:00:00"/>
        <d v="2023-06-05T00:00:00"/>
        <d v="2023-01-10T00:00:00"/>
        <d v="2023-11-10T00:00:00"/>
        <d v="2023-10-15T00:00:00"/>
        <d v="2025-06-05T00:00:00"/>
        <d v="2023-12-06T00:00:00"/>
        <d v="2024-11-25T00:00:00"/>
        <d v="2024-03-15T00:00:00"/>
        <d v="2024-01-16T00:00:00"/>
        <d v="2024-05-18T00:00:00"/>
        <d v="2024-04-16T00:00:00"/>
        <d v="2023-05-10T00:00:00"/>
        <d v="2023-02-11T00:00:00"/>
        <d v="2025-05-27T00:00:00"/>
        <d v="2023-12-07T00:00:00"/>
        <d v="2023-04-23T00:00:00"/>
        <d v="2024-02-11T00:00:00"/>
        <d v="2025-07-19T00:00:00"/>
        <d v="2025-08-03T00:00:00"/>
        <d v="2023-11-28T00:00:00"/>
        <d v="2024-08-30T00:00:00"/>
        <d v="2023-05-20T00:00:00"/>
        <d v="2025-01-20T00:00:00"/>
        <d v="2023-01-13T00:00:00"/>
        <d v="2025-09-14T00:00:00"/>
        <d v="2024-08-12T00:00:00"/>
        <d v="2023-06-22T00:00:00"/>
        <d v="2024-04-26T00:00:00"/>
        <d v="2024-07-18T00:00:00"/>
        <d v="2023-12-19T00:00:00"/>
        <d v="2023-10-09T00:00:00"/>
        <d v="2024-01-10T00:00:00"/>
        <d v="2023-10-18T00:00:00"/>
        <d v="2023-03-04T00:00:00"/>
        <d v="2023-05-14T00:00:00"/>
        <d v="2023-03-07T00:00:00"/>
        <d v="2024-12-23T00:00:00"/>
        <d v="2025-09-02T00:00:00"/>
        <d v="2024-03-07T00:00:00"/>
        <d v="2023-05-07T00:00:00"/>
        <d v="2025-04-24T00:00:00"/>
        <d v="2024-09-19T00:00:00"/>
        <d v="2025-08-30T00:00:00"/>
        <d v="2024-04-04T00:00:00"/>
        <d v="2025-05-19T00:00:00"/>
        <d v="2025-02-16T00:00:00"/>
        <d v="2023-04-10T00:00:00"/>
        <d v="2023-08-08T00:00:00"/>
        <d v="2024-10-04T00:00:00"/>
        <d v="2024-04-05T00:00:00"/>
        <d v="2023-09-30T00:00:00"/>
        <d v="2024-09-09T00:00:00"/>
        <d v="2025-04-06T00:00:00"/>
        <d v="2023-12-22T00:00:00"/>
        <d v="2024-07-09T00:00:00"/>
        <d v="2025-06-22T00:00:00"/>
        <d v="2024-12-10T00:00:00"/>
        <d v="2023-07-18T00:00:00"/>
        <d v="2024-05-20T00:00:00"/>
        <d v="2023-06-01T00:00:00"/>
        <d v="2023-07-05T00:00:00"/>
        <d v="2025-03-23T00:00:00"/>
        <d v="2024-11-08T00:00:00"/>
        <d v="2024-10-13T00:00:00"/>
        <d v="2024-09-02T00:00:00"/>
        <d v="2024-06-09T00:00:00"/>
        <d v="2025-02-12T00:00:00"/>
        <d v="2024-09-25T00:00:00"/>
        <d v="2025-01-07T00:00:00"/>
        <d v="2024-06-11T00:00:00"/>
        <d v="2024-03-04T00:00:00"/>
        <d v="2024-01-25T00:00:00"/>
        <d v="2025-04-11T00:00:00"/>
        <d v="2025-09-10T00:00:00"/>
        <d v="2023-12-02T00:00:00"/>
        <d v="2023-09-18T00:00:00"/>
        <d v="2024-01-21T00:00:00"/>
        <d v="2023-06-15T00:00:00"/>
        <d v="2024-08-03T00:00:00"/>
        <d v="2025-08-07T00:00:00"/>
        <d v="2024-03-09T00:00:00"/>
        <d v="2025-05-29T00:00:00"/>
        <d v="2023-12-03T00:00:00"/>
        <d v="2023-11-15T00:00:00"/>
        <d v="2023-03-17T00:00:00"/>
        <d v="2023-11-14T00:00:00"/>
        <d v="2023-03-23T00:00:00"/>
        <d v="2024-11-05T00:00:00"/>
        <d v="2024-04-24T00:00:00"/>
        <d v="2024-07-24T00:00:00"/>
        <d v="2024-03-03T00:00:00"/>
        <d v="2025-03-21T00:00:00"/>
        <d v="2025-03-10T00:00:00"/>
        <d v="2024-10-30T00:00:00"/>
        <d v="2024-07-15T00:00:00"/>
        <d v="2023-12-30T00:00:00"/>
        <d v="2024-05-22T00:00:00"/>
        <d v="2023-04-21T00:00:00"/>
        <d v="2024-01-24T00:00:00"/>
        <d v="2023-03-19T00:00:00"/>
        <d v="2025-08-28T00:00:00"/>
        <d v="2024-05-19T00:00:00"/>
        <d v="2025-06-14T00:00:00"/>
        <d v="2025-04-27T00:00:00"/>
        <d v="2023-12-20T00:00:00"/>
        <d v="2023-07-03T00:00:00"/>
        <d v="2024-03-18T00:00:00"/>
        <d v="2023-08-17T00:00:00"/>
        <d v="2025-04-12T00:00:00"/>
        <d v="2025-08-25T00:00:00"/>
        <d v="2024-01-01T00:00:00"/>
        <d v="2024-11-01T00:00:00"/>
        <d v="2025-05-16T00:00:00"/>
        <d v="2024-04-03T00:00:00"/>
        <d v="2025-08-13T00:00:00"/>
        <d v="2023-10-31T00:00:00"/>
        <d v="2024-10-22T00:00:00"/>
        <d v="2024-07-11T00:00:00"/>
        <d v="2024-01-18T00:00:00"/>
        <d v="2025-07-03T00:00:00"/>
        <d v="2025-02-21T00:00:00"/>
        <d v="2024-05-21T00:00:00"/>
        <d v="2023-10-07T00:00:00"/>
        <d v="2024-04-19T00:00:00"/>
        <d v="2023-04-22T00:00:00"/>
        <d v="2024-07-31T00:00:00"/>
        <d v="2023-06-10T00:00:00"/>
        <d v="2023-07-07T00:00:00"/>
        <d v="2023-01-12T00:00:00"/>
        <d v="2025-05-10T00:00:00"/>
        <d v="2024-11-02T00:00:00"/>
        <d v="2024-03-31T00:00:00"/>
        <d v="2025-05-02T00:00:00"/>
        <d v="2024-01-20T00:00:00"/>
        <d v="2024-12-12T00:00:00"/>
        <d v="2025-02-15T00:00:00"/>
        <d v="2023-07-14T00:00:00"/>
        <d v="2024-04-12T00:00:00"/>
        <d v="2025-08-10T00:00:00"/>
        <d v="2023-01-30T00:00:00"/>
        <d v="2024-02-01T00:00:00"/>
        <d v="2024-06-15T00:00:00"/>
        <d v="2023-10-04T00:00:00"/>
        <d v="2024-11-04T00:00:00"/>
        <d v="2024-06-04T00:00:00"/>
        <d v="2023-02-05T00:00:00"/>
        <d v="2024-02-08T00:00:00"/>
        <d v="2023-01-20T00:00:00"/>
        <d v="2024-07-28T00:00:00"/>
        <d v="2025-01-10T00:00:00"/>
        <d v="2023-05-24T00:00:00"/>
        <d v="2023-04-06T00:00:00"/>
        <d v="2024-08-27T00:00:00"/>
        <d v="2024-02-06T00:00:00"/>
        <d v="2024-08-18T00:00:00"/>
        <d v="2024-06-05T00:00:00"/>
        <d v="2024-05-07T00:00:00"/>
        <d v="2023-03-13T00:00:00"/>
        <d v="2024-05-01T00:00:00"/>
        <d v="2025-09-08T00:00:00"/>
        <d v="2024-12-14T00:00:00"/>
        <d v="2023-07-24T00:00:00"/>
        <d v="2024-09-06T00:00:00"/>
        <d v="2023-07-26T00:00:00"/>
        <d v="2025-09-12T00:00:00"/>
        <d v="2025-04-07T00:00:00"/>
        <d v="2024-04-29T00:00:00"/>
        <d v="2024-04-06T00:00:00"/>
        <d v="2023-12-29T00:00:00"/>
        <d v="2025-02-25T00:00:00"/>
        <d v="2025-02-17T00:00:00"/>
        <d v="2023-10-12T00:00:00"/>
        <d v="2025-08-20T00:00:00"/>
        <d v="2024-03-13T00:00:00"/>
        <d v="2024-12-20T00:00:00"/>
        <d v="2024-01-11T00:00:00"/>
        <d v="2024-09-13T00:00:00"/>
        <d v="2024-10-10T00:00:00"/>
        <d v="2024-06-30T00:00:00"/>
        <d v="2023-07-10T00:00:00"/>
        <d v="2025-08-02T00:00:00"/>
        <d v="2024-06-10T00:00:00"/>
        <d v="2024-09-10T00:00:00"/>
        <d v="2025-03-25T00:00:00"/>
        <d v="2024-07-29T00:00:00"/>
        <d v="2024-10-29T00:00:00"/>
        <d v="2024-10-14T00:00:00"/>
        <d v="2023-08-29T00:00:00"/>
        <d v="2024-06-07T00:00:00"/>
        <d v="2024-11-20T00:00:00"/>
        <d v="2024-11-12T00:00:00"/>
        <d v="2024-05-05T00:00:00"/>
        <d v="2024-05-28T00:00:00"/>
        <d v="2025-02-06T00:00:00"/>
        <d v="2024-03-10T00:00:00"/>
        <d v="2025-02-02T00:00:00"/>
        <d v="2023-08-27T00:00:00"/>
        <d v="2023-08-10T00:00:00"/>
        <d v="2024-09-22T00:00:00"/>
        <d v="2025-03-31T00:00:00"/>
        <d v="2023-12-16T00:00:00"/>
        <d v="2024-11-21T00:00:00"/>
        <d v="2024-02-17T00:00:00"/>
        <d v="2023-03-03T00:00:00"/>
        <d v="2024-07-25T00:00:00"/>
        <d v="2023-03-06T00:00:00"/>
        <d v="2023-02-19T00:00:00"/>
        <d v="2023-09-21T00:00:00"/>
        <d v="2025-07-21T00:00:00"/>
        <d v="2023-06-03T00:00:00"/>
        <d v="2023-10-30T00:00:00"/>
        <d v="2025-05-07T00:00:00"/>
        <d v="2023-02-07T00:00:00"/>
        <d v="2023-01-19T00:00:00"/>
        <d v="2025-06-26T00:00:00"/>
        <d v="2024-08-08T00:00:00"/>
        <d v="2023-07-22T00:00:00"/>
        <d v="2025-05-21T00:00:00"/>
        <d v="2023-12-18T00:00:00"/>
        <d v="2024-10-03T00:00:00"/>
        <d v="2024-06-03T00:00:00"/>
        <d v="2024-02-16T00:00:00"/>
        <d v="2024-03-27T00:00:00"/>
        <d v="2024-08-14T00:00:00"/>
        <d v="2023-07-19T00:00:00"/>
        <d v="2025-06-17T00:00:00"/>
        <d v="2025-03-15T00:00:00"/>
        <d v="2023-12-28T00:00:00"/>
        <d v="2024-02-27T00:00:00"/>
        <d v="2023-04-12T00:00:00"/>
        <d v="2024-06-16T00:00:00"/>
        <d v="2023-02-27T00:00:00"/>
        <d v="2024-10-02T00:00:00"/>
        <d v="2025-07-20T00:00:00"/>
        <d v="2024-12-07T00:00:00"/>
        <d v="2024-09-23T00:00:00"/>
        <d v="2025-08-14T00:00:00"/>
        <d v="2024-10-08T00:00:00"/>
        <d v="2023-08-25T00:00:00"/>
        <d v="2024-05-04T00:00:00"/>
        <d v="2023-07-16T00:00:00"/>
        <d v="2025-08-01T00:00:00"/>
        <d v="2023-10-05T00:00:00"/>
        <d v="2023-05-27T00:00:00"/>
        <d v="2024-10-24T00:00:00"/>
        <d v="2024-11-06T00:00:00"/>
        <d v="2025-07-24T00:00:00"/>
        <d v="2023-11-19T00:00:00"/>
        <d v="2024-08-16T00:00:00"/>
        <d v="2024-11-22T00:00:00"/>
        <d v="2025-01-29T00:00:00"/>
        <d v="2023-07-30T00:00:00"/>
        <d v="2025-03-14T00:00:00"/>
        <d v="2024-04-09T00:00:00"/>
        <d v="2025-07-17T00:00:00"/>
        <d v="2023-02-08T00:00:00"/>
        <d v="2024-12-28T00:00:00"/>
        <d v="2025-05-15T00:00:00"/>
        <d v="2023-12-01T00:00:00"/>
        <d v="2025-02-09T00:00:00"/>
        <d v="2023-07-08T00:00:00"/>
        <d v="2024-02-20T00:00:00"/>
        <d v="2023-05-29T00:00:00"/>
        <d v="2025-07-16T00:00:00"/>
        <d v="2024-08-31T00:00:00"/>
        <d v="2024-09-14T00:00:00"/>
        <d v="2025-01-04T00:00:00"/>
        <d v="2024-08-23T00:00:00"/>
        <d v="2024-06-06T00:00:00"/>
        <d v="2025-01-27T00:00:00"/>
        <d v="2024-12-29T00:00:00"/>
        <d v="2023-10-22T00:00:00"/>
        <d v="2024-02-19T00:00:00"/>
        <d v="2024-06-25T00:00:00"/>
        <d v="2025-04-14T00:00:00"/>
        <d v="2023-08-24T00:00:00"/>
        <d v="2023-03-02T00:00:00"/>
        <d v="2024-05-17T00:00:00"/>
        <d v="2024-05-14T00:00:00"/>
        <m/>
      </sharedItems>
      <fieldGroup par="34"/>
    </cacheField>
    <cacheField name="Month" numFmtId="14">
      <sharedItems containsBlank="1" count="34">
        <s v="Dec-2024"/>
        <s v="Feb-2023"/>
        <s v="Jun-2025"/>
        <s v="Mar-2024"/>
        <s v="Jun-2024"/>
        <s v="Sep-2025"/>
        <s v="Apr-2025"/>
        <s v="May-2023"/>
        <s v="Feb-2024"/>
        <s v="Aug-2023"/>
        <s v="Oct-2023"/>
        <s v="Aug-2025"/>
        <s v="Feb-2025"/>
        <s v="Jan-2023"/>
        <s v="Mar-2025"/>
        <s v="May-2024"/>
        <s v="Apr-2023"/>
        <s v="Jun-2023"/>
        <s v="Jul-2025"/>
        <s v="Sep-2024"/>
        <s v="Oct-2024"/>
        <s v="Jan-2024"/>
        <s v="Nov-2024"/>
        <s v="May-2025"/>
        <s v="Jul-2023"/>
        <s v="Aug-2024"/>
        <s v="Mar-2023"/>
        <s v="Jan-2025"/>
        <s v="Sep-2023"/>
        <s v="Jul-2024"/>
        <s v="Nov-2023"/>
        <s v="Apr-2024"/>
        <s v="Dec-2023"/>
        <m/>
      </sharedItems>
    </cacheField>
    <cacheField name="Quarter" numFmtId="0">
      <sharedItems containsBlank="1"/>
    </cacheField>
    <cacheField name="RequiredDate" numFmtId="14">
      <sharedItems containsNonDate="0" containsDate="1" containsString="0" containsBlank="1" minDate="2023-01-05T00:00:00" maxDate="2025-10-06T00:00:00"/>
    </cacheField>
    <cacheField name="UpdatedRequiredDate" numFmtId="14">
      <sharedItems containsNonDate="0" containsDate="1" containsString="0" containsBlank="1" minDate="2023-01-05T00:00:00" maxDate="2025-10-06T00:00:00"/>
    </cacheField>
    <cacheField name="LeadTimeDays" numFmtId="0">
      <sharedItems containsString="0" containsBlank="1" containsNumber="1" containsInteger="1" minValue="0" maxValue="30"/>
    </cacheField>
    <cacheField name="Region" numFmtId="0">
      <sharedItems containsBlank="1" count="5">
        <s v="Europe"/>
        <s v="Africa"/>
        <s v="Americas"/>
        <s v="Asia"/>
        <m/>
      </sharedItems>
    </cacheField>
    <cacheField name="Country" numFmtId="0">
      <sharedItems containsBlank="1" count="13">
        <s v="United Kingdom"/>
        <s v="Kenya"/>
        <s v="France"/>
        <s v="USA"/>
        <s v="South Africa"/>
        <s v="Brazil"/>
        <s v="Germany"/>
        <s v="Japan"/>
        <s v="Nigeria"/>
        <s v="India"/>
        <s v="China"/>
        <s v="Canada"/>
        <m/>
      </sharedItems>
    </cacheField>
    <cacheField name="City" numFmtId="0">
      <sharedItems containsBlank="1"/>
    </cacheField>
    <cacheField name="CustomerSegment" numFmtId="0">
      <sharedItems containsBlank="1"/>
    </cacheField>
    <cacheField name="Channel" numFmtId="0">
      <sharedItems containsBlank="1" count="6">
        <s v="Retail"/>
        <s v="Marketplace"/>
        <s v="Direct"/>
        <s v="Distributor"/>
        <s v="Online"/>
        <m/>
      </sharedItems>
    </cacheField>
    <cacheField name="Salesperson" numFmtId="0">
      <sharedItems containsBlank="1" count="16">
        <s v="D. Smith"/>
        <s v="I. Johnson"/>
        <s v="H. Kim"/>
        <s v="J. Njeri"/>
        <s v="B. Chen"/>
        <s v="L. Okafor"/>
        <s v="F. Müller"/>
        <s v="M. Rossi"/>
        <s v="C. Otieno"/>
        <s v="N. Brown"/>
        <s v="E. Garcia"/>
        <s v="O. Wang"/>
        <s v="K. Singh"/>
        <s v="A. Patel"/>
        <s v="G. Dubois"/>
        <m/>
      </sharedItems>
    </cacheField>
    <cacheField name="ProductCategory" numFmtId="0">
      <sharedItems containsBlank="1" count="8">
        <s v="Monitors"/>
        <s v="Networking"/>
        <s v="Accessories"/>
        <s v="Phones"/>
        <s v="Components"/>
        <s v="Laptops"/>
        <s v="Printers"/>
        <m/>
      </sharedItems>
    </cacheField>
    <cacheField name="SKU" numFmtId="0">
      <sharedItems containsBlank="1" count="608">
        <s v="MON-4215"/>
        <s v="NET-9666"/>
        <s v="ACC-1770"/>
        <s v="MON-5444"/>
        <s v="NET-4241"/>
        <s v="ACC-6777"/>
        <s v="PHN-3803"/>
        <s v="CMP-1632"/>
        <s v="PHN-7852"/>
        <s v="PHN-8970"/>
        <s v="CMP-9264"/>
        <s v="MON-2842"/>
        <s v="NET-9989"/>
        <s v="LAP-7320"/>
        <s v="MON-3371"/>
        <s v="CMP-6346"/>
        <s v="LAP-3017"/>
        <s v="PRN-6276"/>
        <s v="PHN-4395"/>
        <s v="CMP-6925"/>
        <s v="PRN-6429"/>
        <s v="NET-1166"/>
        <s v="ACC-5206"/>
        <s v="CMP-9801"/>
        <s v="MON-9216"/>
        <s v="NET-1816"/>
        <s v="MON-2990"/>
        <s v="ACC-1021"/>
        <s v="MON-7207"/>
        <s v="LAP-2218"/>
        <s v="PRN-3917"/>
        <s v="PHN-3819"/>
        <s v="MON-4330"/>
        <s v="PHN-1234"/>
        <s v="CMP-4945"/>
        <s v="PRN-1882"/>
        <s v="PRN-8763"/>
        <s v="PRN-5492"/>
        <s v="PHN-5366"/>
        <s v="CMP-1470"/>
        <s v="PRN-9960"/>
        <s v="MON-7868"/>
        <s v="PHN-3007"/>
        <s v="ACC-3349"/>
        <s v="PHN-1670"/>
        <s v="PHN-4741"/>
        <s v="NET-6387"/>
        <s v="PRN-5813"/>
        <s v="PRN-4170"/>
        <s v="CMP-7256"/>
        <s v="NET-7998"/>
        <s v="PRN-4892"/>
        <s v="PRN-4506"/>
        <s v="CMP-6649"/>
        <s v="MON-4317"/>
        <s v="MON-5276"/>
        <s v="ACC-4511"/>
        <s v="LAP-1066"/>
        <s v="PRN-2991"/>
        <s v="PHN-6307"/>
        <s v="MON-9319"/>
        <s v="ACC-3551"/>
        <s v="PRN-5569"/>
        <s v="LAP-3779"/>
        <s v="ACC-2386"/>
        <s v="NET-9575"/>
        <s v="PRN-3785"/>
        <s v="NET-3033"/>
        <s v="PRN-8657"/>
        <s v="PHN-4556"/>
        <s v="LAP-2846"/>
        <s v="MON-2849"/>
        <s v="MON-8697"/>
        <s v="NET-9832"/>
        <s v="CMP-2136"/>
        <s v="CMP-6495"/>
        <s v="CMP-2335"/>
        <s v="CMP-5633"/>
        <s v="MON-9227"/>
        <s v="ACC-2990"/>
        <s v="MON-7106"/>
        <s v="NET-7588"/>
        <s v="PRN-3775"/>
        <s v="PRN-1141"/>
        <s v="NET-2932"/>
        <s v="CMP-3223"/>
        <s v="ACC-3951"/>
        <s v="CMP-8141"/>
        <s v="MON-2537"/>
        <s v="NET-3689"/>
        <s v="ACC-9820"/>
        <s v="CMP-8675"/>
        <s v="PHN-4356"/>
        <s v="NET-5941"/>
        <s v="NET-8787"/>
        <s v="LAP-7819"/>
        <s v="CMP-2865"/>
        <s v="LAP-1482"/>
        <s v="PHN-8014"/>
        <s v="MON-3350"/>
        <s v="PHN-5383"/>
        <s v="MON-5249"/>
        <s v="PRN-8137"/>
        <s v="ACC-4766"/>
        <s v="NET-8610"/>
        <s v="LAP-4899"/>
        <s v="NET-1804"/>
        <s v="NET-4554"/>
        <s v="LAP-3565"/>
        <s v="PHN-1784"/>
        <s v="ACC-8178"/>
        <s v="PRN-6536"/>
        <s v="PRN-7410"/>
        <s v="PRN-7976"/>
        <s v="ACC-4056"/>
        <s v="PHN-6131"/>
        <s v="NET-2499"/>
        <s v="PHN-7636"/>
        <s v="PHN-2462"/>
        <s v="PRN-8008"/>
        <s v="PHN-6506"/>
        <s v="PHN-3014"/>
        <s v="CMP-7063"/>
        <s v="MON-5259"/>
        <s v="PRN-5666"/>
        <s v="MON-4326"/>
        <s v="ACC-1492"/>
        <s v="MON-9906"/>
        <s v="NET-7924"/>
        <s v="CMP-9498"/>
        <s v="LAP-8119"/>
        <s v="PHN-2875"/>
        <s v="LAP-4607"/>
        <s v="CMP-1072"/>
        <s v="MON-1436"/>
        <s v="CMP-5820"/>
        <s v="MON-3773"/>
        <s v="NET-1846"/>
        <s v="CMP-3693"/>
        <s v="PRN-2542"/>
        <s v="NET-3749"/>
        <s v="PRN-1183"/>
        <s v="PRN-6178"/>
        <s v="PHN-4346"/>
        <s v="NET-6218"/>
        <s v="PRN-4788"/>
        <s v="ACC-5422"/>
        <s v="ACC-7671"/>
        <s v="LAP-8555"/>
        <s v="PRN-8850"/>
        <s v="ACC-4815"/>
        <s v="PRN-6585"/>
        <s v="PHN-5938"/>
        <s v="MON-2296"/>
        <s v="PRN-5005"/>
        <s v="CMP-5658"/>
        <s v="CMP-8270"/>
        <s v="CMP-5138"/>
        <s v="LAP-4517"/>
        <s v="MON-9194"/>
        <s v="PRN-8604"/>
        <s v="PRN-8758"/>
        <s v="LAP-1525"/>
        <s v="ACC-1663"/>
        <s v="CMP-6919"/>
        <s v="ACC-7240"/>
        <s v="NET-6533"/>
        <s v="CMP-5435"/>
        <s v="LAP-9782"/>
        <s v="LAP-4932"/>
        <s v="MON-7626"/>
        <s v="PHN-7019"/>
        <s v="CMP-6352"/>
        <s v="ACC-1731"/>
        <s v="ACC-7906"/>
        <s v="ACC-7938"/>
        <s v="ACC-5780"/>
        <s v="PHN-5675"/>
        <s v="PRN-4787"/>
        <s v="NET-2502"/>
        <s v="LAP-3278"/>
        <s v="PHN-6818"/>
        <s v="LAP-2942"/>
        <s v="PRN-4432"/>
        <s v="MON-1389"/>
        <s v="CMP-4093"/>
        <s v="ACC-1596"/>
        <s v="NET-2439"/>
        <s v="MON-8867"/>
        <s v="LAP-3581"/>
        <s v="LAP-3393"/>
        <s v="MON-5086"/>
        <s v="PHN-6854"/>
        <s v="MON-8939"/>
        <s v="PRN-9322"/>
        <s v="PRN-3690"/>
        <s v="LAP-4551"/>
        <s v="ACC-5260"/>
        <s v="PRN-4983"/>
        <s v="ACC-2902"/>
        <s v="PRN-8041"/>
        <s v="ACC-7047"/>
        <s v="MON-4361"/>
        <s v="MON-4195"/>
        <s v="PRN-1725"/>
        <s v="ACC-2903"/>
        <s v="PRN-2641"/>
        <s v="MON-2465"/>
        <s v="ACC-8242"/>
        <s v="ACC-1249"/>
        <s v="PRN-8175"/>
        <s v="MON-8629"/>
        <s v="LAP-1698"/>
        <s v="PHN-5082"/>
        <s v="ACC-1028"/>
        <s v="NET-3785"/>
        <s v="PHN-2447"/>
        <s v="LAP-7009"/>
        <s v="LAP-2806"/>
        <s v="CMP-8658"/>
        <s v="PHN-3159"/>
        <s v="NET-9003"/>
        <s v="LAP-7979"/>
        <s v="ACC-3385"/>
        <s v="PHN-9107"/>
        <s v="ACC-8094"/>
        <s v="MON-7622"/>
        <s v="MON-6065"/>
        <s v="ACC-1075"/>
        <s v="NET-8856"/>
        <s v="PRN-6776"/>
        <s v="PHN-8891"/>
        <s v="PHN-3482"/>
        <s v="LAP-6160"/>
        <s v="PRN-9488"/>
        <s v="PRN-7049"/>
        <s v="PHN-8057"/>
        <s v="PRN-1276"/>
        <s v="CMP-7617"/>
        <s v="PHN-7132"/>
        <s v="ACC-2364"/>
        <s v="PHN-2787"/>
        <s v="PRN-2749"/>
        <s v="CMP-5311"/>
        <s v="ACC-6543"/>
        <s v="MON-2993"/>
        <s v="PRN-6911"/>
        <s v="ACC-5150"/>
        <s v="PRN-5067"/>
        <s v="MON-4830"/>
        <s v="MON-7511"/>
        <s v="ACC-9038"/>
        <s v="CMP-6529"/>
        <s v="LAP-5763"/>
        <s v="PHN-2013"/>
        <s v="PRN-1786"/>
        <s v="NET-1145"/>
        <s v="MON-4925"/>
        <s v="CMP-1555"/>
        <s v="ACC-3721"/>
        <s v="PHN-5316"/>
        <s v="MON-4789"/>
        <s v="LAP-3905"/>
        <s v="CMP-8659"/>
        <s v="CMP-5946"/>
        <s v="ACC-4587"/>
        <s v="NET-2394"/>
        <s v="PRN-3159"/>
        <s v="NET-4155"/>
        <s v="NET-2628"/>
        <s v="CMP-5006"/>
        <s v="CMP-7563"/>
        <s v="CMP-6392"/>
        <s v="MON-5179"/>
        <s v="PRN-9557"/>
        <s v="NET-7901"/>
        <s v="PRN-6791"/>
        <s v="PHN-2436"/>
        <s v="MON-8422"/>
        <s v="NET-9569"/>
        <s v="PHN-1924"/>
        <s v="CMP-3743"/>
        <s v="PRN-5753"/>
        <s v="LAP-9766"/>
        <s v="PHN-6954"/>
        <s v="MON-4278"/>
        <s v="LAP-9016"/>
        <s v="MON-6287"/>
        <s v="CMP-1009"/>
        <s v="MON-8973"/>
        <s v="ACC-3833"/>
        <s v="LAP-1969"/>
        <s v="NET-1336"/>
        <s v="MON-5749"/>
        <s v="PRN-5591"/>
        <s v="PHN-4566"/>
        <s v="PRN-9787"/>
        <s v="LAP-4666"/>
        <s v="PHN-4644"/>
        <s v="ACC-2867"/>
        <s v="ACC-1060"/>
        <s v="PHN-8483"/>
        <s v="NET-4104"/>
        <s v="ACC-2988"/>
        <s v="CMP-2015"/>
        <s v="MON-6190"/>
        <s v="LAP-9901"/>
        <s v="PHN-4915"/>
        <s v="CMP-7055"/>
        <s v="NET-6269"/>
        <s v="CMP-4610"/>
        <s v="ACC-2735"/>
        <s v="ACC-6594"/>
        <s v="MON-6870"/>
        <s v="CMP-8604"/>
        <s v="LAP-5689"/>
        <s v="ACC-9150"/>
        <s v="ACC-4483"/>
        <s v="MON-4271"/>
        <s v="ACC-3961"/>
        <s v="PHN-8350"/>
        <s v="MON-1572"/>
        <s v="PRN-9624"/>
        <s v="LAP-6342"/>
        <s v="ACC-2761"/>
        <s v="PRN-9793"/>
        <s v="PHN-8072"/>
        <s v="NET-3828"/>
        <s v="NET-1966"/>
        <s v="CMP-4531"/>
        <s v="PRN-1271"/>
        <s v="NET-3432"/>
        <s v="CMP-4970"/>
        <s v="LAP-5531"/>
        <s v="LAP-1946"/>
        <s v="ACC-3103"/>
        <s v="PRN-2409"/>
        <s v="PRN-3014"/>
        <s v="PHN-3800"/>
        <s v="PHN-5445"/>
        <s v="PHN-9465"/>
        <s v="CMP-5208"/>
        <s v="ACC-4124"/>
        <s v="MON-8758"/>
        <s v="PRN-9867"/>
        <s v="PHN-7815"/>
        <s v="MON-5517"/>
        <s v="PRN-6660"/>
        <s v="CMP-1220"/>
        <s v="PHN-5887"/>
        <s v="CMP-8101"/>
        <s v="MON-7602"/>
        <s v="PRN-7303"/>
        <s v="NET-2062"/>
        <s v="ACC-7713"/>
        <s v="PRN-6490"/>
        <s v="MON-1564"/>
        <s v="PHN-2337"/>
        <s v="ACC-9445"/>
        <s v="PRN-1641"/>
        <s v="CMP-9307"/>
        <s v="PRN-9249"/>
        <s v="NET-8561"/>
        <s v="PHN-4677"/>
        <s v="MON-8651"/>
        <s v="ACC-2252"/>
        <s v="PRN-8392"/>
        <s v="LAP-8347"/>
        <s v="ACC-5144"/>
        <s v="ACC-5334"/>
        <s v="PRN-5876"/>
        <s v="LAP-8489"/>
        <s v="PRN-2098"/>
        <s v="NET-3460"/>
        <s v="NET-8761"/>
        <s v="PRN-4453"/>
        <s v="MON-5891"/>
        <s v="MON-7099"/>
        <s v="ACC-5079"/>
        <s v="PHN-2859"/>
        <s v="PRN-2293"/>
        <s v="PRN-9669"/>
        <s v="CMP-5825"/>
        <s v="PRN-4097"/>
        <s v="LAP-9931"/>
        <s v="PHN-2036"/>
        <s v="CMP-5911"/>
        <s v="NET-6036"/>
        <s v="NET-4675"/>
        <s v="LAP-7353"/>
        <s v="PHN-9789"/>
        <s v="MON-6882"/>
        <s v="MON-4373"/>
        <s v="MON-9967"/>
        <s v="MON-2462"/>
        <s v="CMP-8230"/>
        <s v="PHN-3077"/>
        <s v="ACC-6223"/>
        <s v="LAP-1739"/>
        <s v="PRN-4906"/>
        <s v="LAP-9100"/>
        <s v="CMP-2574"/>
        <s v="PHN-8776"/>
        <s v="NET-4228"/>
        <s v="MON-9274"/>
        <s v="CMP-3720"/>
        <s v="ACC-1238"/>
        <s v="MON-3504"/>
        <s v="ACC-7078"/>
        <s v="MON-6053"/>
        <s v="ACC-7838"/>
        <s v="LAP-7056"/>
        <s v="CMP-3875"/>
        <s v="MON-2998"/>
        <s v="ACC-7354"/>
        <s v="NET-9716"/>
        <s v="LAP-5009"/>
        <s v="PRN-1060"/>
        <s v="CMP-8196"/>
        <s v="PHN-7924"/>
        <s v="PHN-3398"/>
        <s v="PHN-1044"/>
        <s v="CMP-5065"/>
        <s v="PHN-8478"/>
        <s v="NET-5196"/>
        <s v="CMP-9001"/>
        <s v="CMP-8390"/>
        <s v="PRN-9378"/>
        <s v="NET-1412"/>
        <s v="PHN-8804"/>
        <s v="MON-3307"/>
        <s v="LAP-3904"/>
        <s v="CMP-8127"/>
        <s v="LAP-6577"/>
        <s v="PRN-1504"/>
        <s v="LAP-4828"/>
        <s v="PHN-4854"/>
        <s v="LAP-9230"/>
        <s v="LAP-8633"/>
        <s v="PRN-6068"/>
        <s v="NET-7166"/>
        <s v="PRN-2829"/>
        <s v="PRN-4893"/>
        <s v="NET-5268"/>
        <s v="MON-1118"/>
        <s v="PHN-1919"/>
        <s v="PRN-7079"/>
        <s v="CMP-2040"/>
        <s v="MON-2100"/>
        <s v="PRN-4911"/>
        <s v="LAP-5078"/>
        <s v="CMP-3313"/>
        <s v="CMP-7371"/>
        <s v="ACC-5177"/>
        <s v="PRN-5264"/>
        <s v="NET-5482"/>
        <s v="CMP-8002"/>
        <s v="MON-5188"/>
        <s v="ACC-9591"/>
        <s v="PRN-5107"/>
        <s v="NET-8329"/>
        <s v="NET-2894"/>
        <s v="LAP-7553"/>
        <s v="CMP-2410"/>
        <s v="MON-6341"/>
        <s v="LAP-7136"/>
        <s v="ACC-9644"/>
        <s v="PRN-2407"/>
        <s v="ACC-3989"/>
        <s v="ACC-9533"/>
        <s v="LAP-3490"/>
        <s v="MON-7943"/>
        <s v="LAP-3679"/>
        <s v="PHN-1717"/>
        <s v="NET-7349"/>
        <s v="ACC-6626"/>
        <s v="MON-2073"/>
        <s v="MON-6699"/>
        <s v="CMP-5211"/>
        <s v="ACC-8999"/>
        <s v="CMP-1223"/>
        <s v="LAP-2378"/>
        <s v="CMP-4630"/>
        <s v="NET-1699"/>
        <s v="ACC-8620"/>
        <s v="PHN-5683"/>
        <s v="CMP-2693"/>
        <s v="ACC-9162"/>
        <s v="ACC-3645"/>
        <s v="ACC-8557"/>
        <s v="LAP-7523"/>
        <s v="NET-8957"/>
        <s v="CMP-6811"/>
        <s v="PRN-2301"/>
        <s v="CMP-2096"/>
        <s v="PRN-7089"/>
        <s v="LAP-3385"/>
        <s v="MON-5424"/>
        <s v="CMP-4159"/>
        <s v="NET-6014"/>
        <s v="NET-3535"/>
        <s v="ACC-1604"/>
        <s v="NET-3850"/>
        <s v="PHN-7488"/>
        <s v="MON-8688"/>
        <s v="MON-5386"/>
        <s v="LAP-2774"/>
        <s v="PRN-1923"/>
        <s v="NET-5523"/>
        <s v="PHN-2341"/>
        <s v="MON-2266"/>
        <s v="MON-4959"/>
        <s v="MON-7869"/>
        <s v="LAP-7099"/>
        <s v="NET-4735"/>
        <s v="LAP-1990"/>
        <s v="CMP-3259"/>
        <s v="LAP-4483"/>
        <s v="CMP-3731"/>
        <s v="PRN-1654"/>
        <s v="LAP-8469"/>
        <s v="MON-3043"/>
        <s v="PHN-6832"/>
        <s v="NET-1282"/>
        <s v="CMP-3978"/>
        <s v="ACC-8098"/>
        <s v="NET-4491"/>
        <s v="CMP-1940"/>
        <s v="PHN-4568"/>
        <s v="PHN-9399"/>
        <s v="ACC-3068"/>
        <s v="PRN-9490"/>
        <s v="MON-1663"/>
        <s v="ACC-3415"/>
        <s v="CMP-9392"/>
        <s v="PRN-8970"/>
        <s v="CMP-3093"/>
        <s v="MON-9733"/>
        <s v="PHN-3971"/>
        <s v="PHN-7274"/>
        <s v="MON-6892"/>
        <s v="LAP-1178"/>
        <s v="PHN-9234"/>
        <s v="LAP-4987"/>
        <s v="CMP-4807"/>
        <s v="ACC-1659"/>
        <s v="NET-9835"/>
        <s v="ACC-1882"/>
        <s v="ACC-9283"/>
        <s v="ACC-8683"/>
        <s v="CMP-6971"/>
        <s v="NET-3728"/>
        <s v="ACC-6348"/>
        <s v="NET-7966"/>
        <s v="NET-2460"/>
        <s v="PRN-7019"/>
        <s v="CMP-3938"/>
        <s v="PHN-1671"/>
        <s v="NET-1645"/>
        <s v="PHN-1197"/>
        <s v="PRN-9975"/>
        <s v="NET-8430"/>
        <s v="NET-1893"/>
        <s v="MON-3745"/>
        <s v="PRN-1086"/>
        <s v="PRN-6131"/>
        <s v="CMP-8851"/>
        <s v="NET-5018"/>
        <s v="LAP-8825"/>
        <s v="LAP-3220"/>
        <s v="PHN-6480"/>
        <s v="LAP-3604"/>
        <s v="NET-5423"/>
        <s v="LAP-6989"/>
        <s v="LAP-1989"/>
        <s v="LAP-1308"/>
        <s v="NET-9177"/>
        <s v="CMP-6898"/>
        <s v="NET-3255"/>
        <s v="CMP-8545"/>
        <s v="NET-1612"/>
        <s v="PHN-6111"/>
        <s v="LAP-5150"/>
        <s v="NET-1228"/>
        <s v="PHN-6866"/>
        <s v="CMP-1156"/>
        <s v="CMP-1559"/>
        <s v="PHN-9677"/>
        <s v="LAP-6750"/>
        <s v="NET-6578"/>
        <s v="LAP-6499"/>
        <s v="PHN-8368"/>
        <s v="MON-9662"/>
        <s v="NET-5195"/>
        <s v="MON-6310"/>
        <s v="LAP-9024"/>
        <s v="PRN-6308"/>
        <s v="PRN-3143"/>
        <s v="NET-5987"/>
        <s v="MON-6962"/>
        <s v="LAP-1619"/>
        <s v="PRN-4732"/>
        <s v="MON-2828"/>
        <s v="LAP-8214"/>
        <s v="PHN-7974"/>
        <s v="NET-2365"/>
        <s v="LAP-9815"/>
        <m/>
      </sharedItems>
    </cacheField>
    <cacheField name="UnitCost" numFmtId="2">
      <sharedItems containsString="0" containsBlank="1" containsNumber="1" minValue="5.34" maxValue="1495.79"/>
    </cacheField>
    <cacheField name="UnitPrice" numFmtId="2">
      <sharedItems containsString="0" containsBlank="1" containsNumber="1" minValue="4.22" maxValue="3661.07"/>
    </cacheField>
    <cacheField name="DiscountPct" numFmtId="10">
      <sharedItems containsString="0" containsBlank="1" containsNumber="1" minValue="0" maxValue="0.29499999999999998" count="216">
        <n v="0.10199999999999999"/>
        <n v="0.13100000000000001"/>
        <n v="7.4999999999999997E-2"/>
        <n v="0.11899999999999999"/>
        <n v="0.11799999999999999"/>
        <n v="0.21199999999999999"/>
        <n v="0.13400000000000001"/>
        <n v="4.7E-2"/>
        <n v="0.13200000000000001"/>
        <n v="0.13700000000000001"/>
        <n v="0.17699999999999999"/>
        <n v="0.151"/>
        <n v="0.14399999999999999"/>
        <n v="7.1999999999999995E-2"/>
        <n v="0.215"/>
        <n v="0.17899999999999999"/>
        <n v="0.17299999999999999"/>
        <n v="0.19400000000000001"/>
        <n v="6.4000000000000001E-2"/>
        <n v="0.14799999999999999"/>
        <n v="0.157"/>
        <n v="4.4999999999999998E-2"/>
        <n v="0.129"/>
        <n v="0.17599999999999999"/>
        <n v="0.114"/>
        <n v="0.28199999999999997"/>
        <n v="6.6000000000000003E-2"/>
        <n v="0.25900000000000001"/>
        <n v="0.22600000000000001"/>
        <n v="4.2999999999999997E-2"/>
        <n v="9.0999999999999998E-2"/>
        <n v="5.7000000000000002E-2"/>
        <n v="0.29499999999999998"/>
        <n v="0"/>
        <n v="0.121"/>
        <n v="0.13500000000000001"/>
        <n v="0.156"/>
        <n v="0.23799999999999999"/>
        <n v="0.12"/>
        <n v="0.128"/>
        <n v="0.122"/>
        <n v="0.107"/>
        <n v="0.16700000000000001"/>
        <n v="0.19700000000000001"/>
        <n v="3.7999999999999999E-2"/>
        <n v="0.214"/>
        <n v="0.10100000000000001"/>
        <n v="8.8999999999999996E-2"/>
        <n v="0.153"/>
        <n v="6.5000000000000002E-2"/>
        <n v="1.4E-2"/>
        <n v="0.20399999999999999"/>
        <n v="0.16300000000000001"/>
        <n v="0.182"/>
        <n v="0.18"/>
        <n v="7.0999999999999994E-2"/>
        <n v="2.1999999999999999E-2"/>
        <n v="3.4000000000000002E-2"/>
        <n v="0.13"/>
        <n v="0.13300000000000001"/>
        <n v="5.6000000000000001E-2"/>
        <n v="0.113"/>
        <n v="2.9000000000000001E-2"/>
        <n v="9.1999999999999998E-2"/>
        <n v="4.9000000000000002E-2"/>
        <n v="0.14000000000000001"/>
        <n v="0.29299999999999998"/>
        <n v="0.20100000000000001"/>
        <n v="0.115"/>
        <n v="0.11600000000000001"/>
        <n v="6.7000000000000004E-2"/>
        <n v="0.19600000000000001"/>
        <n v="0.22900000000000001"/>
        <n v="0.16500000000000001"/>
        <n v="0.187"/>
        <n v="9.4E-2"/>
        <n v="8.4000000000000005E-2"/>
        <n v="0.26500000000000001"/>
        <n v="7.8E-2"/>
        <n v="0.186"/>
        <n v="0.125"/>
        <n v="9.8000000000000004E-2"/>
        <n v="0.24"/>
        <n v="0.188"/>
        <n v="0.16900000000000001"/>
        <n v="0.14199999999999999"/>
        <n v="0.14099999999999999"/>
        <n v="4.1000000000000002E-2"/>
        <n v="5.2999999999999999E-2"/>
        <n v="2.8000000000000001E-2"/>
        <n v="9.2999999999999999E-2"/>
        <n v="4.0000000000000001E-3"/>
        <n v="0.108"/>
        <n v="5.8999999999999997E-2"/>
        <n v="0.111"/>
        <n v="0.14499999999999999"/>
        <n v="0.08"/>
        <n v="0.13900000000000001"/>
        <n v="0.17399999999999999"/>
        <n v="0.105"/>
        <n v="0.192"/>
        <n v="0.104"/>
        <n v="0.222"/>
        <n v="8.5999999999999993E-2"/>
        <n v="0.25700000000000001"/>
        <n v="0.112"/>
        <n v="4.2000000000000003E-2"/>
        <n v="0.25800000000000001"/>
        <n v="8.6999999999999994E-2"/>
        <n v="0.14899999999999999"/>
        <n v="0.22"/>
        <n v="0.20499999999999999"/>
        <n v="0.25"/>
        <n v="0.02"/>
        <n v="6.0000000000000001E-3"/>
        <n v="0.14699999999999999"/>
        <n v="6.8000000000000005E-2"/>
        <n v="0.185"/>
        <n v="5.8000000000000003E-2"/>
        <n v="3.1E-2"/>
        <n v="0.09"/>
        <n v="8.3000000000000004E-2"/>
        <n v="0.20699999999999999"/>
        <n v="0.13600000000000001"/>
        <n v="0.23699999999999999"/>
        <n v="0.22500000000000001"/>
        <n v="0.23899999999999999"/>
        <n v="8.7999999999999995E-2"/>
        <n v="0.20899999999999999"/>
        <n v="0.184"/>
        <n v="7.3999999999999996E-2"/>
        <n v="5.0999999999999997E-2"/>
        <n v="0.23499999999999999"/>
        <n v="0.24099999999999999"/>
        <n v="0.19"/>
        <n v="0.23599999999999999"/>
        <n v="2.5000000000000001E-2"/>
        <n v="0.245"/>
        <n v="0.154"/>
        <n v="0.20300000000000001"/>
        <n v="0.189"/>
        <n v="0.01"/>
        <n v="0.24299999999999999"/>
        <n v="0.17499999999999999"/>
        <n v="0.109"/>
        <n v="0.26600000000000001"/>
        <n v="0.152"/>
        <n v="9.9000000000000005E-2"/>
        <n v="0.123"/>
        <n v="0.159"/>
        <n v="8.2000000000000003E-2"/>
        <n v="4.5999999999999999E-2"/>
        <n v="0.11"/>
        <n v="0.14299999999999999"/>
        <n v="6.3E-2"/>
        <n v="0.216"/>
        <n v="3.2000000000000001E-2"/>
        <n v="0.16"/>
        <n v="0.03"/>
        <n v="0.27200000000000002"/>
        <n v="0.14599999999999999"/>
        <n v="0.106"/>
        <n v="0.126"/>
        <n v="8.9999999999999993E-3"/>
        <n v="7.0000000000000007E-2"/>
        <n v="0.254"/>
        <n v="1.2E-2"/>
        <n v="0.2"/>
        <n v="5.5E-2"/>
        <n v="9.5000000000000001E-2"/>
        <n v="0.13800000000000001"/>
        <n v="0.27800000000000002"/>
        <n v="0.10299999999999999"/>
        <n v="9.6000000000000002E-2"/>
        <n v="4.3999999999999997E-2"/>
        <n v="3.9E-2"/>
        <n v="1.7999999999999999E-2"/>
        <n v="0.21099999999999999"/>
        <n v="0.16800000000000001"/>
        <n v="0.155"/>
        <n v="1.7000000000000001E-2"/>
        <n v="3.6999999999999998E-2"/>
        <n v="0.127"/>
        <n v="0.218"/>
        <n v="6.9000000000000006E-2"/>
        <n v="1.9E-2"/>
        <n v="7.6999999999999999E-2"/>
        <n v="0.16400000000000001"/>
        <n v="7.2999999999999995E-2"/>
        <n v="0.05"/>
        <n v="8.1000000000000003E-2"/>
        <n v="0.255"/>
        <n v="0.17"/>
        <n v="5.3999999999999999E-2"/>
        <n v="0.1"/>
        <n v="0.29199999999999998"/>
        <n v="0.26100000000000001"/>
        <n v="7.0000000000000001E-3"/>
        <n v="0.23"/>
        <n v="0.26300000000000001"/>
        <n v="0.15"/>
        <n v="0.161"/>
        <n v="6.2E-2"/>
        <n v="2.1000000000000001E-2"/>
        <n v="7.5999999999999998E-2"/>
        <n v="0.27"/>
        <n v="0.20799999999999999"/>
        <n v="0.18099999999999999"/>
        <n v="0.183"/>
        <n v="0.158"/>
        <n v="0.17199999999999999"/>
        <n v="0.17100000000000001"/>
        <n v="3.5000000000000003E-2"/>
        <n v="0.248"/>
        <n v="0.25600000000000001"/>
        <m/>
      </sharedItems>
    </cacheField>
    <cacheField name="Disc&gt;30" numFmtId="10">
      <sharedItems containsBlank="1"/>
    </cacheField>
    <cacheField name="Quantity" numFmtId="1">
      <sharedItems containsString="0" containsBlank="1" containsNumber="1" containsInteger="1" minValue="2" maxValue="61"/>
    </cacheField>
    <cacheField name="GrossRevenue" numFmtId="0">
      <sharedItems containsString="0" containsBlank="1" containsNumber="1" minValue="18.659839999999999" maxValue="139277.83032000001"/>
    </cacheField>
    <cacheField name="Cost of Goods" numFmtId="0">
      <sharedItems containsString="0" containsBlank="1" containsNumber="1" minValue="22" maxValue="83258.290000000008"/>
    </cacheField>
    <cacheField name="Gross Profit" numFmtId="0">
      <sharedItems containsString="0" containsBlank="1" containsNumber="1" minValue="-15655.657510000005" maxValue="65188.659999999996"/>
    </cacheField>
    <cacheField name="MarginPct" numFmtId="10">
      <sharedItems containsString="0" containsBlank="1" containsNumber="1" minValue="-0.87167486187856302" maxValue="0.59711724195851179"/>
    </cacheField>
    <cacheField name="Price Band" numFmtId="0">
      <sharedItems containsBlank="1"/>
    </cacheField>
    <cacheField name="Met Target" numFmtId="0">
      <sharedItems containsBlank="1" count="3">
        <s v="Not Met"/>
        <s v="Met"/>
        <m/>
      </sharedItems>
    </cacheField>
    <cacheField name="Disc&gt;20" numFmtId="0">
      <sharedItems containsBlank="1"/>
    </cacheField>
    <cacheField name="Adjusted Discount%" numFmtId="0">
      <sharedItems containsString="0" containsBlank="1" containsNumber="1" minValue="0" maxValue="0.2"/>
    </cacheField>
    <cacheField name="Adjusted Unit Cost" numFmtId="0">
      <sharedItems containsString="0" containsBlank="1" containsNumber="1" minValue="5.6070000000000002" maxValue="1570.5795000000001"/>
    </cacheField>
    <cacheField name="Adjusted Quantity" numFmtId="0">
      <sharedItems containsString="0" containsBlank="1" containsNumber="1" minValue="2.2000000000000002" maxValue="67.100000000000009"/>
    </cacheField>
    <cacheField name="Scenario Revenue" numFmtId="0">
      <sharedItems containsString="0" containsBlank="1" containsNumber="1" minValue="20.8384" maxValue="153205.61335200001"/>
    </cacheField>
    <cacheField name="Scenario Profit" numFmtId="0">
      <sharedItems containsString="0" containsBlank="1" containsNumber="1" minValue="-18112.061550000006" maxValue="69284.482300000003"/>
    </cacheField>
    <cacheField name="Months (OrderDate)" numFmtId="0" databaseField="0">
      <fieldGroup base="1">
        <rangePr groupBy="months" startDate="2023-01-02T00:00:00" endDate="2025-09-16T00:00:00"/>
        <groupItems count="14">
          <s v="&lt;1/2/2023"/>
          <s v="Jan"/>
          <s v="Feb"/>
          <s v="Mar"/>
          <s v="Apr"/>
          <s v="May"/>
          <s v="Jun"/>
          <s v="Jul"/>
          <s v="Aug"/>
          <s v="Sep"/>
          <s v="Oct"/>
          <s v="Nov"/>
          <s v="Dec"/>
          <s v="&gt;9/16/2025"/>
        </groupItems>
      </fieldGroup>
    </cacheField>
    <cacheField name="Quarters (OrderDate)" numFmtId="0" databaseField="0">
      <fieldGroup base="1">
        <rangePr groupBy="quarters" startDate="2023-01-02T00:00:00" endDate="2025-09-16T00:00:00"/>
        <groupItems count="6">
          <s v="&lt;1/2/2023"/>
          <s v="Qtr1"/>
          <s v="Qtr2"/>
          <s v="Qtr3"/>
          <s v="Qtr4"/>
          <s v="&gt;9/16/2025"/>
        </groupItems>
      </fieldGroup>
    </cacheField>
    <cacheField name="Years (OrderDate)"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1104103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9">
  <r>
    <s v="ORD-2024-930679"/>
    <x v="0"/>
    <x v="0"/>
    <x v="0"/>
    <d v="2025-01-16T00:00:00"/>
    <d v="2025-01-16T00:00:00"/>
    <n v="30"/>
    <s v="Europe"/>
    <x v="0"/>
    <s v="Manchester"/>
    <s v="Corporate"/>
    <s v="Retail"/>
    <s v="D. Smith"/>
    <s v="Monitors"/>
    <s v="MON-4215"/>
    <n v="722.87"/>
    <n v="649.13726000000008"/>
    <n v="0.10199999999999999"/>
    <b v="0"/>
    <n v="28"/>
    <n v="16321.907265440001"/>
    <n v="20240.36"/>
    <n v="-3918.45273456"/>
    <n v="-0.24007321392254999"/>
    <s v="Low"/>
  </r>
  <r>
    <s v="ORD-2023-373538"/>
    <x v="1"/>
    <x v="1"/>
    <x v="1"/>
    <d v="2023-03-25T00:00:00"/>
    <d v="2023-03-25T00:00:00"/>
    <n v="25"/>
    <s v="Africa"/>
    <x v="1"/>
    <s v="Nairobi"/>
    <s v="Corporate"/>
    <s v="Retail"/>
    <s v="I. Johnson"/>
    <s v="Networking"/>
    <s v="NET-9666"/>
    <n v="1460.76"/>
    <n v="1269.4004399999999"/>
    <n v="0.13100000000000001"/>
    <b v="0"/>
    <n v="12"/>
    <n v="13237.307788319999"/>
    <n v="17529.12"/>
    <n v="-4291.8122116800005"/>
    <n v="-0.32422092772269762"/>
    <s v="Medium"/>
  </r>
  <r>
    <s v="ORD-2025-639542"/>
    <x v="2"/>
    <x v="2"/>
    <x v="2"/>
    <d v="2025-06-18T00:00:00"/>
    <d v="2025-06-18T00:00:00"/>
    <n v="9"/>
    <s v="Europe"/>
    <x v="2"/>
    <s v="Marseille"/>
    <s v="Small Business"/>
    <s v="Marketplace"/>
    <s v="H. Kim"/>
    <s v="Accessories"/>
    <s v="ACC-1770"/>
    <n v="1225.5"/>
    <n v="1133.5875000000001"/>
    <n v="7.4999999999999997E-2"/>
    <b v="0"/>
    <n v="56"/>
    <n v="58719.832500000011"/>
    <n v="68628"/>
    <n v="-9908.1674999999886"/>
    <n v="-0.16873630387143879"/>
    <s v="Medium"/>
  </r>
  <r>
    <s v="ORD-2024-207096"/>
    <x v="3"/>
    <x v="3"/>
    <x v="3"/>
    <d v="2024-04-05T00:00:00"/>
    <d v="2024-04-05T00:00:00"/>
    <n v="10"/>
    <s v="Americas"/>
    <x v="3"/>
    <s v="Austin"/>
    <s v="Consumer"/>
    <s v="Direct"/>
    <s v="J. Njeri"/>
    <s v="Monitors"/>
    <s v="MON-5444"/>
    <n v="5.66"/>
    <n v="4.22"/>
    <n v="0.11899999999999999"/>
    <b v="0"/>
    <n v="18"/>
    <n v="66.920760000000001"/>
    <n v="101.88"/>
    <n v="-34.959239999999994"/>
    <n v="-0.52239753403876454"/>
    <s v="Low"/>
  </r>
  <r>
    <s v="ORD-2024-919471"/>
    <x v="4"/>
    <x v="4"/>
    <x v="4"/>
    <d v="2024-07-26T00:00:00"/>
    <d v="2024-07-26T00:00:00"/>
    <n v="27"/>
    <s v="Africa"/>
    <x v="4"/>
    <s v="Durban"/>
    <s v="Enterprise"/>
    <s v="Distributor"/>
    <s v="B. Chen"/>
    <s v="Networking"/>
    <s v="NET-4241"/>
    <n v="5.36"/>
    <n v="4.37"/>
    <n v="0.11799999999999999"/>
    <b v="0"/>
    <n v="9"/>
    <n v="34.689059999999998"/>
    <n v="48.24"/>
    <n v="-13.550940000000004"/>
    <n v="-0.39064016148030545"/>
    <s v="Low"/>
  </r>
  <r>
    <s v="ORD-2025-667201"/>
    <x v="5"/>
    <x v="5"/>
    <x v="5"/>
    <d v="2025-09-18T00:00:00"/>
    <d v="2025-09-18T00:00:00"/>
    <n v="3"/>
    <s v="Americas"/>
    <x v="5"/>
    <s v="Rio de Janeiro"/>
    <s v="Non-Profit"/>
    <s v="Direct"/>
    <s v="L. Okafor"/>
    <s v="Accessories"/>
    <s v="ACC-6777"/>
    <n v="5.5"/>
    <n v="5.92"/>
    <n v="0.21199999999999999"/>
    <b v="0"/>
    <n v="4"/>
    <n v="18.659839999999999"/>
    <n v="22"/>
    <n v="-3.3401600000000009"/>
    <n v="-0.17900260666758133"/>
    <s v="Low"/>
  </r>
  <r>
    <s v="ORD-2025-541048"/>
    <x v="6"/>
    <x v="6"/>
    <x v="2"/>
    <d v="2025-04-13T00:00:00"/>
    <d v="2025-04-13T00:00:00"/>
    <n v="9"/>
    <s v="Europe"/>
    <x v="6"/>
    <s v="Munich"/>
    <s v="Consumer"/>
    <s v="Marketplace"/>
    <s v="F. Müller"/>
    <s v="Phones"/>
    <s v="PHN-3803"/>
    <n v="7.02"/>
    <n v="6.28"/>
    <n v="0.13400000000000001"/>
    <b v="0"/>
    <n v="14"/>
    <n v="76.138720000000006"/>
    <n v="98.28"/>
    <n v="-22.141279999999995"/>
    <n v="-0.29080184169106066"/>
    <s v="Low"/>
  </r>
  <r>
    <s v="ORD-2023-286994"/>
    <x v="7"/>
    <x v="1"/>
    <x v="1"/>
    <d v="2023-03-09T00:00:00"/>
    <d v="2023-03-09T00:00:00"/>
    <n v="13"/>
    <s v="Americas"/>
    <x v="3"/>
    <s v="New York"/>
    <s v="Enterprise"/>
    <s v="Online"/>
    <s v="M. Rossi"/>
    <s v="Components"/>
    <s v="CMP-1632"/>
    <n v="6.85"/>
    <n v="10.18"/>
    <n v="4.7E-2"/>
    <b v="0"/>
    <n v="10"/>
    <n v="97.0154"/>
    <n v="68.5"/>
    <n v="28.5154"/>
    <n v="0.2939265312517394"/>
    <s v="Low"/>
  </r>
  <r>
    <s v="ORD-2024-516704"/>
    <x v="8"/>
    <x v="3"/>
    <x v="3"/>
    <d v="2024-02-29T00:00:00"/>
    <d v="2024-03-15T00:00:00"/>
    <n v="14"/>
    <s v="Americas"/>
    <x v="5"/>
    <s v="São Paulo"/>
    <s v="Non-Profit"/>
    <s v="Direct"/>
    <s v="I. Johnson"/>
    <s v="Phones"/>
    <s v="PHN-7852"/>
    <n v="5.34"/>
    <n v="12.69"/>
    <n v="0.13200000000000001"/>
    <b v="0"/>
    <n v="10"/>
    <n v="110.14919999999999"/>
    <n v="53.4"/>
    <n v="56.749199999999995"/>
    <n v="0.51520301554618642"/>
    <s v="Low"/>
  </r>
  <r>
    <s v="ORD-2023-251563"/>
    <x v="9"/>
    <x v="7"/>
    <x v="6"/>
    <d v="2023-06-07T00:00:00"/>
    <d v="2023-06-07T00:00:00"/>
    <n v="27"/>
    <s v="Africa"/>
    <x v="1"/>
    <s v="Mombasa"/>
    <s v="Corporate"/>
    <s v="Online"/>
    <s v="J. Njeri"/>
    <s v="Phones"/>
    <s v="PHN-8970"/>
    <n v="12.85"/>
    <n v="15.41"/>
    <n v="0.13700000000000001"/>
    <b v="0"/>
    <n v="39"/>
    <n v="518.65436999999997"/>
    <n v="501.15"/>
    <n v="17.504369999999994"/>
    <n v="3.3749585489851353E-2"/>
    <s v="Low"/>
  </r>
  <r>
    <s v="ORD-2024-960952"/>
    <x v="10"/>
    <x v="8"/>
    <x v="3"/>
    <d v="2024-02-21T00:00:00"/>
    <d v="2024-02-21T00:00:00"/>
    <n v="18"/>
    <s v="Europe"/>
    <x v="6"/>
    <s v="Frankfurt"/>
    <s v="Corporate"/>
    <s v="Retail"/>
    <s v="H. Kim"/>
    <s v="Components"/>
    <s v="CMP-9264"/>
    <n v="39.229999999999997"/>
    <n v="30.09"/>
    <n v="0.17699999999999999"/>
    <b v="0"/>
    <n v="13"/>
    <n v="321.93290999999999"/>
    <n v="509.98999999999995"/>
    <n v="-188.05708999999996"/>
    <n v="-0.58414993981199359"/>
    <s v="Low"/>
  </r>
  <r>
    <s v="ORD-2025-946490"/>
    <x v="11"/>
    <x v="6"/>
    <x v="2"/>
    <d v="2025-05-02T00:00:00"/>
    <d v="2025-05-02T00:00:00"/>
    <n v="10"/>
    <s v="Europe"/>
    <x v="6"/>
    <s v="Berlin"/>
    <s v="Corporate"/>
    <s v="Marketplace"/>
    <s v="C. Otieno"/>
    <s v="Monitors"/>
    <s v="MON-2842"/>
    <n v="20.149999999999999"/>
    <n v="39.74"/>
    <n v="0.151"/>
    <b v="0"/>
    <n v="18"/>
    <n v="607.30668000000003"/>
    <n v="362.7"/>
    <n v="244.60668000000004"/>
    <n v="0.4027729120318585"/>
    <s v="Low"/>
  </r>
  <r>
    <s v="ORD-2023-235230"/>
    <x v="12"/>
    <x v="9"/>
    <x v="7"/>
    <d v="2023-09-01T00:00:00"/>
    <d v="2023-09-01T00:00:00"/>
    <n v="2"/>
    <s v="Europe"/>
    <x v="6"/>
    <s v="Munich"/>
    <s v="Corporate"/>
    <s v="Direct"/>
    <s v="N. Brown"/>
    <s v="Networking"/>
    <s v="NET-9989"/>
    <n v="44.42"/>
    <n v="41.9"/>
    <n v="0.14399999999999999"/>
    <b v="0"/>
    <n v="6"/>
    <n v="215.19839999999996"/>
    <n v="266.52"/>
    <n v="-51.321600000000018"/>
    <n v="-0.23848504449847224"/>
    <s v="Low"/>
  </r>
  <r>
    <s v="ORD-2023-835226"/>
    <x v="13"/>
    <x v="10"/>
    <x v="8"/>
    <d v="2023-11-05T00:00:00"/>
    <d v="2023-11-05T00:00:00"/>
    <n v="10"/>
    <s v="Africa"/>
    <x v="4"/>
    <s v="Cape Town"/>
    <s v="Non-Profit"/>
    <s v="Online"/>
    <s v="I. Johnson"/>
    <s v="Laptops"/>
    <s v="LAP-7320"/>
    <n v="20.38"/>
    <n v="42.56"/>
    <n v="7.1999999999999995E-2"/>
    <b v="0"/>
    <n v="11"/>
    <n v="434.45248000000004"/>
    <n v="224.17999999999998"/>
    <n v="210.27248000000006"/>
    <n v="0.48399419885921713"/>
    <s v="Low"/>
  </r>
  <r>
    <s v="ORD-2025-488349"/>
    <x v="14"/>
    <x v="6"/>
    <x v="2"/>
    <d v="2025-04-22T00:00:00"/>
    <d v="2025-05-07T00:00:00"/>
    <n v="14"/>
    <s v="Americas"/>
    <x v="3"/>
    <s v="San Francisco"/>
    <s v="Non-Profit"/>
    <s v="Distributor"/>
    <s v="D. Smith"/>
    <s v="Monitors"/>
    <s v="MON-3371"/>
    <n v="23.24"/>
    <n v="44.57"/>
    <n v="0.215"/>
    <b v="0"/>
    <n v="15"/>
    <n v="524.81174999999996"/>
    <n v="348.59999999999997"/>
    <n v="176.21174999999999"/>
    <n v="0.33576182316802167"/>
    <s v="Low"/>
  </r>
  <r>
    <s v="ORD-2025-537785"/>
    <x v="15"/>
    <x v="11"/>
    <x v="5"/>
    <d v="2025-08-14T00:00:00"/>
    <d v="2025-08-14T00:00:00"/>
    <n v="9"/>
    <s v="Europe"/>
    <x v="0"/>
    <s v="London"/>
    <s v="Non-Profit"/>
    <s v="Direct"/>
    <s v="E. Garcia"/>
    <s v="Components"/>
    <s v="CMP-6346"/>
    <n v="41.76"/>
    <n v="45.19"/>
    <n v="0.17899999999999999"/>
    <b v="0"/>
    <n v="23"/>
    <n v="853.32276999999988"/>
    <n v="960.4799999999999"/>
    <n v="-107.15723000000003"/>
    <n v="-0.12557643340514638"/>
    <s v="Low"/>
  </r>
  <r>
    <s v="ORD-2025-728935"/>
    <x v="16"/>
    <x v="12"/>
    <x v="9"/>
    <d v="2025-03-10T00:00:00"/>
    <d v="2025-03-10T00:00:00"/>
    <n v="10"/>
    <s v="Asia"/>
    <x v="7"/>
    <s v="Osaka"/>
    <s v="Education"/>
    <s v="Distributor"/>
    <s v="N. Brown"/>
    <s v="Laptops"/>
    <s v="LAP-3017"/>
    <n v="51.86"/>
    <n v="45.98"/>
    <n v="0.17299999999999999"/>
    <b v="0"/>
    <n v="7"/>
    <n v="266.17821999999995"/>
    <n v="363.02"/>
    <n v="-96.841780000000028"/>
    <n v="-0.3638230806412337"/>
    <s v="Low"/>
  </r>
  <r>
    <s v="ORD-2023-112666"/>
    <x v="17"/>
    <x v="13"/>
    <x v="1"/>
    <d v="2023-01-13T00:00:00"/>
    <d v="2023-01-29T00:00:00"/>
    <n v="14"/>
    <s v="Africa"/>
    <x v="8"/>
    <s v="Abuja"/>
    <s v="Education"/>
    <s v="Online"/>
    <s v="O. Wang"/>
    <s v="Printers"/>
    <s v="PRN-6276"/>
    <n v="28.38"/>
    <n v="47.22"/>
    <n v="0.19400000000000001"/>
    <b v="0"/>
    <n v="18"/>
    <n v="685.06776000000002"/>
    <n v="510.84"/>
    <n v="174.22776000000005"/>
    <n v="0.25432193743871417"/>
    <s v="Low"/>
  </r>
  <r>
    <s v="ORD-2025-177994"/>
    <x v="18"/>
    <x v="14"/>
    <x v="9"/>
    <d v="2025-04-04T00:00:00"/>
    <d v="2025-04-04T00:00:00"/>
    <n v="11"/>
    <s v="Asia"/>
    <x v="9"/>
    <s v="Mumbai"/>
    <s v="Education"/>
    <s v="Marketplace"/>
    <s v="J. Njeri"/>
    <s v="Phones"/>
    <s v="PHN-4395"/>
    <n v="23.83"/>
    <n v="47.29"/>
    <n v="6.4000000000000001E-2"/>
    <b v="0"/>
    <n v="19"/>
    <n v="841.00536"/>
    <n v="452.77"/>
    <n v="388.23536000000001"/>
    <n v="0.46163244429262618"/>
    <s v="Low"/>
  </r>
  <r>
    <s v="ORD-2023-603650"/>
    <x v="19"/>
    <x v="7"/>
    <x v="6"/>
    <d v="2023-06-10T00:00:00"/>
    <d v="2023-06-10T00:00:00"/>
    <n v="18"/>
    <s v="Asia"/>
    <x v="10"/>
    <s v="Shanghai"/>
    <s v="Corporate"/>
    <s v="Distributor"/>
    <s v="E. Garcia"/>
    <s v="Components"/>
    <s v="CMP-6925"/>
    <n v="54.62"/>
    <n v="48.94"/>
    <n v="0.14799999999999999"/>
    <b v="0"/>
    <n v="16"/>
    <n v="667.15008"/>
    <n v="873.92"/>
    <n v="-206.76991999999996"/>
    <n v="-0.3099301434543783"/>
    <s v="Low"/>
  </r>
  <r>
    <s v="ORD-2025-698069"/>
    <x v="20"/>
    <x v="2"/>
    <x v="2"/>
    <d v="2025-06-10T00:00:00"/>
    <d v="2025-06-10T00:00:00"/>
    <n v="7"/>
    <s v="Americas"/>
    <x v="11"/>
    <s v="Toronto"/>
    <s v="Consumer"/>
    <s v="Distributor"/>
    <s v="O. Wang"/>
    <s v="Printers"/>
    <s v="PRN-6429"/>
    <n v="75.180000000000007"/>
    <n v="53.45"/>
    <n v="0.157"/>
    <b v="0"/>
    <n v="17"/>
    <n v="765.99195000000009"/>
    <n v="1278.0600000000002"/>
    <n v="-512.06805000000008"/>
    <n v="-0.66850317421743144"/>
    <s v="Low"/>
  </r>
  <r>
    <s v="ORD-2024-403664"/>
    <x v="21"/>
    <x v="15"/>
    <x v="4"/>
    <d v="2024-06-06T00:00:00"/>
    <d v="2024-06-06T00:00:00"/>
    <n v="14"/>
    <s v="Americas"/>
    <x v="5"/>
    <s v="Rio de Janeiro"/>
    <s v="Non-Profit"/>
    <s v="Online"/>
    <s v="I. Johnson"/>
    <s v="Networking"/>
    <s v="NET-1166"/>
    <n v="51.13"/>
    <n v="57.53"/>
    <n v="4.4999999999999998E-2"/>
    <b v="0"/>
    <n v="16"/>
    <n v="879.05840000000001"/>
    <n v="818.08"/>
    <n v="60.978399999999965"/>
    <n v="6.9367859973808302E-2"/>
    <s v="Low"/>
  </r>
  <r>
    <s v="ORD-2023-704111"/>
    <x v="22"/>
    <x v="7"/>
    <x v="6"/>
    <d v="2023-06-15T00:00:00"/>
    <d v="2023-06-15T00:00:00"/>
    <n v="29"/>
    <s v="Africa"/>
    <x v="4"/>
    <s v="Durban"/>
    <s v="Enterprise"/>
    <s v="Retail"/>
    <s v="K. Singh"/>
    <s v="Accessories"/>
    <s v="ACC-5206"/>
    <n v="40.89"/>
    <n v="62.82"/>
    <n v="0.129"/>
    <b v="0"/>
    <n v="17"/>
    <n v="930.17574000000002"/>
    <n v="695.13"/>
    <n v="235.04574000000002"/>
    <n v="0.25268960465470752"/>
    <s v="Low"/>
  </r>
  <r>
    <s v="ORD-2024-206121"/>
    <x v="23"/>
    <x v="8"/>
    <x v="3"/>
    <d v="2024-03-11T00:00:00"/>
    <d v="2024-03-11T00:00:00"/>
    <n v="22"/>
    <s v="Americas"/>
    <x v="5"/>
    <s v="São Paulo"/>
    <s v="Consumer"/>
    <s v="Online"/>
    <s v="A. Patel"/>
    <s v="Components"/>
    <s v="CMP-9801"/>
    <n v="80.48"/>
    <n v="65.650000000000006"/>
    <n v="0.17599999999999999"/>
    <b v="0"/>
    <n v="13"/>
    <n v="703.2428000000001"/>
    <n v="1046.24"/>
    <n v="-342.99719999999991"/>
    <n v="-0.48773652570634191"/>
    <s v="Low"/>
  </r>
  <r>
    <s v="ORD-2025-778145"/>
    <x v="11"/>
    <x v="6"/>
    <x v="2"/>
    <d v="2025-05-12T00:00:00"/>
    <d v="2025-05-12T00:00:00"/>
    <n v="20"/>
    <s v="Europe"/>
    <x v="2"/>
    <s v="Lyon"/>
    <s v="Enterprise"/>
    <s v="Marketplace"/>
    <s v="K. Singh"/>
    <s v="Monitors"/>
    <s v="MON-9216"/>
    <n v="59.51"/>
    <n v="67.040000000000006"/>
    <n v="0.114"/>
    <b v="0"/>
    <n v="9"/>
    <n v="534.57695999999999"/>
    <n v="535.59"/>
    <n v="-1.0130400000000463"/>
    <n v="-1.8950311663264469E-3"/>
    <s v="Low"/>
  </r>
  <r>
    <s v="ORD-2023-766015"/>
    <x v="24"/>
    <x v="16"/>
    <x v="6"/>
    <d v="2023-04-11T00:00:00"/>
    <d v="2023-04-27T00:00:00"/>
    <n v="14"/>
    <s v="Americas"/>
    <x v="3"/>
    <s v="San Francisco"/>
    <s v="Education"/>
    <s v="Marketplace"/>
    <s v="G. Dubois"/>
    <s v="Networking"/>
    <s v="NET-1816"/>
    <n v="32.1"/>
    <n v="70.599999999999994"/>
    <n v="0.28199999999999997"/>
    <b v="0"/>
    <n v="22"/>
    <n v="1115.1975999999997"/>
    <n v="706.2"/>
    <n v="408.99759999999969"/>
    <n v="0.36674899587301818"/>
    <s v="Low"/>
  </r>
  <r>
    <s v="ORD-2023-258768"/>
    <x v="25"/>
    <x v="17"/>
    <x v="6"/>
    <d v="2023-07-02T00:00:00"/>
    <d v="2023-07-02T00:00:00"/>
    <n v="3"/>
    <s v="Asia"/>
    <x v="7"/>
    <s v="Nagoya"/>
    <s v="Education"/>
    <s v="Marketplace"/>
    <s v="F. Müller"/>
    <s v="Monitors"/>
    <s v="MON-2990"/>
    <n v="55.65"/>
    <n v="83.57"/>
    <n v="6.6000000000000003E-2"/>
    <b v="0"/>
    <n v="8"/>
    <n v="624.43503999999996"/>
    <n v="445.2"/>
    <n v="179.23503999999997"/>
    <n v="0.2870355257449998"/>
    <s v="Low"/>
  </r>
  <r>
    <s v="ORD-2024-232632"/>
    <x v="26"/>
    <x v="8"/>
    <x v="3"/>
    <d v="2024-02-14T00:00:00"/>
    <d v="2024-02-14T00:00:00"/>
    <n v="0"/>
    <s v="Asia"/>
    <x v="10"/>
    <s v="Beijing"/>
    <s v="Corporate"/>
    <s v="Distributor"/>
    <s v="L. Okafor"/>
    <s v="Accessories"/>
    <s v="ACC-1021"/>
    <n v="65.930000000000007"/>
    <n v="84.9"/>
    <n v="0.25900000000000001"/>
    <b v="0"/>
    <n v="23"/>
    <n v="1446.9507000000001"/>
    <n v="1516.39"/>
    <n v="-69.439300000000003"/>
    <n v="-4.7990093926489688E-2"/>
    <s v="Low"/>
  </r>
  <r>
    <s v="ORD-2023-856322"/>
    <x v="27"/>
    <x v="13"/>
    <x v="1"/>
    <d v="2023-02-06T00:00:00"/>
    <d v="2023-02-06T00:00:00"/>
    <n v="8"/>
    <s v="Americas"/>
    <x v="5"/>
    <s v="Brasília"/>
    <s v="Corporate"/>
    <s v="Marketplace"/>
    <s v="D. Smith"/>
    <s v="Monitors"/>
    <s v="MON-7207"/>
    <n v="41.84"/>
    <n v="86.2"/>
    <n v="0.22600000000000001"/>
    <b v="0"/>
    <n v="27"/>
    <n v="1801.4076000000002"/>
    <n v="1129.68"/>
    <n v="671.72760000000017"/>
    <n v="0.37289039970742882"/>
    <s v="Low"/>
  </r>
  <r>
    <s v="ORD-2025-956101"/>
    <x v="28"/>
    <x v="18"/>
    <x v="5"/>
    <d v="2025-07-18T00:00:00"/>
    <d v="2025-07-18T00:00:00"/>
    <n v="9"/>
    <s v="Americas"/>
    <x v="11"/>
    <s v="Vancouver"/>
    <s v="Education"/>
    <s v="Distributor"/>
    <s v="I. Johnson"/>
    <s v="Laptops"/>
    <s v="LAP-2218"/>
    <n v="57.96"/>
    <n v="88.51"/>
    <n v="4.2999999999999997E-2"/>
    <b v="0"/>
    <n v="7"/>
    <n v="592.92849000000001"/>
    <n v="405.72"/>
    <n v="187.20848999999998"/>
    <n v="0.3157353595877978"/>
    <s v="Low"/>
  </r>
  <r>
    <s v="ORD-2024-207792"/>
    <x v="29"/>
    <x v="19"/>
    <x v="10"/>
    <d v="2024-09-07T00:00:00"/>
    <d v="2024-09-07T00:00:00"/>
    <n v="4"/>
    <s v="Asia"/>
    <x v="7"/>
    <s v="Tokyo"/>
    <s v="Small Business"/>
    <s v="Distributor"/>
    <s v="N. Brown"/>
    <s v="Printers"/>
    <s v="PRN-3917"/>
    <n v="43.23"/>
    <n v="94.78"/>
    <n v="9.0999999999999998E-2"/>
    <b v="0"/>
    <n v="55"/>
    <n v="4738.5261"/>
    <n v="2377.6499999999996"/>
    <n v="2360.8761000000004"/>
    <n v="0.49823005090127082"/>
    <s v="Low"/>
  </r>
  <r>
    <s v="ORD-2025-908258"/>
    <x v="30"/>
    <x v="2"/>
    <x v="2"/>
    <d v="2025-06-27T00:00:00"/>
    <d v="2025-06-27T00:00:00"/>
    <n v="6"/>
    <s v="Africa"/>
    <x v="4"/>
    <s v="Durban"/>
    <s v="Enterprise"/>
    <s v="Distributor"/>
    <s v="N. Brown"/>
    <s v="Phones"/>
    <s v="PHN-3819"/>
    <n v="93.91"/>
    <n v="99.04"/>
    <n v="5.7000000000000002E-2"/>
    <b v="0"/>
    <n v="6"/>
    <n v="560.36831999999993"/>
    <n v="563.46"/>
    <n v="-3.0916800000001103"/>
    <n v="-5.5172283829323376E-3"/>
    <s v="Low"/>
  </r>
  <r>
    <s v="ORD-2024-260775"/>
    <x v="31"/>
    <x v="20"/>
    <x v="0"/>
    <d v="2024-11-06T00:00:00"/>
    <d v="2024-11-06T00:00:00"/>
    <n v="20"/>
    <s v="Asia"/>
    <x v="9"/>
    <s v="Bengaluru"/>
    <s v="Enterprise"/>
    <s v="Distributor"/>
    <s v="O. Wang"/>
    <s v="Monitors"/>
    <s v="MON-4330"/>
    <n v="72.94"/>
    <n v="106.3"/>
    <n v="0.29499999999999998"/>
    <b v="0"/>
    <n v="8"/>
    <n v="599.53200000000004"/>
    <n v="583.52"/>
    <n v="16.012000000000057"/>
    <n v="2.6707498515508857E-2"/>
    <s v="Low"/>
  </r>
  <r>
    <s v="ORD-2023-274037"/>
    <x v="32"/>
    <x v="9"/>
    <x v="7"/>
    <d v="2023-08-25T00:00:00"/>
    <d v="2023-08-25T00:00:00"/>
    <n v="10"/>
    <s v="Africa"/>
    <x v="1"/>
    <s v="Nairobi"/>
    <s v="Small Business"/>
    <s v="Retail"/>
    <s v="N. Brown"/>
    <s v="Phones"/>
    <s v="PHN-1234"/>
    <n v="91.85"/>
    <n v="111.29"/>
    <n v="0"/>
    <b v="0"/>
    <n v="6"/>
    <n v="667.74"/>
    <n v="551.09999999999991"/>
    <n v="116.6400000000001"/>
    <n v="0.17467876718483258"/>
    <s v="Low"/>
  </r>
  <r>
    <s v="ORD-2023-340056"/>
    <x v="33"/>
    <x v="16"/>
    <x v="6"/>
    <d v="2023-04-26T00:00:00"/>
    <d v="2023-04-26T00:00:00"/>
    <n v="0"/>
    <s v="Europe"/>
    <x v="2"/>
    <s v="Marseille"/>
    <s v="Consumer"/>
    <s v="Direct"/>
    <s v="M. Rossi"/>
    <s v="Components"/>
    <s v="CMP-4945"/>
    <n v="81.489999999999995"/>
    <n v="113.08"/>
    <n v="0.121"/>
    <b v="0"/>
    <n v="5"/>
    <n v="496.98660000000001"/>
    <n v="407.45"/>
    <n v="89.536600000000021"/>
    <n v="0.18015898215364362"/>
    <s v="Low"/>
  </r>
  <r>
    <s v="ORD-2025-460466"/>
    <x v="34"/>
    <x v="12"/>
    <x v="9"/>
    <d v="2025-02-16T00:00:00"/>
    <d v="2025-02-16T00:00:00"/>
    <n v="9"/>
    <s v="Africa"/>
    <x v="8"/>
    <s v="Lagos"/>
    <s v="Small Business"/>
    <s v="Distributor"/>
    <s v="C. Otieno"/>
    <s v="Printers"/>
    <s v="PRN-1882"/>
    <n v="90.68"/>
    <n v="118.17"/>
    <n v="0.13500000000000001"/>
    <b v="0"/>
    <n v="21"/>
    <n v="2146.5580500000001"/>
    <n v="1904.2800000000002"/>
    <n v="242.27804999999989"/>
    <n v="0.11286815653552899"/>
    <s v="Low"/>
  </r>
  <r>
    <s v="ORD-2025-752845"/>
    <x v="35"/>
    <x v="14"/>
    <x v="9"/>
    <d v="2025-04-07T00:00:00"/>
    <d v="2025-04-07T00:00:00"/>
    <n v="8"/>
    <s v="Americas"/>
    <x v="5"/>
    <s v="São Paulo"/>
    <s v="Non-Profit"/>
    <s v="Direct"/>
    <s v="L. Okafor"/>
    <s v="Printers"/>
    <s v="PRN-8763"/>
    <n v="71.62"/>
    <n v="118.37"/>
    <n v="0.156"/>
    <b v="0"/>
    <n v="11"/>
    <n v="1098.9470800000001"/>
    <n v="787.82"/>
    <n v="311.12708000000009"/>
    <n v="0.28311379652603474"/>
    <s v="Low"/>
  </r>
  <r>
    <s v="ORD-2024-866535"/>
    <x v="36"/>
    <x v="0"/>
    <x v="0"/>
    <d v="2024-12-12T00:00:00"/>
    <d v="2024-12-12T00:00:00"/>
    <n v="8"/>
    <s v="Europe"/>
    <x v="6"/>
    <s v="Frankfurt"/>
    <s v="Enterprise"/>
    <s v="Marketplace"/>
    <s v="B. Chen"/>
    <s v="Printers"/>
    <s v="PRN-5492"/>
    <n v="72.06"/>
    <n v="122.74"/>
    <n v="0.23799999999999999"/>
    <b v="0"/>
    <n v="8"/>
    <n v="748.22303999999997"/>
    <n v="576.48"/>
    <n v="171.74303999999995"/>
    <n v="0.22953455162246802"/>
    <s v="Low"/>
  </r>
  <r>
    <s v="ORD-2023-378676"/>
    <x v="37"/>
    <x v="7"/>
    <x v="6"/>
    <d v="2023-05-16T00:00:00"/>
    <d v="2023-05-16T00:00:00"/>
    <n v="13"/>
    <s v="Americas"/>
    <x v="3"/>
    <s v="New York"/>
    <s v="Corporate"/>
    <s v="Marketplace"/>
    <s v="L. Okafor"/>
    <s v="Phones"/>
    <s v="PHN-5366"/>
    <n v="64.5"/>
    <n v="123.62"/>
    <n v="0"/>
    <b v="0"/>
    <n v="3"/>
    <n v="370.86"/>
    <n v="193.5"/>
    <n v="177.36"/>
    <n v="0.47823976702798904"/>
    <s v="Low"/>
  </r>
  <r>
    <s v="ORD-2024-838925"/>
    <x v="38"/>
    <x v="21"/>
    <x v="3"/>
    <d v="2024-01-27T00:00:00"/>
    <d v="2024-02-11T00:00:00"/>
    <n v="14"/>
    <s v="Africa"/>
    <x v="4"/>
    <s v="Cape Town"/>
    <s v="Enterprise"/>
    <s v="Direct"/>
    <s v="O. Wang"/>
    <s v="Components"/>
    <s v="CMP-1470"/>
    <n v="109.75"/>
    <n v="124.25"/>
    <n v="0.12"/>
    <b v="0"/>
    <n v="19"/>
    <n v="2077.46"/>
    <n v="2085.25"/>
    <n v="-7.7899999999999636"/>
    <n v="-3.7497713554051405E-3"/>
    <s v="Low"/>
  </r>
  <r>
    <s v="ORD-2024-225829"/>
    <x v="39"/>
    <x v="22"/>
    <x v="0"/>
    <d v="2024-11-26T00:00:00"/>
    <d v="2024-11-26T00:00:00"/>
    <n v="19"/>
    <s v="Americas"/>
    <x v="5"/>
    <s v="Rio de Janeiro"/>
    <s v="Non-Profit"/>
    <s v="Distributor"/>
    <s v="J. Njeri"/>
    <s v="Printers"/>
    <s v="PRN-9960"/>
    <n v="55.35"/>
    <n v="128.68"/>
    <n v="0.128"/>
    <b v="0"/>
    <n v="10"/>
    <n v="1122.0896000000002"/>
    <n v="553.5"/>
    <n v="568.58960000000025"/>
    <n v="0.50672388372550647"/>
    <s v="Low"/>
  </r>
  <r>
    <s v="ORD-2025-586799"/>
    <x v="40"/>
    <x v="18"/>
    <x v="5"/>
    <d v="2025-08-04T00:00:00"/>
    <d v="2025-08-04T00:00:00"/>
    <n v="21"/>
    <s v="Americas"/>
    <x v="11"/>
    <s v="Montreal"/>
    <s v="Consumer"/>
    <s v="Online"/>
    <s v="H. Kim"/>
    <s v="Monitors"/>
    <s v="MON-7868"/>
    <n v="90.3"/>
    <n v="131.76"/>
    <n v="0.10199999999999999"/>
    <b v="0"/>
    <n v="15"/>
    <n v="1774.8072"/>
    <n v="1354.5"/>
    <n v="420.30719999999997"/>
    <n v="0.23681851189244668"/>
    <s v="Low"/>
  </r>
  <r>
    <s v="ORD-2025-926547"/>
    <x v="41"/>
    <x v="14"/>
    <x v="9"/>
    <d v="2025-03-26T00:00:00"/>
    <d v="2025-03-26T00:00:00"/>
    <n v="15"/>
    <s v="Europe"/>
    <x v="6"/>
    <s v="Berlin"/>
    <s v="Small Business"/>
    <s v="Online"/>
    <s v="I. Johnson"/>
    <s v="Phones"/>
    <s v="PHN-3007"/>
    <n v="116.97"/>
    <n v="140.82"/>
    <n v="0.122"/>
    <b v="0"/>
    <n v="5"/>
    <n v="618.19979999999987"/>
    <n v="584.85"/>
    <n v="33.349799999999846"/>
    <n v="5.3946636669891926E-2"/>
    <s v="Low"/>
  </r>
  <r>
    <s v="ORD-2025-828263"/>
    <x v="42"/>
    <x v="23"/>
    <x v="2"/>
    <d v="2025-05-30T00:00:00"/>
    <d v="2025-05-30T00:00:00"/>
    <n v="13"/>
    <s v="Africa"/>
    <x v="8"/>
    <s v="Lagos"/>
    <s v="Consumer"/>
    <s v="Distributor"/>
    <s v="F. Müller"/>
    <s v="Accessories"/>
    <s v="ACC-3349"/>
    <n v="66.400000000000006"/>
    <n v="141.43"/>
    <n v="0.107"/>
    <b v="0"/>
    <n v="8"/>
    <n v="1010.3759200000001"/>
    <n v="531.20000000000005"/>
    <n v="479.17592000000002"/>
    <n v="0.47425508715607551"/>
    <s v="Low"/>
  </r>
  <r>
    <s v="ORD-2023-898009"/>
    <x v="43"/>
    <x v="7"/>
    <x v="6"/>
    <d v="2023-05-16T00:00:00"/>
    <d v="2023-05-16T00:00:00"/>
    <n v="12"/>
    <s v="Africa"/>
    <x v="8"/>
    <s v="Abuja"/>
    <s v="Small Business"/>
    <s v="Marketplace"/>
    <s v="J. Njeri"/>
    <s v="Phones"/>
    <s v="PHN-1670"/>
    <n v="77.739999999999995"/>
    <n v="147.12"/>
    <n v="0"/>
    <b v="0"/>
    <n v="15"/>
    <n v="2206.8000000000002"/>
    <n v="1166.0999999999999"/>
    <n v="1040.7000000000003"/>
    <n v="0.47158781946710177"/>
    <s v="Low"/>
  </r>
  <r>
    <s v="ORD-2024-853298"/>
    <x v="44"/>
    <x v="3"/>
    <x v="3"/>
    <d v="2024-03-26T00:00:00"/>
    <d v="2024-03-26T00:00:00"/>
    <n v="20"/>
    <s v="Africa"/>
    <x v="8"/>
    <s v="Port Harcourt"/>
    <s v="Consumer"/>
    <s v="Marketplace"/>
    <s v="I. Johnson"/>
    <s v="Phones"/>
    <s v="PHN-4741"/>
    <n v="65.64"/>
    <n v="151.88"/>
    <n v="0.16700000000000001"/>
    <b v="0"/>
    <n v="23"/>
    <n v="2909.8689199999999"/>
    <n v="1509.72"/>
    <n v="1400.1489199999999"/>
    <n v="0.48117250587356353"/>
    <s v="Low"/>
  </r>
  <r>
    <s v="ORD-2024-792558"/>
    <x v="45"/>
    <x v="20"/>
    <x v="0"/>
    <d v="2024-11-08T00:00:00"/>
    <d v="2024-11-08T00:00:00"/>
    <n v="23"/>
    <s v="Asia"/>
    <x v="7"/>
    <s v="Osaka"/>
    <s v="Small Business"/>
    <s v="Retail"/>
    <s v="J. Njeri"/>
    <s v="Networking"/>
    <s v="NET-6387"/>
    <n v="82.14"/>
    <n v="166.04"/>
    <n v="0"/>
    <b v="0"/>
    <n v="10"/>
    <n v="1660.3999999999999"/>
    <n v="821.4"/>
    <n v="838.99999999999989"/>
    <n v="0.50529992772825827"/>
    <s v="Low"/>
  </r>
  <r>
    <s v="ORD-2024-973420"/>
    <x v="46"/>
    <x v="15"/>
    <x v="4"/>
    <d v="2024-05-24T00:00:00"/>
    <d v="2024-05-24T00:00:00"/>
    <n v="12"/>
    <s v="Europe"/>
    <x v="0"/>
    <s v="Manchester"/>
    <s v="Education"/>
    <s v="Marketplace"/>
    <s v="K. Singh"/>
    <s v="Printers"/>
    <s v="PRN-5813"/>
    <n v="111.02"/>
    <n v="172.88"/>
    <n v="0.19700000000000001"/>
    <b v="0"/>
    <n v="29"/>
    <n v="4025.8565599999993"/>
    <n v="3219.58"/>
    <n v="806.27655999999934"/>
    <n v="0.20027453735212053"/>
    <s v="Low"/>
  </r>
  <r>
    <s v="ORD-2024-788105"/>
    <x v="47"/>
    <x v="22"/>
    <x v="0"/>
    <d v="2024-12-30T00:00:00"/>
    <d v="2024-12-30T00:00:00"/>
    <n v="30"/>
    <s v="Europe"/>
    <x v="2"/>
    <s v="Marseille"/>
    <s v="Consumer"/>
    <s v="Marketplace"/>
    <s v="F. Müller"/>
    <s v="Printers"/>
    <s v="PRN-4170"/>
    <n v="117.64"/>
    <n v="175.67"/>
    <n v="0"/>
    <b v="0"/>
    <n v="10"/>
    <n v="1756.6999999999998"/>
    <n v="1176.4000000000001"/>
    <n v="580.29999999999973"/>
    <n v="0.33033528775545046"/>
    <s v="Low"/>
  </r>
  <r>
    <s v="ORD-2023-920483"/>
    <x v="48"/>
    <x v="24"/>
    <x v="7"/>
    <d v="2023-08-01T00:00:00"/>
    <d v="2023-08-01T00:00:00"/>
    <n v="30"/>
    <s v="Europe"/>
    <x v="0"/>
    <s v="Birmingham"/>
    <s v="Small Business"/>
    <s v="Retail"/>
    <s v="B. Chen"/>
    <s v="Components"/>
    <s v="CMP-7256"/>
    <n v="137.46"/>
    <n v="188.3"/>
    <n v="3.7999999999999999E-2"/>
    <b v="0"/>
    <n v="37"/>
    <n v="6702.3501999999999"/>
    <n v="5086.0200000000004"/>
    <n v="1616.3301999999994"/>
    <n v="0.24115872071262398"/>
    <s v="Low"/>
  </r>
  <r>
    <s v="ORD-2024-581530"/>
    <x v="49"/>
    <x v="19"/>
    <x v="10"/>
    <d v="2024-09-18T00:00:00"/>
    <d v="2024-09-18T00:00:00"/>
    <n v="11"/>
    <s v="Asia"/>
    <x v="10"/>
    <s v="Beijing"/>
    <s v="Consumer"/>
    <s v="Distributor"/>
    <s v="O. Wang"/>
    <s v="Networking"/>
    <s v="NET-7998"/>
    <n v="181.74"/>
    <n v="190.84"/>
    <n v="0.214"/>
    <b v="0"/>
    <n v="13"/>
    <n v="1950.0031200000001"/>
    <n v="2362.62"/>
    <n v="-412.61687999999981"/>
    <n v="-0.21159806144310159"/>
    <s v="Low"/>
  </r>
  <r>
    <s v="ORD-2024-745424"/>
    <x v="50"/>
    <x v="25"/>
    <x v="10"/>
    <d v="2024-09-04T00:00:00"/>
    <d v="2024-09-04T00:00:00"/>
    <n v="13"/>
    <s v="Europe"/>
    <x v="6"/>
    <s v="Frankfurt"/>
    <s v="Non-Profit"/>
    <s v="Retail"/>
    <s v="L. Okafor"/>
    <s v="Printers"/>
    <s v="PRN-4892"/>
    <n v="90.04"/>
    <n v="194.62"/>
    <n v="4.2999999999999997E-2"/>
    <b v="0"/>
    <n v="32"/>
    <n v="5960.04288"/>
    <n v="2881.28"/>
    <n v="3078.7628799999998"/>
    <n v="0.51656723650954672"/>
    <s v="Low"/>
  </r>
  <r>
    <s v="ORD-2023-864121"/>
    <x v="51"/>
    <x v="26"/>
    <x v="1"/>
    <d v="2023-04-22T00:00:00"/>
    <d v="2023-04-22T00:00:00"/>
    <n v="26"/>
    <s v="Asia"/>
    <x v="9"/>
    <s v="Delhi"/>
    <s v="Non-Profit"/>
    <s v="Marketplace"/>
    <s v="J. Njeri"/>
    <s v="Printers"/>
    <s v="PRN-4506"/>
    <n v="178.53"/>
    <n v="199.37"/>
    <n v="0.10100000000000001"/>
    <b v="0"/>
    <n v="37"/>
    <n v="6631.6443100000006"/>
    <n v="6605.61"/>
    <n v="26.034310000000914"/>
    <n v="3.9257699573457538E-3"/>
    <s v="Low"/>
  </r>
  <r>
    <s v="ORD-2023-539967"/>
    <x v="52"/>
    <x v="24"/>
    <x v="7"/>
    <d v="2023-07-19T00:00:00"/>
    <d v="2023-07-19T00:00:00"/>
    <n v="10"/>
    <s v="Asia"/>
    <x v="7"/>
    <s v="Tokyo"/>
    <s v="Enterprise"/>
    <s v="Distributor"/>
    <s v="N. Brown"/>
    <s v="Components"/>
    <s v="CMP-6649"/>
    <n v="141.26"/>
    <n v="206.88"/>
    <n v="0.107"/>
    <b v="0"/>
    <n v="9"/>
    <n v="1662.6945600000001"/>
    <n v="1271.3399999999999"/>
    <n v="391.35456000000022"/>
    <n v="0.23537369365062469"/>
    <s v="Low"/>
  </r>
  <r>
    <s v="ORD-2025-419532"/>
    <x v="53"/>
    <x v="11"/>
    <x v="5"/>
    <d v="2025-08-23T00:00:00"/>
    <d v="2025-08-23T00:00:00"/>
    <n v="17"/>
    <s v="Americas"/>
    <x v="5"/>
    <s v="Brasília"/>
    <s v="Consumer"/>
    <s v="Distributor"/>
    <s v="A. Patel"/>
    <s v="Monitors"/>
    <s v="MON-4317"/>
    <n v="86.64"/>
    <n v="213.06"/>
    <n v="0.21199999999999999"/>
    <b v="0"/>
    <n v="11"/>
    <n v="1846.8040799999999"/>
    <n v="953.04"/>
    <n v="893.76407999999992"/>
    <n v="0.48395175735154322"/>
    <s v="Low"/>
  </r>
  <r>
    <s v="ORD-2025-138578"/>
    <x v="54"/>
    <x v="6"/>
    <x v="2"/>
    <d v="2025-04-12T00:00:00"/>
    <d v="2025-04-12T00:00:00"/>
    <n v="3"/>
    <s v="Europe"/>
    <x v="2"/>
    <s v="Lyon"/>
    <s v="Small Business"/>
    <s v="Distributor"/>
    <s v="H. Kim"/>
    <s v="Monitors"/>
    <s v="MON-5276"/>
    <n v="86.68"/>
    <n v="213.32"/>
    <n v="3.7999999999999999E-2"/>
    <b v="0"/>
    <n v="8"/>
    <n v="1641.7107199999998"/>
    <n v="693.44"/>
    <n v="948.27071999999976"/>
    <n v="0.57761133459614611"/>
    <s v="Low"/>
  </r>
  <r>
    <s v="ORD-2025-649239"/>
    <x v="55"/>
    <x v="27"/>
    <x v="9"/>
    <d v="2025-01-24T00:00:00"/>
    <d v="2025-01-24T00:00:00"/>
    <n v="7"/>
    <s v="Americas"/>
    <x v="3"/>
    <s v="Austin"/>
    <s v="Enterprise"/>
    <s v="Online"/>
    <s v="G. Dubois"/>
    <s v="Accessories"/>
    <s v="ACC-4511"/>
    <n v="142.09"/>
    <n v="218.5"/>
    <n v="0.11899999999999999"/>
    <b v="0"/>
    <n v="11"/>
    <n v="2117.4834999999998"/>
    <n v="1562.99"/>
    <n v="554.49349999999981"/>
    <n v="0.26186437816398561"/>
    <s v="Low"/>
  </r>
  <r>
    <s v="ORD-2024-641220"/>
    <x v="56"/>
    <x v="15"/>
    <x v="4"/>
    <d v="2024-05-16T00:00:00"/>
    <d v="2024-05-16T00:00:00"/>
    <n v="6"/>
    <s v="Europe"/>
    <x v="0"/>
    <s v="Birmingham"/>
    <s v="Non-Profit"/>
    <s v="Direct"/>
    <s v="G. Dubois"/>
    <s v="Laptops"/>
    <s v="LAP-1066"/>
    <n v="210.76"/>
    <n v="221.58"/>
    <n v="8.8999999999999996E-2"/>
    <b v="0"/>
    <n v="5"/>
    <n v="1009.2969000000002"/>
    <n v="1053.8"/>
    <n v="-44.50309999999979"/>
    <n v="-4.4093170205912434E-2"/>
    <s v="Low"/>
  </r>
  <r>
    <s v="ORD-2025-415018"/>
    <x v="57"/>
    <x v="27"/>
    <x v="9"/>
    <d v="2025-02-04T00:00:00"/>
    <d v="2025-02-04T00:00:00"/>
    <n v="13"/>
    <s v="Asia"/>
    <x v="7"/>
    <s v="Tokyo"/>
    <s v="Small Business"/>
    <s v="Distributor"/>
    <s v="L. Okafor"/>
    <s v="Printers"/>
    <s v="PRN-2991"/>
    <n v="122.29"/>
    <n v="224.95"/>
    <n v="0.153"/>
    <b v="0"/>
    <n v="28"/>
    <n v="5334.9141999999993"/>
    <n v="3424.1200000000003"/>
    <n v="1910.7941999999989"/>
    <n v="0.3581677471026618"/>
    <s v="Low"/>
  </r>
  <r>
    <s v="ORD-2025-653781"/>
    <x v="58"/>
    <x v="27"/>
    <x v="9"/>
    <d v="2025-01-23T00:00:00"/>
    <d v="2025-01-23T00:00:00"/>
    <n v="12"/>
    <s v="Americas"/>
    <x v="3"/>
    <s v="Austin"/>
    <s v="Consumer"/>
    <s v="Distributor"/>
    <s v="H. Kim"/>
    <s v="Phones"/>
    <s v="PHN-6307"/>
    <n v="100.69"/>
    <n v="226.14"/>
    <n v="6.5000000000000002E-2"/>
    <b v="0"/>
    <n v="12"/>
    <n v="2537.2908000000002"/>
    <n v="1208.28"/>
    <n v="1329.0108000000002"/>
    <n v="0.52379128162999689"/>
    <s v="Low"/>
  </r>
  <r>
    <s v="ORD-2025-861401"/>
    <x v="59"/>
    <x v="6"/>
    <x v="2"/>
    <d v="2025-04-27T00:00:00"/>
    <d v="2025-04-27T00:00:00"/>
    <n v="26"/>
    <s v="Americas"/>
    <x v="3"/>
    <s v="San Francisco"/>
    <s v="Corporate"/>
    <s v="Direct"/>
    <s v="I. Johnson"/>
    <s v="Monitors"/>
    <s v="MON-9319"/>
    <n v="156.55000000000001"/>
    <n v="227.45"/>
    <n v="1.4E-2"/>
    <b v="0"/>
    <n v="13"/>
    <n v="2915.4540999999999"/>
    <n v="2035.15"/>
    <n v="880.30409999999983"/>
    <n v="0.3019440779396938"/>
    <s v="Low"/>
  </r>
  <r>
    <s v="ORD-2023-271918"/>
    <x v="60"/>
    <x v="28"/>
    <x v="7"/>
    <d v="2023-10-02T00:00:00"/>
    <d v="2023-10-02T00:00:00"/>
    <n v="7"/>
    <s v="Americas"/>
    <x v="3"/>
    <s v="New York"/>
    <s v="Education"/>
    <s v="Marketplace"/>
    <s v="I. Johnson"/>
    <s v="Accessories"/>
    <s v="ACC-3551"/>
    <n v="145.58000000000001"/>
    <n v="228.15"/>
    <n v="0.20399999999999999"/>
    <b v="0"/>
    <n v="5"/>
    <n v="908.03700000000003"/>
    <n v="727.90000000000009"/>
    <n v="180.13699999999994"/>
    <n v="0.19838068272548359"/>
    <s v="Low"/>
  </r>
  <r>
    <s v="ORD-2024-266562"/>
    <x v="61"/>
    <x v="22"/>
    <x v="0"/>
    <d v="2024-12-24T00:00:00"/>
    <d v="2024-12-24T00:00:00"/>
    <n v="27"/>
    <s v="Africa"/>
    <x v="1"/>
    <s v="Mombasa"/>
    <s v="Corporate"/>
    <s v="Distributor"/>
    <s v="B. Chen"/>
    <s v="Printers"/>
    <s v="PRN-5569"/>
    <n v="143.33000000000001"/>
    <n v="233.51"/>
    <n v="0.16300000000000001"/>
    <b v="0"/>
    <n v="14"/>
    <n v="2736.27018"/>
    <n v="2006.6200000000001"/>
    <n v="729.65017999999986"/>
    <n v="0.26665867476580835"/>
    <s v="Low"/>
  </r>
  <r>
    <s v="ORD-2025-578007"/>
    <x v="62"/>
    <x v="27"/>
    <x v="9"/>
    <d v="2025-02-16T00:00:00"/>
    <d v="2025-02-16T00:00:00"/>
    <n v="26"/>
    <s v="Europe"/>
    <x v="2"/>
    <s v="Lyon"/>
    <s v="Corporate"/>
    <s v="Distributor"/>
    <s v="O. Wang"/>
    <s v="Laptops"/>
    <s v="LAP-3779"/>
    <n v="204.11"/>
    <n v="236.87"/>
    <n v="0.182"/>
    <b v="0"/>
    <n v="13"/>
    <n v="2518.8755800000004"/>
    <n v="2653.4300000000003"/>
    <n v="-134.55441999999994"/>
    <n v="-5.3418446337075494E-2"/>
    <s v="Low"/>
  </r>
  <r>
    <s v="ORD-2024-478165"/>
    <x v="63"/>
    <x v="0"/>
    <x v="0"/>
    <d v="2024-12-28T00:00:00"/>
    <d v="2024-12-28T00:00:00"/>
    <n v="23"/>
    <s v="Americas"/>
    <x v="11"/>
    <s v="Vancouver"/>
    <s v="Corporate"/>
    <s v="Direct"/>
    <s v="F. Müller"/>
    <s v="Accessories"/>
    <s v="ACC-2386"/>
    <n v="107.03"/>
    <n v="242.29"/>
    <n v="0.18"/>
    <b v="0"/>
    <n v="30"/>
    <n v="5960.3340000000007"/>
    <n v="3210.9"/>
    <n v="2749.4340000000007"/>
    <n v="0.46128857879440988"/>
    <s v="Low"/>
  </r>
  <r>
    <s v="ORD-2024-892908"/>
    <x v="64"/>
    <x v="29"/>
    <x v="10"/>
    <d v="2024-07-12T00:00:00"/>
    <d v="2024-07-27T00:00:00"/>
    <n v="14"/>
    <s v="Asia"/>
    <x v="7"/>
    <s v="Nagoya"/>
    <s v="Small Business"/>
    <s v="Marketplace"/>
    <s v="F. Müller"/>
    <s v="Networking"/>
    <s v="NET-9575"/>
    <n v="105.13"/>
    <n v="244.13"/>
    <n v="7.0999999999999994E-2"/>
    <b v="0"/>
    <n v="14"/>
    <n v="3175.1547799999998"/>
    <n v="1471.82"/>
    <n v="1703.3347799999999"/>
    <n v="0.53645724319618837"/>
    <s v="Low"/>
  </r>
  <r>
    <s v="ORD-2024-970848"/>
    <x v="21"/>
    <x v="15"/>
    <x v="4"/>
    <d v="2024-06-03T00:00:00"/>
    <d v="2024-06-03T00:00:00"/>
    <n v="11"/>
    <s v="Africa"/>
    <x v="4"/>
    <s v="Johannesburg"/>
    <s v="Small Business"/>
    <s v="Distributor"/>
    <s v="F. Müller"/>
    <s v="Printers"/>
    <s v="PRN-3785"/>
    <n v="180.89"/>
    <n v="249.57"/>
    <n v="2.1999999999999999E-2"/>
    <b v="0"/>
    <n v="8"/>
    <n v="1952.6356799999999"/>
    <n v="1447.12"/>
    <n v="505.51567999999997"/>
    <n v="0.25888888806948362"/>
    <s v="Low"/>
  </r>
  <r>
    <s v="ORD-2023-975863"/>
    <x v="65"/>
    <x v="30"/>
    <x v="8"/>
    <d v="2023-12-05T00:00:00"/>
    <d v="2023-12-05T00:00:00"/>
    <n v="15"/>
    <s v="Asia"/>
    <x v="7"/>
    <s v="Tokyo"/>
    <s v="Enterprise"/>
    <s v="Retail"/>
    <s v="L. Okafor"/>
    <s v="Networking"/>
    <s v="NET-3033"/>
    <n v="354.24"/>
    <n v="249.87"/>
    <n v="0"/>
    <b v="0"/>
    <n v="6"/>
    <n v="1499.22"/>
    <n v="2125.44"/>
    <n v="-626.22"/>
    <n v="-0.41769720254532355"/>
    <s v="Low"/>
  </r>
  <r>
    <s v="ORD-2025-269934"/>
    <x v="6"/>
    <x v="6"/>
    <x v="2"/>
    <d v="2025-04-10T00:00:00"/>
    <d v="2025-04-10T00:00:00"/>
    <n v="6"/>
    <s v="Europe"/>
    <x v="0"/>
    <s v="Birmingham"/>
    <s v="Non-Profit"/>
    <s v="Direct"/>
    <s v="N. Brown"/>
    <s v="Printers"/>
    <s v="PRN-8657"/>
    <n v="290.14"/>
    <n v="250.73"/>
    <n v="3.4000000000000002E-2"/>
    <b v="0"/>
    <n v="17"/>
    <n v="4117.4880599999997"/>
    <n v="4932.38"/>
    <n v="-814.89194000000043"/>
    <n v="-0.19790997038131072"/>
    <s v="Low"/>
  </r>
  <r>
    <s v="ORD-2025-168148"/>
    <x v="66"/>
    <x v="14"/>
    <x v="9"/>
    <d v="2025-04-02T00:00:00"/>
    <d v="2025-04-02T00:00:00"/>
    <n v="4"/>
    <s v="Africa"/>
    <x v="8"/>
    <s v="Lagos"/>
    <s v="Non-Profit"/>
    <s v="Marketplace"/>
    <s v="G. Dubois"/>
    <s v="Phones"/>
    <s v="PHN-4556"/>
    <n v="259.93"/>
    <n v="255.94"/>
    <n v="7.1999999999999995E-2"/>
    <b v="0"/>
    <n v="22"/>
    <n v="5225.2710400000005"/>
    <n v="5718.46"/>
    <n v="-493.1889599999995"/>
    <n v="-9.4385335463861311E-2"/>
    <s v="Low"/>
  </r>
  <r>
    <s v="ORD-2024-897622"/>
    <x v="67"/>
    <x v="3"/>
    <x v="3"/>
    <d v="2024-04-24T00:00:00"/>
    <d v="2024-04-24T00:00:00"/>
    <n v="25"/>
    <s v="Americas"/>
    <x v="3"/>
    <s v="Austin"/>
    <s v="Non-Profit"/>
    <s v="Online"/>
    <s v="G. Dubois"/>
    <s v="Laptops"/>
    <s v="LAP-2846"/>
    <n v="160.82"/>
    <n v="258.52"/>
    <n v="0.13"/>
    <b v="0"/>
    <n v="17"/>
    <n v="3823.5108"/>
    <n v="2733.94"/>
    <n v="1089.5708"/>
    <n v="0.28496605789631874"/>
    <s v="Low"/>
  </r>
  <r>
    <s v="ORD-2024-585443"/>
    <x v="68"/>
    <x v="25"/>
    <x v="10"/>
    <d v="2024-08-15T00:00:00"/>
    <d v="2024-08-31T00:00:00"/>
    <n v="14"/>
    <s v="Americas"/>
    <x v="5"/>
    <s v="Rio de Janeiro"/>
    <s v="Consumer"/>
    <s v="Direct"/>
    <s v="M. Rossi"/>
    <s v="Monitors"/>
    <s v="MON-2849"/>
    <n v="165.3"/>
    <n v="275.07"/>
    <n v="0.13300000000000001"/>
    <b v="0"/>
    <n v="25"/>
    <n v="5962.1422499999999"/>
    <n v="4132.5"/>
    <n v="1829.6422499999999"/>
    <n v="0.30687665159280625"/>
    <s v="Low"/>
  </r>
  <r>
    <s v="ORD-2023-659070"/>
    <x v="69"/>
    <x v="10"/>
    <x v="8"/>
    <d v="2023-10-21T00:00:00"/>
    <d v="2023-10-21T00:00:00"/>
    <n v="0"/>
    <s v="Europe"/>
    <x v="0"/>
    <s v="Manchester"/>
    <s v="Enterprise"/>
    <s v="Distributor"/>
    <s v="J. Njeri"/>
    <s v="Monitors"/>
    <s v="MON-8697"/>
    <n v="384.19"/>
    <n v="278.35000000000002"/>
    <n v="5.6000000000000001E-2"/>
    <b v="0"/>
    <n v="10"/>
    <n v="2627.6239999999998"/>
    <n v="3841.9"/>
    <n v="-1214.2760000000003"/>
    <n v="-0.46211938998882657"/>
    <s v="Low"/>
  </r>
  <r>
    <s v="ORD-2024-972318"/>
    <x v="70"/>
    <x v="0"/>
    <x v="0"/>
    <d v="2025-01-13T00:00:00"/>
    <d v="2025-01-13T00:00:00"/>
    <n v="20"/>
    <s v="Asia"/>
    <x v="9"/>
    <s v="Bengaluru"/>
    <s v="Corporate"/>
    <s v="Marketplace"/>
    <s v="D. Smith"/>
    <s v="Networking"/>
    <s v="NET-9832"/>
    <n v="126.15"/>
    <n v="284.23"/>
    <n v="0.113"/>
    <b v="0"/>
    <n v="22"/>
    <n v="5546.4642200000008"/>
    <n v="2775.3"/>
    <n v="2771.1642200000006"/>
    <n v="0.49962716968541088"/>
    <s v="Low"/>
  </r>
  <r>
    <s v="ORD-2023-603238"/>
    <x v="71"/>
    <x v="9"/>
    <x v="7"/>
    <d v="2023-09-04T00:00:00"/>
    <d v="2023-09-04T00:00:00"/>
    <n v="14"/>
    <s v="Americas"/>
    <x v="11"/>
    <s v="Montreal"/>
    <s v="Education"/>
    <s v="Distributor"/>
    <s v="F. Müller"/>
    <s v="Components"/>
    <s v="CMP-2136"/>
    <n v="178.19"/>
    <n v="284.43"/>
    <n v="8.8999999999999996E-2"/>
    <b v="0"/>
    <n v="8"/>
    <n v="2072.9258400000003"/>
    <n v="1425.52"/>
    <n v="647.40584000000035"/>
    <n v="0.31231500302972742"/>
    <s v="Low"/>
  </r>
  <r>
    <s v="ORD-2025-169093"/>
    <x v="72"/>
    <x v="6"/>
    <x v="2"/>
    <d v="2025-04-14T00:00:00"/>
    <d v="2025-04-14T00:00:00"/>
    <n v="1"/>
    <s v="Asia"/>
    <x v="7"/>
    <s v="Osaka"/>
    <s v="Enterprise"/>
    <s v="Online"/>
    <s v="G. Dubois"/>
    <s v="Components"/>
    <s v="CMP-6495"/>
    <n v="138.9"/>
    <n v="289.92"/>
    <n v="2.9000000000000001E-2"/>
    <b v="0"/>
    <n v="12"/>
    <n v="3378.1478400000001"/>
    <n v="1666.8000000000002"/>
    <n v="1711.3478399999999"/>
    <n v="0.50659353025828491"/>
    <s v="Low"/>
  </r>
  <r>
    <s v="ORD-2024-382152"/>
    <x v="73"/>
    <x v="0"/>
    <x v="0"/>
    <d v="2024-12-08T00:00:00"/>
    <d v="2024-12-08T00:00:00"/>
    <n v="0"/>
    <s v="Europe"/>
    <x v="2"/>
    <s v="Lyon"/>
    <s v="Enterprise"/>
    <s v="Retail"/>
    <s v="H. Kim"/>
    <s v="Components"/>
    <s v="CMP-2335"/>
    <n v="257.44"/>
    <n v="290.33"/>
    <n v="9.1999999999999998E-2"/>
    <b v="0"/>
    <n v="23"/>
    <n v="6063.2517199999993"/>
    <n v="5921.12"/>
    <n v="142.1317199999994"/>
    <n v="2.3441500792581216E-2"/>
    <s v="Low"/>
  </r>
  <r>
    <s v="ORD-2023-125739"/>
    <x v="74"/>
    <x v="7"/>
    <x v="6"/>
    <d v="2023-05-18T00:00:00"/>
    <d v="2023-05-18T00:00:00"/>
    <n v="17"/>
    <s v="Africa"/>
    <x v="8"/>
    <s v="Port Harcourt"/>
    <s v="Corporate"/>
    <s v="Direct"/>
    <s v="F. Müller"/>
    <s v="Components"/>
    <s v="CMP-5633"/>
    <n v="327.97"/>
    <n v="299.94"/>
    <n v="4.9000000000000002E-2"/>
    <b v="0"/>
    <n v="3"/>
    <n v="855.72881999999993"/>
    <n v="983.91000000000008"/>
    <n v="-128.18118000000015"/>
    <n v="-0.14979182306843442"/>
    <s v="Low"/>
  </r>
  <r>
    <s v="ORD-2023-240507"/>
    <x v="75"/>
    <x v="26"/>
    <x v="1"/>
    <d v="2023-03-26T00:00:00"/>
    <d v="2023-03-26T00:00:00"/>
    <n v="1"/>
    <s v="Asia"/>
    <x v="7"/>
    <s v="Osaka"/>
    <s v="Small Business"/>
    <s v="Distributor"/>
    <s v="I. Johnson"/>
    <s v="Monitors"/>
    <s v="MON-9227"/>
    <n v="135.12"/>
    <n v="301.7"/>
    <n v="0.14000000000000001"/>
    <b v="0"/>
    <n v="47"/>
    <n v="12194.714"/>
    <n v="6350.64"/>
    <n v="5844.0739999999996"/>
    <n v="0.47923009920527859"/>
    <s v="Low"/>
  </r>
  <r>
    <s v="ORD-2024-247032"/>
    <x v="76"/>
    <x v="31"/>
    <x v="4"/>
    <d v="2024-05-19T00:00:00"/>
    <d v="2024-05-19T00:00:00"/>
    <n v="28"/>
    <s v="Africa"/>
    <x v="8"/>
    <s v="Lagos"/>
    <s v="Corporate"/>
    <s v="Distributor"/>
    <s v="A. Patel"/>
    <s v="Accessories"/>
    <s v="ACC-2990"/>
    <n v="187.22"/>
    <n v="309.47000000000003"/>
    <n v="0"/>
    <b v="0"/>
    <n v="5"/>
    <n v="1547.3500000000001"/>
    <n v="936.1"/>
    <n v="611.25000000000011"/>
    <n v="0.39503021294471197"/>
    <s v="Low"/>
  </r>
  <r>
    <s v="ORD-2025-473192"/>
    <x v="35"/>
    <x v="14"/>
    <x v="9"/>
    <d v="2025-04-29T00:00:00"/>
    <d v="2025-04-29T00:00:00"/>
    <n v="30"/>
    <s v="Africa"/>
    <x v="4"/>
    <s v="Durban"/>
    <s v="Consumer"/>
    <s v="Marketplace"/>
    <s v="J. Njeri"/>
    <s v="Monitors"/>
    <s v="MON-7106"/>
    <n v="194.6"/>
    <n v="314.87"/>
    <n v="0.29299999999999998"/>
    <b v="0"/>
    <n v="25"/>
    <n v="5565.3272500000003"/>
    <n v="4865"/>
    <n v="700.32725000000028"/>
    <n v="0.1258375686712763"/>
    <s v="Low"/>
  </r>
  <r>
    <s v="ORD-2024-197852"/>
    <x v="77"/>
    <x v="8"/>
    <x v="3"/>
    <d v="2024-03-30T00:00:00"/>
    <d v="2024-03-30T00:00:00"/>
    <n v="30"/>
    <s v="Asia"/>
    <x v="7"/>
    <s v="Nagoya"/>
    <s v="Small Business"/>
    <s v="Direct"/>
    <s v="I. Johnson"/>
    <s v="Networking"/>
    <s v="NET-7588"/>
    <n v="231.11"/>
    <n v="318.17"/>
    <n v="0.20100000000000001"/>
    <b v="0"/>
    <n v="60"/>
    <n v="15253.069799999999"/>
    <n v="13866.6"/>
    <n v="1386.4697999999989"/>
    <n v="9.0897754889969692E-2"/>
    <s v="Low"/>
  </r>
  <r>
    <s v="ORD-2025-306903"/>
    <x v="78"/>
    <x v="2"/>
    <x v="2"/>
    <d v="2025-07-23T00:00:00"/>
    <d v="2025-07-23T00:00:00"/>
    <n v="29"/>
    <s v="Americas"/>
    <x v="11"/>
    <s v="Vancouver"/>
    <s v="Non-Profit"/>
    <s v="Marketplace"/>
    <s v="I. Johnson"/>
    <s v="Printers"/>
    <s v="PRN-3775"/>
    <n v="255.4"/>
    <n v="322.70999999999998"/>
    <n v="0.115"/>
    <b v="0"/>
    <n v="16"/>
    <n v="4569.5735999999997"/>
    <n v="4086.4"/>
    <n v="483.17359999999962"/>
    <n v="0.10573713048412212"/>
    <s v="Low"/>
  </r>
  <r>
    <s v="ORD-2024-423853"/>
    <x v="29"/>
    <x v="19"/>
    <x v="10"/>
    <d v="2024-09-08T00:00:00"/>
    <d v="2024-09-08T00:00:00"/>
    <n v="5"/>
    <s v="Africa"/>
    <x v="8"/>
    <s v="Lagos"/>
    <s v="Small Business"/>
    <s v="Direct"/>
    <s v="K. Singh"/>
    <s v="Printers"/>
    <s v="PRN-1141"/>
    <n v="197.63"/>
    <n v="325.79000000000002"/>
    <n v="0.11600000000000001"/>
    <b v="0"/>
    <n v="10"/>
    <n v="2879.9836"/>
    <n v="1976.3"/>
    <n v="903.68360000000007"/>
    <n v="0.31378081458519419"/>
    <s v="Low"/>
  </r>
  <r>
    <s v="ORD-2024-496601"/>
    <x v="79"/>
    <x v="22"/>
    <x v="0"/>
    <d v="2024-11-24T00:00:00"/>
    <d v="2024-11-24T00:00:00"/>
    <n v="13"/>
    <s v="Europe"/>
    <x v="0"/>
    <s v="London"/>
    <s v="Corporate"/>
    <s v="Retail"/>
    <s v="E. Garcia"/>
    <s v="Networking"/>
    <s v="NET-2932"/>
    <n v="164.53"/>
    <n v="327.72"/>
    <n v="6.7000000000000004E-2"/>
    <b v="0"/>
    <n v="14"/>
    <n v="4280.6786400000001"/>
    <n v="2303.42"/>
    <n v="1977.25864"/>
    <n v="0.46190307805960412"/>
    <s v="Low"/>
  </r>
  <r>
    <s v="ORD-2024-961501"/>
    <x v="80"/>
    <x v="3"/>
    <x v="3"/>
    <d v="2024-03-23T00:00:00"/>
    <d v="2024-03-23T00:00:00"/>
    <n v="21"/>
    <s v="Americas"/>
    <x v="3"/>
    <s v="Chicago"/>
    <s v="Small Business"/>
    <s v="Online"/>
    <s v="F. Müller"/>
    <s v="Components"/>
    <s v="CMP-3223"/>
    <n v="225.01"/>
    <n v="333.48"/>
    <n v="0.11899999999999999"/>
    <b v="0"/>
    <n v="12"/>
    <n v="3525.5505600000001"/>
    <n v="2700.12"/>
    <n v="825.43056000000024"/>
    <n v="0.23412813004729685"/>
    <s v="Low"/>
  </r>
  <r>
    <s v="ORD-2023-253245"/>
    <x v="81"/>
    <x v="9"/>
    <x v="7"/>
    <d v="2023-08-14T00:00:00"/>
    <d v="2023-08-14T00:00:00"/>
    <n v="11"/>
    <s v="Americas"/>
    <x v="5"/>
    <s v="Brasília"/>
    <s v="Corporate"/>
    <s v="Direct"/>
    <s v="J. Njeri"/>
    <s v="Accessories"/>
    <s v="ACC-3951"/>
    <n v="232.73"/>
    <n v="334.19"/>
    <n v="0.13400000000000001"/>
    <b v="0"/>
    <n v="25"/>
    <n v="7235.2134999999998"/>
    <n v="5818.25"/>
    <n v="1416.9634999999998"/>
    <n v="0.1958426658729559"/>
    <s v="Low"/>
  </r>
  <r>
    <s v="ORD-2024-851883"/>
    <x v="82"/>
    <x v="21"/>
    <x v="3"/>
    <d v="2024-01-22T00:00:00"/>
    <d v="2024-01-22T00:00:00"/>
    <n v="9"/>
    <s v="Asia"/>
    <x v="9"/>
    <s v="Mumbai"/>
    <s v="Enterprise"/>
    <s v="Marketplace"/>
    <s v="J. Njeri"/>
    <s v="Components"/>
    <s v="CMP-8141"/>
    <n v="313.60000000000002"/>
    <n v="334.28"/>
    <n v="0.14000000000000001"/>
    <b v="0"/>
    <n v="22"/>
    <n v="6324.5775999999996"/>
    <n v="6899.2000000000007"/>
    <n v="-574.62240000000111"/>
    <n v="-9.0855458868905517E-2"/>
    <s v="Low"/>
  </r>
  <r>
    <s v="ORD-2023-613317"/>
    <x v="83"/>
    <x v="13"/>
    <x v="1"/>
    <d v="2023-01-21T00:00:00"/>
    <d v="2023-02-05T00:00:00"/>
    <n v="14"/>
    <s v="Europe"/>
    <x v="6"/>
    <s v="Munich"/>
    <s v="Corporate"/>
    <s v="Direct"/>
    <s v="F. Müller"/>
    <s v="Monitors"/>
    <s v="MON-2537"/>
    <n v="150.86000000000001"/>
    <n v="346.96"/>
    <n v="0.19600000000000001"/>
    <b v="0"/>
    <n v="8"/>
    <n v="2231.6467200000002"/>
    <n v="1206.8800000000001"/>
    <n v="1024.7667200000001"/>
    <n v="0.45919755614365343"/>
    <s v="Low"/>
  </r>
  <r>
    <s v="ORD-2023-713614"/>
    <x v="84"/>
    <x v="9"/>
    <x v="7"/>
    <d v="2023-08-19T00:00:00"/>
    <d v="2023-08-19T00:00:00"/>
    <n v="17"/>
    <s v="Americas"/>
    <x v="11"/>
    <s v="Vancouver"/>
    <s v="Corporate"/>
    <s v="Online"/>
    <s v="F. Müller"/>
    <s v="Networking"/>
    <s v="NET-3689"/>
    <n v="175.38"/>
    <n v="347.9"/>
    <n v="7.1999999999999995E-2"/>
    <b v="0"/>
    <n v="43"/>
    <n v="13882.6016"/>
    <n v="7541.34"/>
    <n v="6341.2615999999998"/>
    <n v="0.45677761148169804"/>
    <s v="Low"/>
  </r>
  <r>
    <s v="ORD-2024-166150"/>
    <x v="85"/>
    <x v="4"/>
    <x v="4"/>
    <d v="2024-06-08T00:00:00"/>
    <d v="2024-06-08T00:00:00"/>
    <n v="6"/>
    <s v="Africa"/>
    <x v="1"/>
    <s v="Kisumu"/>
    <s v="Consumer"/>
    <s v="Marketplace"/>
    <s v="A. Patel"/>
    <s v="Accessories"/>
    <s v="ACC-9820"/>
    <n v="292.94"/>
    <n v="356.55"/>
    <n v="0.22900000000000001"/>
    <b v="0"/>
    <n v="2"/>
    <n v="549.80010000000004"/>
    <n v="585.88"/>
    <n v="-36.079899999999952"/>
    <n v="-6.5623669402751925E-2"/>
    <s v="Low"/>
  </r>
  <r>
    <s v="ORD-2023-799597"/>
    <x v="86"/>
    <x v="26"/>
    <x v="1"/>
    <d v="2023-03-18T00:00:00"/>
    <d v="2023-03-18T00:00:00"/>
    <n v="4"/>
    <s v="Europe"/>
    <x v="6"/>
    <s v="Frankfurt"/>
    <s v="Enterprise"/>
    <s v="Direct"/>
    <s v="A. Patel"/>
    <s v="Components"/>
    <s v="CMP-8675"/>
    <n v="472.33"/>
    <n v="360.34"/>
    <n v="0.16500000000000001"/>
    <b v="0"/>
    <n v="14"/>
    <n v="4212.3745999999992"/>
    <n v="6612.62"/>
    <n v="-2400.2454000000007"/>
    <n v="-0.56980815523861561"/>
    <s v="Low"/>
  </r>
  <r>
    <s v="ORD-2024-605518"/>
    <x v="87"/>
    <x v="15"/>
    <x v="4"/>
    <d v="2024-06-13T00:00:00"/>
    <d v="2024-06-13T00:00:00"/>
    <n v="14"/>
    <s v="Americas"/>
    <x v="3"/>
    <s v="San Francisco"/>
    <s v="Small Business"/>
    <s v="Retail"/>
    <s v="F. Müller"/>
    <s v="Phones"/>
    <s v="PHN-4356"/>
    <n v="157.78"/>
    <n v="361.1"/>
    <n v="0.187"/>
    <b v="0"/>
    <n v="9"/>
    <n v="2642.1686999999997"/>
    <n v="1420.02"/>
    <n v="1222.1486999999997"/>
    <n v="0.46255513510549112"/>
    <s v="Low"/>
  </r>
  <r>
    <s v="ORD-2023-177794"/>
    <x v="43"/>
    <x v="7"/>
    <x v="6"/>
    <d v="2023-05-26T00:00:00"/>
    <d v="2023-05-26T00:00:00"/>
    <n v="22"/>
    <s v="Americas"/>
    <x v="3"/>
    <s v="San Francisco"/>
    <s v="Enterprise"/>
    <s v="Online"/>
    <s v="J. Njeri"/>
    <s v="Networking"/>
    <s v="NET-5941"/>
    <n v="249.71"/>
    <n v="361.33"/>
    <n v="9.4E-2"/>
    <b v="0"/>
    <n v="12"/>
    <n v="3928.3797600000003"/>
    <n v="2996.52"/>
    <n v="931.85976000000028"/>
    <n v="0.23721223937881206"/>
    <s v="Low"/>
  </r>
  <r>
    <s v="ORD-2023-811823"/>
    <x v="88"/>
    <x v="13"/>
    <x v="1"/>
    <d v="2023-02-15T00:00:00"/>
    <d v="2023-02-15T00:00:00"/>
    <n v="20"/>
    <s v="Europe"/>
    <x v="6"/>
    <s v="Berlin"/>
    <s v="Small Business"/>
    <s v="Online"/>
    <s v="O. Wang"/>
    <s v="Networking"/>
    <s v="NET-8787"/>
    <n v="492.62"/>
    <n v="366.7"/>
    <n v="8.8999999999999996E-2"/>
    <b v="0"/>
    <n v="10"/>
    <n v="3340.6370000000002"/>
    <n v="4926.2"/>
    <n v="-1585.5629999999996"/>
    <n v="-0.47462894052840809"/>
    <s v="Low"/>
  </r>
  <r>
    <s v="ORD-2023-419187"/>
    <x v="89"/>
    <x v="26"/>
    <x v="1"/>
    <d v="2023-04-05T00:00:00"/>
    <d v="2023-04-05T00:00:00"/>
    <n v="5"/>
    <s v="Africa"/>
    <x v="1"/>
    <s v="Nakuru"/>
    <s v="Education"/>
    <s v="Marketplace"/>
    <s v="B. Chen"/>
    <s v="Laptops"/>
    <s v="LAP-7819"/>
    <n v="533.26"/>
    <n v="385.72"/>
    <n v="0"/>
    <b v="0"/>
    <n v="15"/>
    <n v="5785.8"/>
    <n v="7998.9"/>
    <n v="-2213.0999999999995"/>
    <n v="-0.38250544436378708"/>
    <s v="Low"/>
  </r>
  <r>
    <s v="ORD-2025-114382"/>
    <x v="90"/>
    <x v="23"/>
    <x v="2"/>
    <d v="2025-05-24T00:00:00"/>
    <d v="2025-05-24T00:00:00"/>
    <n v="10"/>
    <s v="Europe"/>
    <x v="2"/>
    <s v="Paris"/>
    <s v="Small Business"/>
    <s v="Marketplace"/>
    <s v="K. Singh"/>
    <s v="Components"/>
    <s v="CMP-2865"/>
    <n v="170.39"/>
    <n v="388.04"/>
    <n v="8.4000000000000005E-2"/>
    <b v="0"/>
    <n v="15"/>
    <n v="5331.6696000000002"/>
    <n v="2555.85"/>
    <n v="2775.8196000000003"/>
    <n v="0.52062858508711796"/>
    <s v="Low"/>
  </r>
  <r>
    <s v="ORD-2023-157993"/>
    <x v="91"/>
    <x v="16"/>
    <x v="6"/>
    <d v="2023-05-18T00:00:00"/>
    <d v="2023-05-18T00:00:00"/>
    <n v="30"/>
    <s v="Asia"/>
    <x v="10"/>
    <s v="Shenzhen"/>
    <s v="Non-Profit"/>
    <s v="Retail"/>
    <s v="H. Kim"/>
    <s v="Laptops"/>
    <s v="LAP-1482"/>
    <n v="329.03"/>
    <n v="391.15"/>
    <n v="0.19700000000000001"/>
    <b v="0"/>
    <n v="46"/>
    <n v="14448.298699999998"/>
    <n v="15135.38"/>
    <n v="-687.08130000000165"/>
    <n v="-4.7554477815440081E-2"/>
    <s v="Low"/>
  </r>
  <r>
    <s v="ORD-2023-613287"/>
    <x v="89"/>
    <x v="26"/>
    <x v="1"/>
    <d v="2023-04-12T00:00:00"/>
    <d v="2023-04-12T00:00:00"/>
    <n v="12"/>
    <s v="Africa"/>
    <x v="1"/>
    <s v="Mombasa"/>
    <s v="Small Business"/>
    <s v="Online"/>
    <s v="C. Otieno"/>
    <s v="Phones"/>
    <s v="PHN-8014"/>
    <n v="304.22000000000003"/>
    <n v="393.31"/>
    <n v="0.26500000000000001"/>
    <b v="0"/>
    <n v="15"/>
    <n v="4336.2427499999994"/>
    <n v="4563.3"/>
    <n v="-227.05725000000075"/>
    <n v="-5.2362670424759034E-2"/>
    <s v="Low"/>
  </r>
  <r>
    <s v="ORD-2024-811752"/>
    <x v="92"/>
    <x v="8"/>
    <x v="3"/>
    <d v="2024-03-09T00:00:00"/>
    <d v="2024-03-09T00:00:00"/>
    <n v="13"/>
    <s v="Europe"/>
    <x v="2"/>
    <s v="Marseille"/>
    <s v="Small Business"/>
    <s v="Distributor"/>
    <s v="E. Garcia"/>
    <s v="Monitors"/>
    <s v="MON-3350"/>
    <n v="322.44"/>
    <n v="395.61"/>
    <n v="0"/>
    <b v="0"/>
    <n v="34"/>
    <n v="13450.74"/>
    <n v="10962.96"/>
    <n v="2487.7800000000007"/>
    <n v="0.18495487980586947"/>
    <s v="Low"/>
  </r>
  <r>
    <s v="ORD-2025-591006"/>
    <x v="93"/>
    <x v="2"/>
    <x v="2"/>
    <d v="2025-07-10T00:00:00"/>
    <d v="2025-07-10T00:00:00"/>
    <n v="15"/>
    <s v="Europe"/>
    <x v="0"/>
    <s v="Birmingham"/>
    <s v="Non-Profit"/>
    <s v="Marketplace"/>
    <s v="D. Smith"/>
    <s v="Phones"/>
    <s v="PHN-5383"/>
    <n v="546.83000000000004"/>
    <n v="400.84"/>
    <n v="7.8E-2"/>
    <b v="0"/>
    <n v="13"/>
    <n v="4804.4682400000002"/>
    <n v="7108.7900000000009"/>
    <n v="-2304.3217600000007"/>
    <n v="-0.47962056254533608"/>
    <s v="Low"/>
  </r>
  <r>
    <s v="ORD-2024-569164"/>
    <x v="94"/>
    <x v="19"/>
    <x v="10"/>
    <d v="2024-09-25T00:00:00"/>
    <d v="2024-09-25T00:00:00"/>
    <n v="20"/>
    <s v="Asia"/>
    <x v="7"/>
    <s v="Osaka"/>
    <s v="Enterprise"/>
    <s v="Distributor"/>
    <s v="D. Smith"/>
    <s v="Monitors"/>
    <s v="MON-5249"/>
    <n v="195.54"/>
    <n v="405.97"/>
    <n v="0.187"/>
    <b v="0"/>
    <n v="16"/>
    <n v="5280.8577599999999"/>
    <n v="3128.64"/>
    <n v="2152.21776"/>
    <n v="0.40755079152141377"/>
    <s v="Low"/>
  </r>
  <r>
    <s v="ORD-2025-652467"/>
    <x v="95"/>
    <x v="11"/>
    <x v="5"/>
    <d v="2025-09-12T00:00:00"/>
    <d v="2025-09-12T00:00:00"/>
    <n v="22"/>
    <s v="Asia"/>
    <x v="10"/>
    <s v="Shenzhen"/>
    <s v="Education"/>
    <s v="Retail"/>
    <s v="B. Chen"/>
    <s v="Printers"/>
    <s v="PRN-8137"/>
    <n v="352.66"/>
    <n v="411.18"/>
    <n v="0.17299999999999999"/>
    <b v="0"/>
    <n v="13"/>
    <n v="4420.5961799999995"/>
    <n v="4584.58"/>
    <n v="-163.98382000000038"/>
    <n v="-3.7095408248758066E-2"/>
    <s v="Low"/>
  </r>
  <r>
    <s v="ORD-2023-755337"/>
    <x v="96"/>
    <x v="28"/>
    <x v="7"/>
    <d v="2023-09-14T00:00:00"/>
    <d v="2023-09-14T00:00:00"/>
    <n v="6"/>
    <s v="Africa"/>
    <x v="1"/>
    <s v="Nakuru"/>
    <s v="Education"/>
    <s v="Direct"/>
    <s v="I. Johnson"/>
    <s v="Accessories"/>
    <s v="ACC-4766"/>
    <n v="251.03"/>
    <n v="411.48"/>
    <n v="0.16500000000000001"/>
    <b v="0"/>
    <n v="3"/>
    <n v="1030.7574"/>
    <n v="753.09"/>
    <n v="277.66739999999993"/>
    <n v="0.26938191275658069"/>
    <s v="Low"/>
  </r>
  <r>
    <s v="ORD-2025-907040"/>
    <x v="97"/>
    <x v="6"/>
    <x v="2"/>
    <d v="2025-05-03T00:00:00"/>
    <d v="2025-05-03T00:00:00"/>
    <n v="16"/>
    <s v="Americas"/>
    <x v="5"/>
    <s v="Rio de Janeiro"/>
    <s v="Consumer"/>
    <s v="Marketplace"/>
    <s v="J. Njeri"/>
    <s v="Networking"/>
    <s v="NET-8610"/>
    <n v="168.68"/>
    <n v="413.34"/>
    <n v="0.186"/>
    <b v="0"/>
    <n v="7"/>
    <n v="2355.2113199999999"/>
    <n v="1180.76"/>
    <n v="1174.4513199999999"/>
    <n v="0.49866069767361682"/>
    <s v="Low"/>
  </r>
  <r>
    <s v="ORD-2023-191563"/>
    <x v="98"/>
    <x v="30"/>
    <x v="8"/>
    <d v="2023-12-10T00:00:00"/>
    <d v="2023-12-10T00:00:00"/>
    <n v="10"/>
    <s v="Europe"/>
    <x v="6"/>
    <s v="Munich"/>
    <s v="Small Business"/>
    <s v="Direct"/>
    <s v="F. Müller"/>
    <s v="Laptops"/>
    <s v="LAP-4899"/>
    <n v="174.74"/>
    <n v="415.96"/>
    <n v="0.125"/>
    <b v="0"/>
    <n v="21"/>
    <n v="7643.2649999999994"/>
    <n v="3669.54"/>
    <n v="3973.7249999999995"/>
    <n v="0.51989889137691803"/>
    <s v="Low"/>
  </r>
  <r>
    <s v="ORD-2025-541501"/>
    <x v="99"/>
    <x v="18"/>
    <x v="5"/>
    <d v="2025-08-18T00:00:00"/>
    <d v="2025-08-18T00:00:00"/>
    <n v="27"/>
    <s v="Asia"/>
    <x v="10"/>
    <s v="Shenzhen"/>
    <s v="Non-Profit"/>
    <s v="Marketplace"/>
    <s v="M. Rossi"/>
    <s v="Networking"/>
    <s v="NET-1804"/>
    <n v="547.32000000000005"/>
    <n v="419.17"/>
    <n v="9.1999999999999998E-2"/>
    <b v="0"/>
    <n v="14"/>
    <n v="5328.4890400000004"/>
    <n v="7662.4800000000005"/>
    <n v="-2333.9909600000001"/>
    <n v="-0.43802116181137907"/>
    <s v="Low"/>
  </r>
  <r>
    <s v="ORD-2024-719055"/>
    <x v="100"/>
    <x v="21"/>
    <x v="3"/>
    <d v="2024-01-01T00:00:00"/>
    <d v="2024-01-16T00:00:00"/>
    <n v="14"/>
    <s v="Americas"/>
    <x v="3"/>
    <s v="Chicago"/>
    <s v="Education"/>
    <s v="Marketplace"/>
    <s v="B. Chen"/>
    <s v="Networking"/>
    <s v="NET-4554"/>
    <n v="404.77"/>
    <n v="433.88"/>
    <n v="0.215"/>
    <b v="0"/>
    <n v="22"/>
    <n v="7493.1076000000012"/>
    <n v="8904.9399999999987"/>
    <n v="-1411.8323999999975"/>
    <n v="-0.18841747314558746"/>
    <s v="Low"/>
  </r>
  <r>
    <s v="ORD-2023-867166"/>
    <x v="24"/>
    <x v="16"/>
    <x v="6"/>
    <d v="2023-04-20T00:00:00"/>
    <d v="2023-04-20T00:00:00"/>
    <n v="7"/>
    <s v="Europe"/>
    <x v="2"/>
    <s v="Lyon"/>
    <s v="Small Business"/>
    <s v="Online"/>
    <s v="A. Patel"/>
    <s v="Laptops"/>
    <s v="LAP-3565"/>
    <n v="227.02"/>
    <n v="434.72"/>
    <n v="9.8000000000000004E-2"/>
    <b v="0"/>
    <n v="10"/>
    <n v="3921.1744000000008"/>
    <n v="2270.2000000000003"/>
    <n v="1650.9744000000005"/>
    <n v="0.42104079838938052"/>
    <s v="Low"/>
  </r>
  <r>
    <s v="ORD-2023-897079"/>
    <x v="101"/>
    <x v="16"/>
    <x v="6"/>
    <d v="2023-05-14T00:00:00"/>
    <d v="2023-05-14T00:00:00"/>
    <n v="30"/>
    <s v="Africa"/>
    <x v="1"/>
    <s v="Nakuru"/>
    <s v="Consumer"/>
    <s v="Marketplace"/>
    <s v="M. Rossi"/>
    <s v="Phones"/>
    <s v="PHN-1784"/>
    <n v="209.25"/>
    <n v="434.8"/>
    <n v="0"/>
    <b v="0"/>
    <n v="9"/>
    <n v="3913.2000000000003"/>
    <n v="1883.25"/>
    <n v="2029.9500000000003"/>
    <n v="0.51874425022999082"/>
    <s v="Low"/>
  </r>
  <r>
    <s v="ORD-2023-660608"/>
    <x v="102"/>
    <x v="24"/>
    <x v="7"/>
    <d v="2023-08-10T00:00:00"/>
    <d v="2023-08-10T00:00:00"/>
    <n v="16"/>
    <s v="Africa"/>
    <x v="8"/>
    <s v="Port Harcourt"/>
    <s v="Corporate"/>
    <s v="Distributor"/>
    <s v="I. Johnson"/>
    <s v="Accessories"/>
    <s v="ACC-8178"/>
    <n v="506.83"/>
    <n v="441.74"/>
    <n v="0.24"/>
    <b v="0"/>
    <n v="9"/>
    <n v="3021.5016000000001"/>
    <n v="4561.47"/>
    <n v="-1539.9684000000002"/>
    <n v="-0.50966989393618067"/>
    <s v="Low"/>
  </r>
  <r>
    <s v="ORD-2023-651638"/>
    <x v="103"/>
    <x v="17"/>
    <x v="6"/>
    <d v="2023-06-24T00:00:00"/>
    <d v="2023-06-24T00:00:00"/>
    <n v="7"/>
    <s v="Americas"/>
    <x v="3"/>
    <s v="San Francisco"/>
    <s v="Corporate"/>
    <s v="Retail"/>
    <s v="I. Johnson"/>
    <s v="Printers"/>
    <s v="PRN-6536"/>
    <n v="313.99"/>
    <n v="454.42"/>
    <n v="0.129"/>
    <b v="0"/>
    <n v="9"/>
    <n v="3562.1983800000003"/>
    <n v="2825.91"/>
    <n v="736.28838000000042"/>
    <n v="0.20669493988147858"/>
    <s v="Low"/>
  </r>
  <r>
    <s v="ORD-2023-735274"/>
    <x v="104"/>
    <x v="1"/>
    <x v="1"/>
    <d v="2023-03-08T00:00:00"/>
    <d v="2023-03-08T00:00:00"/>
    <n v="13"/>
    <s v="Europe"/>
    <x v="0"/>
    <s v="Manchester"/>
    <s v="Small Business"/>
    <s v="Direct"/>
    <s v="C. Otieno"/>
    <s v="Printers"/>
    <s v="PRN-7410"/>
    <n v="307.37"/>
    <n v="462.61"/>
    <n v="0.188"/>
    <b v="0"/>
    <n v="11"/>
    <n v="4132.0325200000007"/>
    <n v="3381.07"/>
    <n v="750.9625200000005"/>
    <n v="0.18174167709599739"/>
    <s v="Low"/>
  </r>
  <r>
    <s v="ORD-2024-792137"/>
    <x v="80"/>
    <x v="3"/>
    <x v="3"/>
    <d v="2024-03-16T00:00:00"/>
    <d v="2024-03-16T00:00:00"/>
    <n v="14"/>
    <s v="Americas"/>
    <x v="11"/>
    <s v="Vancouver"/>
    <s v="Non-Profit"/>
    <s v="Direct"/>
    <s v="O. Wang"/>
    <s v="Printers"/>
    <s v="PRN-7976"/>
    <n v="248.24"/>
    <n v="464.05"/>
    <n v="0.16900000000000001"/>
    <b v="0"/>
    <n v="11"/>
    <n v="4241.88105"/>
    <n v="2730.6400000000003"/>
    <n v="1511.2410499999996"/>
    <n v="0.3562667203975462"/>
    <s v="Low"/>
  </r>
  <r>
    <s v="ORD-2025-501927"/>
    <x v="105"/>
    <x v="14"/>
    <x v="9"/>
    <d v="2025-03-24T00:00:00"/>
    <d v="2025-03-24T00:00:00"/>
    <n v="21"/>
    <s v="Africa"/>
    <x v="8"/>
    <s v="Abuja"/>
    <s v="Enterprise"/>
    <s v="Direct"/>
    <s v="H. Kim"/>
    <s v="Accessories"/>
    <s v="ACC-4056"/>
    <n v="555.95000000000005"/>
    <n v="468.09"/>
    <n v="0.14199999999999999"/>
    <b v="0"/>
    <n v="11"/>
    <n v="4417.8334199999999"/>
    <n v="6115.4500000000007"/>
    <n v="-1697.6165800000008"/>
    <n v="-0.38426450674095375"/>
    <s v="Low"/>
  </r>
  <r>
    <s v="ORD-2023-363031"/>
    <x v="106"/>
    <x v="7"/>
    <x v="6"/>
    <d v="2023-05-14T00:00:00"/>
    <d v="2023-05-14T00:00:00"/>
    <n v="8"/>
    <s v="Asia"/>
    <x v="7"/>
    <s v="Osaka"/>
    <s v="Enterprise"/>
    <s v="Marketplace"/>
    <s v="B. Chen"/>
    <s v="Phones"/>
    <s v="PHN-6131"/>
    <n v="291.18"/>
    <n v="479.54"/>
    <n v="0.14099999999999999"/>
    <b v="0"/>
    <n v="22"/>
    <n v="9062.34692"/>
    <n v="6405.96"/>
    <n v="2656.3869199999999"/>
    <n v="0.29312350801066001"/>
    <s v="Low"/>
  </r>
  <r>
    <s v="ORD-2023-156396"/>
    <x v="107"/>
    <x v="1"/>
    <x v="1"/>
    <d v="2023-03-12T00:00:00"/>
    <d v="2023-03-12T00:00:00"/>
    <n v="19"/>
    <s v="Africa"/>
    <x v="1"/>
    <s v="Nakuru"/>
    <s v="Corporate"/>
    <s v="Online"/>
    <s v="F. Müller"/>
    <s v="Networking"/>
    <s v="NET-2499"/>
    <n v="352.65"/>
    <n v="485.86"/>
    <n v="4.1000000000000002E-2"/>
    <b v="0"/>
    <n v="6"/>
    <n v="2795.6384399999997"/>
    <n v="2115.8999999999996"/>
    <n v="679.73844000000008"/>
    <n v="0.24314247159943908"/>
    <s v="Low"/>
  </r>
  <r>
    <s v="ORD-2025-155182"/>
    <x v="108"/>
    <x v="18"/>
    <x v="5"/>
    <d v="2025-08-03T00:00:00"/>
    <d v="2025-08-03T00:00:00"/>
    <n v="23"/>
    <s v="Africa"/>
    <x v="1"/>
    <s v="Nakuru"/>
    <s v="Small Business"/>
    <s v="Retail"/>
    <s v="C. Otieno"/>
    <s v="Phones"/>
    <s v="PHN-7636"/>
    <n v="389.93"/>
    <n v="486.13"/>
    <n v="0.13200000000000001"/>
    <b v="0"/>
    <n v="17"/>
    <n v="7173.3342799999991"/>
    <n v="6628.81"/>
    <n v="544.52427999999873"/>
    <n v="7.5909508569562828E-2"/>
    <s v="Low"/>
  </r>
  <r>
    <s v="ORD-2025-252117"/>
    <x v="109"/>
    <x v="6"/>
    <x v="2"/>
    <d v="2025-05-19T00:00:00"/>
    <d v="2025-05-19T00:00:00"/>
    <n v="21"/>
    <s v="Europe"/>
    <x v="6"/>
    <s v="Berlin"/>
    <s v="Corporate"/>
    <s v="Distributor"/>
    <s v="B. Chen"/>
    <s v="Phones"/>
    <s v="PHN-2462"/>
    <n v="350.76"/>
    <n v="492.18"/>
    <n v="5.2999999999999999E-2"/>
    <b v="0"/>
    <n v="11"/>
    <n v="5127.0390600000001"/>
    <n v="3858.3599999999997"/>
    <n v="1268.6790600000004"/>
    <n v="0.24744868239798437"/>
    <s v="Low"/>
  </r>
  <r>
    <s v="ORD-2023-769774"/>
    <x v="110"/>
    <x v="17"/>
    <x v="6"/>
    <d v="2023-06-24T00:00:00"/>
    <d v="2023-06-24T00:00:00"/>
    <n v="11"/>
    <s v="Americas"/>
    <x v="11"/>
    <s v="Toronto"/>
    <s v="Corporate"/>
    <s v="Online"/>
    <s v="C. Otieno"/>
    <s v="Printers"/>
    <s v="PRN-8008"/>
    <n v="247.07"/>
    <n v="495.19"/>
    <n v="2.8000000000000001E-2"/>
    <b v="0"/>
    <n v="4"/>
    <n v="1925.29872"/>
    <n v="988.28"/>
    <n v="937.01872000000003"/>
    <n v="0.48668744764968214"/>
    <s v="Low"/>
  </r>
  <r>
    <s v="ORD-2023-581799"/>
    <x v="111"/>
    <x v="32"/>
    <x v="8"/>
    <d v="2023-12-12T00:00:00"/>
    <d v="2023-12-12T00:00:00"/>
    <n v="7"/>
    <s v="Americas"/>
    <x v="5"/>
    <s v="Brasília"/>
    <s v="Corporate"/>
    <s v="Direct"/>
    <s v="F. Müller"/>
    <s v="Phones"/>
    <s v="PHN-6506"/>
    <n v="307.43"/>
    <n v="495.19"/>
    <n v="0"/>
    <b v="0"/>
    <n v="42"/>
    <n v="20797.98"/>
    <n v="12912.06"/>
    <n v="7885.92"/>
    <n v="0.37916759223732305"/>
    <s v="Low"/>
  </r>
  <r>
    <s v="ORD-2023-967239"/>
    <x v="112"/>
    <x v="32"/>
    <x v="8"/>
    <d v="2024-01-01T00:00:00"/>
    <d v="2024-01-01T00:00:00"/>
    <n v="8"/>
    <s v="Americas"/>
    <x v="5"/>
    <s v="São Paulo"/>
    <s v="Education"/>
    <s v="Direct"/>
    <s v="C. Otieno"/>
    <s v="Phones"/>
    <s v="PHN-3014"/>
    <n v="526.49"/>
    <n v="496.2"/>
    <n v="0"/>
    <b v="0"/>
    <n v="14"/>
    <n v="6946.8"/>
    <n v="7370.8600000000006"/>
    <n v="-424.0600000000004"/>
    <n v="-6.1043933897621985E-2"/>
    <s v="Low"/>
  </r>
  <r>
    <s v="ORD-2023-713375"/>
    <x v="113"/>
    <x v="9"/>
    <x v="7"/>
    <d v="2023-09-10T00:00:00"/>
    <d v="2023-09-10T00:00:00"/>
    <n v="15"/>
    <s v="Africa"/>
    <x v="4"/>
    <s v="Cape Town"/>
    <s v="Non-Profit"/>
    <s v="Direct"/>
    <s v="N. Brown"/>
    <s v="Components"/>
    <s v="CMP-7063"/>
    <n v="241.14"/>
    <n v="496.52"/>
    <n v="9.2999999999999999E-2"/>
    <b v="0"/>
    <n v="10"/>
    <n v="4503.4363999999996"/>
    <n v="2411.3999999999996"/>
    <n v="2092.0364"/>
    <n v="0.46454223268257994"/>
    <s v="Low"/>
  </r>
  <r>
    <s v="ORD-2023-987700"/>
    <x v="114"/>
    <x v="16"/>
    <x v="6"/>
    <d v="2023-04-16T00:00:00"/>
    <d v="2023-04-16T00:00:00"/>
    <n v="11"/>
    <s v="Americas"/>
    <x v="11"/>
    <s v="Vancouver"/>
    <s v="Non-Profit"/>
    <s v="Online"/>
    <s v="O. Wang"/>
    <s v="Monitors"/>
    <s v="MON-5259"/>
    <n v="213.1"/>
    <n v="501.31"/>
    <n v="5.6000000000000001E-2"/>
    <b v="0"/>
    <n v="15"/>
    <n v="7098.5495999999994"/>
    <n v="3196.5"/>
    <n v="3902.0495999999994"/>
    <n v="0.54969674368409005"/>
    <s v="Low"/>
  </r>
  <r>
    <s v="ORD-2024-720756"/>
    <x v="115"/>
    <x v="20"/>
    <x v="0"/>
    <d v="2024-11-09T00:00:00"/>
    <d v="2024-11-09T00:00:00"/>
    <n v="29"/>
    <s v="Asia"/>
    <x v="10"/>
    <s v="Shanghai"/>
    <s v="Non-Profit"/>
    <s v="Online"/>
    <s v="F. Müller"/>
    <s v="Printers"/>
    <s v="PRN-5666"/>
    <n v="391.64"/>
    <n v="504.76"/>
    <n v="4.0000000000000001E-3"/>
    <b v="0"/>
    <n v="13"/>
    <n v="6535.6324800000002"/>
    <n v="5091.32"/>
    <n v="1444.3124800000005"/>
    <n v="0.22099046793402319"/>
    <s v="Low"/>
  </r>
  <r>
    <s v="ORD-2023-602648"/>
    <x v="116"/>
    <x v="17"/>
    <x v="6"/>
    <d v="2023-07-08T00:00:00"/>
    <d v="2023-07-08T00:00:00"/>
    <n v="18"/>
    <s v="Americas"/>
    <x v="3"/>
    <s v="Austin"/>
    <s v="Non-Profit"/>
    <s v="Direct"/>
    <s v="F. Müller"/>
    <s v="Monitors"/>
    <s v="MON-4326"/>
    <n v="337"/>
    <n v="511.03"/>
    <n v="0.108"/>
    <b v="0"/>
    <n v="7"/>
    <n v="3190.8713200000002"/>
    <n v="2359"/>
    <n v="831.8713200000002"/>
    <n v="0.26070349963219458"/>
    <s v="Low"/>
  </r>
  <r>
    <s v="ORD-2023-375011"/>
    <x v="117"/>
    <x v="9"/>
    <x v="7"/>
    <d v="2023-09-22T00:00:00"/>
    <d v="2023-09-22T00:00:00"/>
    <n v="30"/>
    <s v="Europe"/>
    <x v="0"/>
    <s v="London"/>
    <s v="Consumer"/>
    <s v="Distributor"/>
    <s v="O. Wang"/>
    <s v="Accessories"/>
    <s v="ACC-1492"/>
    <n v="209.81"/>
    <n v="523"/>
    <n v="5.8999999999999997E-2"/>
    <b v="0"/>
    <n v="15"/>
    <n v="7382.1450000000004"/>
    <n v="3147.15"/>
    <n v="4234.9950000000008"/>
    <n v="0.57368082041195356"/>
    <s v="Low"/>
  </r>
  <r>
    <s v="ORD-2023-848013"/>
    <x v="118"/>
    <x v="1"/>
    <x v="1"/>
    <d v="2023-03-04T00:00:00"/>
    <d v="2023-03-04T00:00:00"/>
    <n v="12"/>
    <s v="Asia"/>
    <x v="9"/>
    <s v="Delhi"/>
    <s v="Consumer"/>
    <s v="Distributor"/>
    <s v="M. Rossi"/>
    <s v="Monitors"/>
    <s v="MON-9906"/>
    <n v="299.75"/>
    <n v="523.01"/>
    <n v="0.157"/>
    <b v="0"/>
    <n v="50"/>
    <n v="22044.871499999997"/>
    <n v="14987.5"/>
    <n v="7057.3714999999975"/>
    <n v="0.32013665854210122"/>
    <s v="Low"/>
  </r>
  <r>
    <s v="ORD-2024-136321"/>
    <x v="119"/>
    <x v="25"/>
    <x v="10"/>
    <d v="2024-08-17T00:00:00"/>
    <d v="2024-08-17T00:00:00"/>
    <n v="10"/>
    <s v="Asia"/>
    <x v="7"/>
    <s v="Osaka"/>
    <s v="Consumer"/>
    <s v="Online"/>
    <s v="K. Singh"/>
    <s v="Networking"/>
    <s v="NET-7924"/>
    <n v="436.58"/>
    <n v="527.48"/>
    <n v="0.111"/>
    <b v="0"/>
    <n v="19"/>
    <n v="8909.6646800000017"/>
    <n v="8295.02"/>
    <n v="614.64468000000124"/>
    <n v="6.8986286473802644E-2"/>
    <s v="Low"/>
  </r>
  <r>
    <s v="ORD-2024-250862"/>
    <x v="120"/>
    <x v="20"/>
    <x v="0"/>
    <d v="2024-11-05T00:00:00"/>
    <d v="2024-11-05T00:00:00"/>
    <n v="11"/>
    <s v="Americas"/>
    <x v="3"/>
    <s v="New York"/>
    <s v="Corporate"/>
    <s v="Distributor"/>
    <s v="N. Brown"/>
    <s v="Components"/>
    <s v="CMP-9498"/>
    <n v="446.66"/>
    <n v="527.64"/>
    <n v="0.14499999999999999"/>
    <b v="0"/>
    <n v="15"/>
    <n v="6766.9829999999993"/>
    <n v="6699.9000000000005"/>
    <n v="67.082999999998719"/>
    <n v="9.9132804087137105E-3"/>
    <s v="Low"/>
  </r>
  <r>
    <s v="ORD-2025-512310"/>
    <x v="121"/>
    <x v="14"/>
    <x v="9"/>
    <d v="2025-03-15T00:00:00"/>
    <d v="2025-03-15T00:00:00"/>
    <n v="7"/>
    <s v="Asia"/>
    <x v="9"/>
    <s v="Bengaluru"/>
    <s v="Corporate"/>
    <s v="Distributor"/>
    <s v="K. Singh"/>
    <s v="Laptops"/>
    <s v="LAP-8119"/>
    <n v="475.66"/>
    <n v="529.14"/>
    <n v="0.19600000000000001"/>
    <b v="0"/>
    <n v="11"/>
    <n v="4679.7141600000004"/>
    <n v="5232.26"/>
    <n v="-552.54583999999977"/>
    <n v="-0.11807256193613323"/>
    <s v="Low"/>
  </r>
  <r>
    <s v="ORD-2025-354346"/>
    <x v="122"/>
    <x v="27"/>
    <x v="9"/>
    <d v="2025-01-15T00:00:00"/>
    <d v="2025-01-15T00:00:00"/>
    <n v="6"/>
    <s v="Asia"/>
    <x v="10"/>
    <s v="Beijing"/>
    <s v="Education"/>
    <s v="Online"/>
    <s v="C. Otieno"/>
    <s v="Phones"/>
    <s v="PHN-2875"/>
    <n v="304.77999999999997"/>
    <n v="537.27"/>
    <n v="0.187"/>
    <b v="0"/>
    <n v="8"/>
    <n v="3494.4040799999998"/>
    <n v="2438.2399999999998"/>
    <n v="1056.16408"/>
    <n v="0.3022444044307549"/>
    <s v="Low"/>
  </r>
  <r>
    <s v="ORD-2024-878493"/>
    <x v="123"/>
    <x v="4"/>
    <x v="4"/>
    <d v="2024-06-20T00:00:00"/>
    <d v="2024-06-20T00:00:00"/>
    <n v="1"/>
    <s v="Africa"/>
    <x v="1"/>
    <s v="Kisumu"/>
    <s v="Small Business"/>
    <s v="Direct"/>
    <s v="J. Njeri"/>
    <s v="Laptops"/>
    <s v="LAP-4607"/>
    <n v="231.63"/>
    <n v="537.39"/>
    <n v="0.08"/>
    <b v="0"/>
    <n v="12"/>
    <n v="5932.7856000000002"/>
    <n v="2779.56"/>
    <n v="3153.2256000000002"/>
    <n v="0.53149158129024587"/>
    <s v="Low"/>
  </r>
  <r>
    <s v="ORD-2024-942981"/>
    <x v="124"/>
    <x v="20"/>
    <x v="0"/>
    <d v="2024-11-08T00:00:00"/>
    <d v="2024-11-08T00:00:00"/>
    <n v="30"/>
    <s v="Europe"/>
    <x v="0"/>
    <s v="Manchester"/>
    <s v="Small Business"/>
    <s v="Distributor"/>
    <s v="J. Njeri"/>
    <s v="Components"/>
    <s v="CMP-1072"/>
    <n v="343.85"/>
    <n v="538.04"/>
    <n v="0.13900000000000001"/>
    <b v="0"/>
    <n v="5"/>
    <n v="2316.2621999999997"/>
    <n v="1719.25"/>
    <n v="597.01219999999967"/>
    <n v="0.25774810813732563"/>
    <s v="Low"/>
  </r>
  <r>
    <s v="ORD-2025-484073"/>
    <x v="125"/>
    <x v="12"/>
    <x v="9"/>
    <d v="2025-03-09T00:00:00"/>
    <d v="2025-03-09T00:00:00"/>
    <n v="18"/>
    <s v="Asia"/>
    <x v="9"/>
    <s v="Delhi"/>
    <s v="Small Business"/>
    <s v="Direct"/>
    <s v="O. Wang"/>
    <s v="Monitors"/>
    <s v="MON-1436"/>
    <n v="325.87"/>
    <n v="538.79"/>
    <n v="0.17399999999999999"/>
    <b v="0"/>
    <n v="16"/>
    <n v="7120.6486400000003"/>
    <n v="5213.92"/>
    <n v="1906.7286400000003"/>
    <n v="0.26777457172778013"/>
    <s v="Low"/>
  </r>
  <r>
    <s v="ORD-2025-192876"/>
    <x v="126"/>
    <x v="27"/>
    <x v="9"/>
    <d v="2025-02-17T00:00:00"/>
    <d v="2025-02-17T00:00:00"/>
    <n v="17"/>
    <s v="Europe"/>
    <x v="0"/>
    <s v="London"/>
    <s v="Enterprise"/>
    <s v="Retail"/>
    <s v="H. Kim"/>
    <s v="Components"/>
    <s v="CMP-5820"/>
    <n v="378.26"/>
    <n v="541.55999999999995"/>
    <n v="0.16300000000000001"/>
    <b v="0"/>
    <n v="25"/>
    <n v="11332.142999999998"/>
    <n v="9456.5"/>
    <n v="1875.6429999999982"/>
    <n v="0.16551529573885526"/>
    <s v="Low"/>
  </r>
  <r>
    <s v="ORD-2023-548934"/>
    <x v="81"/>
    <x v="9"/>
    <x v="7"/>
    <d v="2023-08-30T00:00:00"/>
    <d v="2023-08-30T00:00:00"/>
    <n v="27"/>
    <s v="Asia"/>
    <x v="10"/>
    <s v="Shanghai"/>
    <s v="Consumer"/>
    <s v="Distributor"/>
    <s v="N. Brown"/>
    <s v="Monitors"/>
    <s v="MON-3773"/>
    <n v="226.04"/>
    <n v="545.72"/>
    <n v="0.151"/>
    <b v="0"/>
    <n v="11"/>
    <n v="5096.4790800000001"/>
    <n v="2486.44"/>
    <n v="2610.03908"/>
    <n v="0.51212592831834014"/>
    <s v="Low"/>
  </r>
  <r>
    <s v="ORD-2024-800947"/>
    <x v="127"/>
    <x v="0"/>
    <x v="0"/>
    <d v="2024-12-20T00:00:00"/>
    <d v="2024-12-20T00:00:00"/>
    <n v="5"/>
    <s v="Asia"/>
    <x v="10"/>
    <s v="Shenzhen"/>
    <s v="Small Business"/>
    <s v="Direct"/>
    <s v="J. Njeri"/>
    <s v="Networking"/>
    <s v="NET-1846"/>
    <n v="717.55"/>
    <n v="546.42999999999995"/>
    <n v="4.7E-2"/>
    <b v="0"/>
    <n v="18"/>
    <n v="9373.460219999999"/>
    <n v="12915.9"/>
    <n v="-3542.4397800000006"/>
    <n v="-0.37792231437026369"/>
    <s v="Low"/>
  </r>
  <r>
    <s v="ORD-2025-487261"/>
    <x v="128"/>
    <x v="14"/>
    <x v="9"/>
    <d v="2025-03-31T00:00:00"/>
    <d v="2025-03-31T00:00:00"/>
    <n v="25"/>
    <s v="Americas"/>
    <x v="5"/>
    <s v="Brasília"/>
    <s v="Non-Profit"/>
    <s v="Online"/>
    <s v="J. Njeri"/>
    <s v="Components"/>
    <s v="CMP-3693"/>
    <n v="331.57"/>
    <n v="548.4"/>
    <n v="9.4E-2"/>
    <b v="0"/>
    <n v="10"/>
    <n v="4968.5039999999999"/>
    <n v="3315.7"/>
    <n v="1652.8040000000001"/>
    <n v="0.33265626836568918"/>
    <s v="Low"/>
  </r>
  <r>
    <s v="ORD-2023-128295"/>
    <x v="129"/>
    <x v="17"/>
    <x v="6"/>
    <d v="2023-07-03T00:00:00"/>
    <d v="2023-07-03T00:00:00"/>
    <n v="10"/>
    <s v="Africa"/>
    <x v="8"/>
    <s v="Abuja"/>
    <s v="Consumer"/>
    <s v="Online"/>
    <s v="J. Njeri"/>
    <s v="Printers"/>
    <s v="PRN-2542"/>
    <n v="337.75"/>
    <n v="548.89"/>
    <n v="0"/>
    <b v="0"/>
    <n v="13"/>
    <n v="7135.57"/>
    <n v="4390.75"/>
    <n v="2744.8199999999997"/>
    <n v="0.38466723751571352"/>
    <s v="Low"/>
  </r>
  <r>
    <s v="ORD-2025-364852"/>
    <x v="130"/>
    <x v="23"/>
    <x v="2"/>
    <d v="2025-06-09T00:00:00"/>
    <d v="2025-06-09T00:00:00"/>
    <n v="22"/>
    <s v="Americas"/>
    <x v="3"/>
    <s v="New York"/>
    <s v="Consumer"/>
    <s v="Retail"/>
    <s v="H. Kim"/>
    <s v="Networking"/>
    <s v="NET-3749"/>
    <n v="382.96"/>
    <n v="552.84"/>
    <n v="0.17599999999999999"/>
    <b v="0"/>
    <n v="8"/>
    <n v="3644.3212800000006"/>
    <n v="3063.68"/>
    <n v="580.64128000000073"/>
    <n v="0.15932768693763483"/>
    <s v="Low"/>
  </r>
  <r>
    <s v="ORD-2024-307849"/>
    <x v="131"/>
    <x v="25"/>
    <x v="10"/>
    <d v="2024-09-07T00:00:00"/>
    <d v="2024-09-07T00:00:00"/>
    <n v="28"/>
    <s v="Europe"/>
    <x v="2"/>
    <s v="Marseille"/>
    <s v="Non-Profit"/>
    <s v="Direct"/>
    <s v="F. Müller"/>
    <s v="Printers"/>
    <s v="PRN-1183"/>
    <n v="229.96"/>
    <n v="564.26"/>
    <n v="0.105"/>
    <b v="0"/>
    <n v="5"/>
    <n v="2525.0635000000002"/>
    <n v="1149.8"/>
    <n v="1375.2635000000002"/>
    <n v="0.54464511486542821"/>
    <s v="Low"/>
  </r>
  <r>
    <s v="ORD-2025-246470"/>
    <x v="132"/>
    <x v="6"/>
    <x v="2"/>
    <d v="2025-05-16T00:00:00"/>
    <d v="2025-05-16T00:00:00"/>
    <n v="30"/>
    <s v="Americas"/>
    <x v="11"/>
    <s v="Montreal"/>
    <s v="Enterprise"/>
    <s v="Distributor"/>
    <s v="K. Singh"/>
    <s v="Printers"/>
    <s v="PRN-6178"/>
    <n v="763.32"/>
    <n v="568.29"/>
    <n v="0.13100000000000001"/>
    <b v="0"/>
    <n v="16"/>
    <n v="7901.5041599999995"/>
    <n v="12213.12"/>
    <n v="-4311.6158400000013"/>
    <n v="-0.54567026134426555"/>
    <s v="Low"/>
  </r>
  <r>
    <s v="ORD-2024-446030"/>
    <x v="133"/>
    <x v="3"/>
    <x v="3"/>
    <d v="2024-03-26T00:00:00"/>
    <d v="2024-03-26T00:00:00"/>
    <n v="3"/>
    <s v="Asia"/>
    <x v="9"/>
    <s v="Bengaluru"/>
    <s v="Education"/>
    <s v="Direct"/>
    <s v="G. Dubois"/>
    <s v="Phones"/>
    <s v="PHN-4346"/>
    <n v="382.21"/>
    <n v="571.89"/>
    <n v="0.14799999999999999"/>
    <b v="0"/>
    <n v="26"/>
    <n v="12668.50728"/>
    <n v="9937.4599999999991"/>
    <n v="2731.0472800000007"/>
    <n v="0.2155776698578809"/>
    <s v="Low"/>
  </r>
  <r>
    <s v="ORD-2025-189846"/>
    <x v="134"/>
    <x v="11"/>
    <x v="5"/>
    <d v="2025-08-28T00:00:00"/>
    <d v="2025-08-28T00:00:00"/>
    <n v="17"/>
    <s v="Europe"/>
    <x v="2"/>
    <s v="Paris"/>
    <s v="Education"/>
    <s v="Online"/>
    <s v="F. Müller"/>
    <s v="Networking"/>
    <s v="NET-6218"/>
    <n v="416.16"/>
    <n v="571.9"/>
    <n v="7.0999999999999994E-2"/>
    <b v="0"/>
    <n v="2"/>
    <n v="1062.5902000000001"/>
    <n v="832.32"/>
    <n v="230.27020000000005"/>
    <n v="0.21670649701079497"/>
    <s v="Low"/>
  </r>
  <r>
    <s v="ORD-2024-164288"/>
    <x v="135"/>
    <x v="0"/>
    <x v="0"/>
    <d v="2024-12-26T00:00:00"/>
    <d v="2024-12-26T00:00:00"/>
    <n v="5"/>
    <s v="Americas"/>
    <x v="3"/>
    <s v="San Francisco"/>
    <s v="Consumer"/>
    <s v="Marketplace"/>
    <s v="M. Rossi"/>
    <s v="Printers"/>
    <s v="PRN-4788"/>
    <n v="699.57"/>
    <n v="572.71"/>
    <n v="0.192"/>
    <b v="0"/>
    <n v="26"/>
    <n v="12031.491680000001"/>
    <n v="18188.82"/>
    <n v="-6157.3283199999987"/>
    <n v="-0.51176765805651114"/>
    <s v="Low"/>
  </r>
  <r>
    <s v="ORD-2025-939953"/>
    <x v="57"/>
    <x v="27"/>
    <x v="9"/>
    <d v="2025-01-22T00:00:00"/>
    <d v="2025-01-22T00:00:00"/>
    <n v="0"/>
    <s v="Europe"/>
    <x v="2"/>
    <s v="Lyon"/>
    <s v="Small Business"/>
    <s v="Online"/>
    <s v="B. Chen"/>
    <s v="Accessories"/>
    <s v="ACC-5422"/>
    <n v="591.72"/>
    <n v="577.24"/>
    <n v="0"/>
    <b v="0"/>
    <n v="22"/>
    <n v="12699.28"/>
    <n v="13017.84"/>
    <n v="-318.55999999999949"/>
    <n v="-2.5084886702238195E-2"/>
    <s v="Low"/>
  </r>
  <r>
    <s v="ORD-2024-787018"/>
    <x v="136"/>
    <x v="4"/>
    <x v="4"/>
    <d v="2024-06-28T00:00:00"/>
    <d v="2024-06-28T00:00:00"/>
    <n v="5"/>
    <s v="Africa"/>
    <x v="8"/>
    <s v="Port Harcourt"/>
    <s v="Non-Profit"/>
    <s v="Direct"/>
    <s v="M. Rossi"/>
    <s v="Accessories"/>
    <s v="ACC-7671"/>
    <n v="242.31"/>
    <n v="587.95000000000005"/>
    <n v="0.22900000000000001"/>
    <b v="0"/>
    <n v="6"/>
    <n v="2719.8567000000003"/>
    <n v="1453.8600000000001"/>
    <n v="1265.9967000000001"/>
    <n v="0.46546448568411714"/>
    <s v="Low"/>
  </r>
  <r>
    <s v="ORD-2023-723587"/>
    <x v="137"/>
    <x v="13"/>
    <x v="1"/>
    <d v="2023-01-05T00:00:00"/>
    <d v="2023-01-05T00:00:00"/>
    <n v="3"/>
    <s v="Americas"/>
    <x v="11"/>
    <s v="Toronto"/>
    <s v="Corporate"/>
    <s v="Distributor"/>
    <s v="B. Chen"/>
    <s v="Laptops"/>
    <s v="LAP-8555"/>
    <n v="315.87"/>
    <n v="591.67999999999995"/>
    <n v="0"/>
    <b v="0"/>
    <n v="7"/>
    <n v="4141.7599999999993"/>
    <n v="2211.09"/>
    <n v="1930.6699999999992"/>
    <n v="0.46614724175229844"/>
    <s v="Low"/>
  </r>
  <r>
    <s v="ORD-2025-866565"/>
    <x v="138"/>
    <x v="23"/>
    <x v="2"/>
    <d v="2025-05-26T00:00:00"/>
    <d v="2025-05-26T00:00:00"/>
    <n v="14"/>
    <s v="Asia"/>
    <x v="9"/>
    <s v="Hyderabad"/>
    <s v="Corporate"/>
    <s v="Marketplace"/>
    <s v="G. Dubois"/>
    <s v="Printers"/>
    <s v="PRN-8850"/>
    <n v="320.12"/>
    <n v="594.41999999999996"/>
    <n v="0.104"/>
    <b v="0"/>
    <n v="18"/>
    <n v="9586.8057599999993"/>
    <n v="5762.16"/>
    <n v="3824.6457599999994"/>
    <n v="0.39894891538931104"/>
    <s v="Low"/>
  </r>
  <r>
    <s v="ORD-2023-727290"/>
    <x v="139"/>
    <x v="16"/>
    <x v="6"/>
    <d v="2023-04-16T00:00:00"/>
    <d v="2023-04-16T00:00:00"/>
    <n v="13"/>
    <s v="Europe"/>
    <x v="2"/>
    <s v="Marseille"/>
    <s v="Non-Profit"/>
    <s v="Marketplace"/>
    <s v="M. Rossi"/>
    <s v="Accessories"/>
    <s v="ACC-4815"/>
    <n v="790.54"/>
    <n v="601.49"/>
    <n v="0"/>
    <b v="0"/>
    <n v="15"/>
    <n v="9022.35"/>
    <n v="11858.099999999999"/>
    <n v="-2835.7499999999982"/>
    <n v="-0.31430281467688553"/>
    <s v="Low"/>
  </r>
  <r>
    <s v="ORD-2024-872291"/>
    <x v="140"/>
    <x v="21"/>
    <x v="3"/>
    <d v="2024-01-12T00:00:00"/>
    <d v="2024-01-12T00:00:00"/>
    <n v="4"/>
    <s v="Asia"/>
    <x v="9"/>
    <s v="Bengaluru"/>
    <s v="Corporate"/>
    <s v="Direct"/>
    <s v="E. Garcia"/>
    <s v="Printers"/>
    <s v="PRN-6585"/>
    <n v="802.32"/>
    <n v="602.34"/>
    <n v="0.12"/>
    <b v="0"/>
    <n v="25"/>
    <n v="13251.48"/>
    <n v="20058"/>
    <n v="-6806.52"/>
    <n v="-0.51364224977134632"/>
    <s v="Low"/>
  </r>
  <r>
    <s v="ORD-2023-597666"/>
    <x v="141"/>
    <x v="10"/>
    <x v="8"/>
    <d v="2023-11-24T00:00:00"/>
    <d v="2023-11-24T00:00:00"/>
    <n v="30"/>
    <s v="Europe"/>
    <x v="2"/>
    <s v="Paris"/>
    <s v="Enterprise"/>
    <s v="Distributor"/>
    <s v="C. Otieno"/>
    <s v="Phones"/>
    <s v="PHN-5938"/>
    <n v="287.85000000000002"/>
    <n v="602.91999999999996"/>
    <n v="0.222"/>
    <b v="0"/>
    <n v="11"/>
    <n v="5159.7893599999998"/>
    <n v="3166.3500000000004"/>
    <n v="1993.4393599999994"/>
    <n v="0.38634122847216373"/>
    <s v="Low"/>
  </r>
  <r>
    <s v="ORD-2023-749324"/>
    <x v="142"/>
    <x v="9"/>
    <x v="7"/>
    <d v="2023-09-07T00:00:00"/>
    <d v="2023-09-07T00:00:00"/>
    <n v="19"/>
    <s v="Africa"/>
    <x v="4"/>
    <s v="Johannesburg"/>
    <s v="Enterprise"/>
    <s v="Retail"/>
    <s v="D. Smith"/>
    <s v="Monitors"/>
    <s v="MON-2296"/>
    <n v="494.61"/>
    <n v="605.23"/>
    <n v="0.20399999999999999"/>
    <b v="0"/>
    <n v="18"/>
    <n v="8671.7354400000004"/>
    <n v="8902.98"/>
    <n v="-231.24455999999918"/>
    <n v="-2.6666468505639647E-2"/>
    <s v="Low"/>
  </r>
  <r>
    <s v="ORD-2023-517216"/>
    <x v="143"/>
    <x v="28"/>
    <x v="7"/>
    <d v="2023-10-08T00:00:00"/>
    <d v="2023-10-08T00:00:00"/>
    <n v="19"/>
    <s v="Asia"/>
    <x v="9"/>
    <s v="Bengaluru"/>
    <s v="Education"/>
    <s v="Direct"/>
    <s v="J. Njeri"/>
    <s v="Printers"/>
    <s v="PRN-5005"/>
    <n v="385.32"/>
    <n v="606.76"/>
    <n v="8.5999999999999993E-2"/>
    <b v="0"/>
    <n v="8"/>
    <n v="4436.6291200000005"/>
    <n v="3082.56"/>
    <n v="1354.0691200000006"/>
    <n v="0.30520223425842735"/>
    <s v="Low"/>
  </r>
  <r>
    <s v="ORD-2025-496178"/>
    <x v="144"/>
    <x v="18"/>
    <x v="5"/>
    <d v="2025-08-15T00:00:00"/>
    <d v="2025-08-15T00:00:00"/>
    <n v="19"/>
    <s v="Asia"/>
    <x v="7"/>
    <s v="Tokyo"/>
    <s v="Small Business"/>
    <s v="Marketplace"/>
    <s v="J. Njeri"/>
    <s v="Components"/>
    <s v="CMP-5658"/>
    <n v="275.43"/>
    <n v="608.36"/>
    <n v="0.25700000000000001"/>
    <b v="0"/>
    <n v="4"/>
    <n v="1808.04592"/>
    <n v="1101.72"/>
    <n v="706.32592"/>
    <n v="0.39065706915231446"/>
    <s v="Low"/>
  </r>
  <r>
    <s v="ORD-2024-275203"/>
    <x v="145"/>
    <x v="3"/>
    <x v="3"/>
    <d v="2024-04-06T00:00:00"/>
    <d v="2024-04-06T00:00:00"/>
    <n v="26"/>
    <s v="Africa"/>
    <x v="1"/>
    <s v="Kisumu"/>
    <s v="Corporate"/>
    <s v="Retail"/>
    <s v="C. Otieno"/>
    <s v="Components"/>
    <s v="CMP-8270"/>
    <n v="279.24"/>
    <n v="608.9"/>
    <n v="0.112"/>
    <b v="0"/>
    <n v="9"/>
    <n v="4866.3287999999993"/>
    <n v="2513.16"/>
    <n v="2353.1687999999995"/>
    <n v="0.48356140670149533"/>
    <s v="Low"/>
  </r>
  <r>
    <s v="ORD-2024-153053"/>
    <x v="146"/>
    <x v="21"/>
    <x v="3"/>
    <d v="2024-01-29T00:00:00"/>
    <d v="2024-01-29T00:00:00"/>
    <n v="17"/>
    <s v="Asia"/>
    <x v="9"/>
    <s v="Hyderabad"/>
    <s v="Small Business"/>
    <s v="Direct"/>
    <s v="B. Chen"/>
    <s v="Components"/>
    <s v="CMP-5138"/>
    <n v="310.02"/>
    <n v="619.51"/>
    <n v="4.2000000000000003E-2"/>
    <b v="0"/>
    <n v="4"/>
    <n v="2373.9623200000001"/>
    <n v="1240.08"/>
    <n v="1133.8823200000002"/>
    <n v="0.47763282106347843"/>
    <s v="Low"/>
  </r>
  <r>
    <s v="ORD-2025-640677"/>
    <x v="54"/>
    <x v="6"/>
    <x v="2"/>
    <d v="2025-05-06T00:00:00"/>
    <d v="2025-05-06T00:00:00"/>
    <n v="27"/>
    <s v="Americas"/>
    <x v="5"/>
    <s v="Brasília"/>
    <s v="Enterprise"/>
    <s v="Marketplace"/>
    <s v="F. Müller"/>
    <s v="Laptops"/>
    <s v="LAP-4517"/>
    <n v="264.19"/>
    <n v="620.92999999999995"/>
    <n v="0.14199999999999999"/>
    <b v="0"/>
    <n v="12"/>
    <n v="6393.0952799999995"/>
    <n v="3170.2799999999997"/>
    <n v="3222.8152799999998"/>
    <n v="0.50410875152794532"/>
    <s v="Low"/>
  </r>
  <r>
    <s v="ORD-2023-427304"/>
    <x v="147"/>
    <x v="17"/>
    <x v="6"/>
    <d v="2023-06-19T00:00:00"/>
    <d v="2023-06-19T00:00:00"/>
    <n v="10"/>
    <s v="Asia"/>
    <x v="10"/>
    <s v="Beijing"/>
    <s v="Enterprise"/>
    <s v="Retail"/>
    <s v="F. Müller"/>
    <s v="Monitors"/>
    <s v="MON-9194"/>
    <n v="339.61"/>
    <n v="621.02"/>
    <n v="7.0999999999999994E-2"/>
    <b v="0"/>
    <n v="10"/>
    <n v="5769.2758000000003"/>
    <n v="3396.1000000000004"/>
    <n v="2373.1758"/>
    <n v="0.41134726129750981"/>
    <s v="Low"/>
  </r>
  <r>
    <s v="ORD-2024-999607"/>
    <x v="146"/>
    <x v="21"/>
    <x v="3"/>
    <d v="2024-01-29T00:00:00"/>
    <d v="2024-01-29T00:00:00"/>
    <n v="17"/>
    <s v="Americas"/>
    <x v="3"/>
    <s v="Chicago"/>
    <s v="Education"/>
    <s v="Distributor"/>
    <s v="A. Patel"/>
    <s v="Printers"/>
    <s v="PRN-8604"/>
    <n v="493.76"/>
    <n v="625.04"/>
    <n v="0.25800000000000001"/>
    <b v="0"/>
    <n v="10"/>
    <n v="4637.7968000000001"/>
    <n v="4937.6000000000004"/>
    <n v="-299.80320000000029"/>
    <n v="-6.464345311549663E-2"/>
    <s v="Low"/>
  </r>
  <r>
    <s v="ORD-2024-834983"/>
    <x v="148"/>
    <x v="3"/>
    <x v="3"/>
    <d v="2024-04-13T00:00:00"/>
    <d v="2024-04-13T00:00:00"/>
    <n v="28"/>
    <s v="Europe"/>
    <x v="2"/>
    <s v="Paris"/>
    <s v="Small Business"/>
    <s v="Online"/>
    <s v="K. Singh"/>
    <s v="Printers"/>
    <s v="PRN-8758"/>
    <n v="287.61"/>
    <n v="628.54"/>
    <n v="0.13500000000000001"/>
    <b v="0"/>
    <n v="21"/>
    <n v="11417.429099999999"/>
    <n v="6039.81"/>
    <n v="5377.619099999999"/>
    <n v="0.47100087531964613"/>
    <s v="Low"/>
  </r>
  <r>
    <s v="ORD-2023-825495"/>
    <x v="98"/>
    <x v="30"/>
    <x v="8"/>
    <d v="2023-11-29T00:00:00"/>
    <d v="2023-12-14T00:00:00"/>
    <n v="14"/>
    <s v="Africa"/>
    <x v="4"/>
    <s v="Durban"/>
    <s v="Small Business"/>
    <s v="Marketplace"/>
    <s v="E. Garcia"/>
    <s v="Laptops"/>
    <s v="LAP-1525"/>
    <n v="275.56"/>
    <n v="630.72"/>
    <n v="0.107"/>
    <b v="0"/>
    <n v="23"/>
    <n v="12954.358080000002"/>
    <n v="6337.88"/>
    <n v="6616.4780800000017"/>
    <n v="0.5107530638831933"/>
    <s v="Low"/>
  </r>
  <r>
    <s v="ORD-2025-840976"/>
    <x v="149"/>
    <x v="5"/>
    <x v="5"/>
    <d v="2025-09-30T00:00:00"/>
    <d v="2025-09-30T00:00:00"/>
    <n v="29"/>
    <s v="Americas"/>
    <x v="5"/>
    <s v="Brasília"/>
    <s v="Education"/>
    <s v="Retail"/>
    <s v="K. Singh"/>
    <s v="Accessories"/>
    <s v="ACC-1663"/>
    <n v="780.59"/>
    <n v="631.57000000000005"/>
    <n v="0"/>
    <b v="0"/>
    <n v="12"/>
    <n v="7578.84"/>
    <n v="9367.08"/>
    <n v="-1788.2399999999998"/>
    <n v="-0.23595167598207639"/>
    <s v="Low"/>
  </r>
  <r>
    <s v="ORD-2024-170313"/>
    <x v="150"/>
    <x v="0"/>
    <x v="0"/>
    <d v="2025-01-15T00:00:00"/>
    <d v="2025-01-15T00:00:00"/>
    <n v="19"/>
    <s v="Asia"/>
    <x v="9"/>
    <s v="Delhi"/>
    <s v="Non-Profit"/>
    <s v="Distributor"/>
    <s v="G. Dubois"/>
    <s v="Components"/>
    <s v="CMP-6919"/>
    <n v="495.59"/>
    <n v="631.78"/>
    <n v="8.6999999999999994E-2"/>
    <b v="0"/>
    <n v="17"/>
    <n v="9805.8573800000013"/>
    <n v="8425.0299999999988"/>
    <n v="1380.8273800000024"/>
    <n v="0.14081658813601899"/>
    <s v="Low"/>
  </r>
  <r>
    <s v="ORD-2024-578646"/>
    <x v="151"/>
    <x v="15"/>
    <x v="4"/>
    <d v="2024-06-17T00:00:00"/>
    <d v="2024-06-17T00:00:00"/>
    <n v="21"/>
    <s v="Asia"/>
    <x v="9"/>
    <s v="Delhi"/>
    <s v="Small Business"/>
    <s v="Online"/>
    <s v="H. Kim"/>
    <s v="Accessories"/>
    <s v="ACC-7240"/>
    <n v="465.02"/>
    <n v="651.55999999999995"/>
    <n v="4.2000000000000003E-2"/>
    <b v="0"/>
    <n v="19"/>
    <n v="11859.695119999998"/>
    <n v="8835.3799999999992"/>
    <n v="3024.3151199999993"/>
    <n v="0.25500783025187918"/>
    <s v="Low"/>
  </r>
  <r>
    <s v="ORD-2023-215819"/>
    <x v="152"/>
    <x v="24"/>
    <x v="7"/>
    <d v="2023-07-11T00:00:00"/>
    <d v="2023-07-11T00:00:00"/>
    <n v="10"/>
    <s v="Europe"/>
    <x v="2"/>
    <s v="Paris"/>
    <s v="Corporate"/>
    <s v="Direct"/>
    <s v="F. Müller"/>
    <s v="Networking"/>
    <s v="NET-6533"/>
    <n v="479.5"/>
    <n v="656.66"/>
    <n v="0.14899999999999999"/>
    <b v="0"/>
    <n v="14"/>
    <n v="7823.4472399999995"/>
    <n v="6713"/>
    <n v="1110.4472399999995"/>
    <n v="0.14193835606412289"/>
    <s v="Low"/>
  </r>
  <r>
    <s v="ORD-2024-792353"/>
    <x v="153"/>
    <x v="25"/>
    <x v="10"/>
    <d v="2024-09-07T00:00:00"/>
    <d v="2024-09-07T00:00:00"/>
    <n v="19"/>
    <s v="Europe"/>
    <x v="2"/>
    <s v="Lyon"/>
    <s v="Corporate"/>
    <s v="Direct"/>
    <s v="J. Njeri"/>
    <s v="Components"/>
    <s v="CMP-5435"/>
    <n v="297.58999999999997"/>
    <n v="666.41"/>
    <n v="0"/>
    <b v="0"/>
    <n v="10"/>
    <n v="6664.0999999999995"/>
    <n v="2975.8999999999996"/>
    <n v="3688.2"/>
    <n v="0.55344307558409989"/>
    <s v="Low"/>
  </r>
  <r>
    <s v="ORD-2023-430904"/>
    <x v="154"/>
    <x v="13"/>
    <x v="1"/>
    <d v="2023-01-31T00:00:00"/>
    <d v="2023-01-31T00:00:00"/>
    <n v="4"/>
    <s v="Europe"/>
    <x v="0"/>
    <s v="Manchester"/>
    <s v="Enterprise"/>
    <s v="Online"/>
    <s v="N. Brown"/>
    <s v="Laptops"/>
    <s v="LAP-9782"/>
    <n v="941.2"/>
    <n v="668.02"/>
    <n v="0.22"/>
    <b v="0"/>
    <n v="16"/>
    <n v="8336.8896000000004"/>
    <n v="15059.2"/>
    <n v="-6722.3104000000003"/>
    <n v="-0.80633314371825193"/>
    <s v="Low"/>
  </r>
  <r>
    <s v="ORD-2023-552115"/>
    <x v="155"/>
    <x v="28"/>
    <x v="7"/>
    <d v="2023-10-02T00:00:00"/>
    <d v="2023-10-02T00:00:00"/>
    <n v="15"/>
    <s v="Americas"/>
    <x v="5"/>
    <s v="Rio de Janeiro"/>
    <s v="Small Business"/>
    <s v="Retail"/>
    <s v="B. Chen"/>
    <s v="Laptops"/>
    <s v="LAP-4932"/>
    <n v="689.33"/>
    <n v="668.27"/>
    <n v="0.186"/>
    <b v="0"/>
    <n v="13"/>
    <n v="7071.6331400000008"/>
    <n v="8961.2900000000009"/>
    <n v="-1889.6568600000001"/>
    <n v="-0.26721647214861033"/>
    <s v="Low"/>
  </r>
  <r>
    <s v="ORD-2025-184754"/>
    <x v="156"/>
    <x v="2"/>
    <x v="2"/>
    <d v="2025-07-05T00:00:00"/>
    <d v="2025-07-05T00:00:00"/>
    <n v="8"/>
    <s v="Europe"/>
    <x v="6"/>
    <s v="Munich"/>
    <s v="Small Business"/>
    <s v="Direct"/>
    <s v="G. Dubois"/>
    <s v="Monitors"/>
    <s v="MON-7626"/>
    <n v="314.93"/>
    <n v="687.95"/>
    <n v="0.20499999999999999"/>
    <b v="0"/>
    <n v="8"/>
    <n v="4375.3620000000001"/>
    <n v="2519.44"/>
    <n v="1855.922"/>
    <n v="0.424175645352316"/>
    <s v="Low"/>
  </r>
  <r>
    <s v="ORD-2025-515515"/>
    <x v="157"/>
    <x v="27"/>
    <x v="9"/>
    <d v="2025-01-23T00:00:00"/>
    <d v="2025-01-23T00:00:00"/>
    <n v="20"/>
    <s v="Asia"/>
    <x v="7"/>
    <s v="Osaka"/>
    <s v="Corporate"/>
    <s v="Distributor"/>
    <s v="F. Müller"/>
    <s v="Phones"/>
    <s v="PHN-7019"/>
    <n v="908.6"/>
    <n v="691.37"/>
    <n v="0.25"/>
    <b v="0"/>
    <n v="20"/>
    <n v="10370.549999999999"/>
    <n v="18172"/>
    <n v="-7801.4500000000007"/>
    <n v="-0.75226964818645115"/>
    <s v="Low"/>
  </r>
  <r>
    <s v="ORD-2023-883066"/>
    <x v="158"/>
    <x v="9"/>
    <x v="7"/>
    <d v="2023-09-06T00:00:00"/>
    <d v="2023-09-06T00:00:00"/>
    <n v="25"/>
    <s v="Asia"/>
    <x v="10"/>
    <s v="Shanghai"/>
    <s v="Small Business"/>
    <s v="Retail"/>
    <s v="B. Chen"/>
    <s v="Components"/>
    <s v="CMP-6352"/>
    <n v="950.77"/>
    <n v="694.78"/>
    <n v="8.4000000000000005E-2"/>
    <b v="0"/>
    <n v="14"/>
    <n v="8909.8587200000002"/>
    <n v="13310.779999999999"/>
    <n v="-4400.9212799999987"/>
    <n v="-0.49393839097821279"/>
    <s v="Low"/>
  </r>
  <r>
    <s v="ORD-2023-609394"/>
    <x v="159"/>
    <x v="16"/>
    <x v="6"/>
    <d v="2023-04-19T00:00:00"/>
    <d v="2023-04-19T00:00:00"/>
    <n v="3"/>
    <s v="Europe"/>
    <x v="6"/>
    <s v="Munich"/>
    <s v="Corporate"/>
    <s v="Direct"/>
    <s v="B. Chen"/>
    <s v="Accessories"/>
    <s v="ACC-1731"/>
    <n v="553.61"/>
    <n v="699.47"/>
    <n v="0.02"/>
    <b v="0"/>
    <n v="33"/>
    <n v="22620.859800000002"/>
    <n v="18269.13"/>
    <n v="4351.729800000001"/>
    <n v="0.19237685209472014"/>
    <s v="Low"/>
  </r>
  <r>
    <s v="ORD-2025-856556"/>
    <x v="160"/>
    <x v="2"/>
    <x v="2"/>
    <d v="2025-07-12T00:00:00"/>
    <d v="2025-07-12T00:00:00"/>
    <n v="27"/>
    <s v="Europe"/>
    <x v="2"/>
    <s v="Marseille"/>
    <s v="Consumer"/>
    <s v="Direct"/>
    <s v="C. Otieno"/>
    <s v="Accessories"/>
    <s v="ACC-7906"/>
    <n v="318.83"/>
    <n v="699.5"/>
    <n v="0.08"/>
    <b v="0"/>
    <n v="13"/>
    <n v="8366.02"/>
    <n v="4144.79"/>
    <n v="4221.2300000000005"/>
    <n v="0.50456848059172699"/>
    <s v="Low"/>
  </r>
  <r>
    <s v="ORD-2024-210687"/>
    <x v="38"/>
    <x v="21"/>
    <x v="3"/>
    <d v="2024-02-09T00:00:00"/>
    <d v="2024-02-09T00:00:00"/>
    <n v="12"/>
    <s v="Europe"/>
    <x v="6"/>
    <s v="Berlin"/>
    <s v="Corporate"/>
    <s v="Online"/>
    <s v="G. Dubois"/>
    <s v="Accessories"/>
    <s v="ACC-7938"/>
    <n v="644.16999999999996"/>
    <n v="700.12"/>
    <n v="6.0000000000000001E-3"/>
    <b v="0"/>
    <n v="23"/>
    <n v="16006.14344"/>
    <n v="14815.91"/>
    <n v="1190.23344"/>
    <n v="7.436103796405813E-2"/>
    <s v="Low"/>
  </r>
  <r>
    <s v="ORD-2024-289089"/>
    <x v="0"/>
    <x v="0"/>
    <x v="0"/>
    <d v="2024-12-18T00:00:00"/>
    <d v="2024-12-18T00:00:00"/>
    <n v="1"/>
    <s v="Europe"/>
    <x v="6"/>
    <s v="Munich"/>
    <s v="Education"/>
    <s v="Retail"/>
    <s v="L. Okafor"/>
    <s v="Accessories"/>
    <s v="ACC-5780"/>
    <n v="346.82"/>
    <n v="701.95"/>
    <n v="0.14699999999999999"/>
    <b v="0"/>
    <n v="8"/>
    <n v="4790.1068000000005"/>
    <n v="2774.56"/>
    <n v="2015.5468000000005"/>
    <n v="0.42077283120284509"/>
    <s v="Low"/>
  </r>
  <r>
    <s v="ORD-2023-290279"/>
    <x v="161"/>
    <x v="17"/>
    <x v="6"/>
    <d v="2023-06-16T00:00:00"/>
    <d v="2023-06-16T00:00:00"/>
    <n v="2"/>
    <s v="Europe"/>
    <x v="0"/>
    <s v="Manchester"/>
    <s v="Non-Profit"/>
    <s v="Direct"/>
    <s v="K. Singh"/>
    <s v="Components"/>
    <s v="CMP-5820"/>
    <n v="357.36"/>
    <n v="703.62"/>
    <n v="0.25700000000000001"/>
    <b v="0"/>
    <n v="20"/>
    <n v="10455.7932"/>
    <n v="7147.2000000000007"/>
    <n v="3308.5931999999993"/>
    <n v="0.31643636563125593"/>
    <s v="Low"/>
  </r>
  <r>
    <s v="ORD-2025-417942"/>
    <x v="2"/>
    <x v="2"/>
    <x v="2"/>
    <d v="2025-06-24T00:00:00"/>
    <d v="2025-06-24T00:00:00"/>
    <n v="15"/>
    <s v="Asia"/>
    <x v="7"/>
    <s v="Nagoya"/>
    <s v="Corporate"/>
    <s v="Direct"/>
    <s v="B. Chen"/>
    <s v="Phones"/>
    <s v="PHN-5675"/>
    <n v="400.39"/>
    <n v="712.75"/>
    <n v="0.115"/>
    <b v="0"/>
    <n v="19"/>
    <n v="11984.891250000001"/>
    <n v="7607.41"/>
    <n v="4377.4812500000007"/>
    <n v="0.36524997671547504"/>
    <s v="Low"/>
  </r>
  <r>
    <s v="ORD-2023-689428"/>
    <x v="162"/>
    <x v="13"/>
    <x v="1"/>
    <d v="2023-01-30T00:00:00"/>
    <d v="2023-01-30T00:00:00"/>
    <n v="23"/>
    <s v="Africa"/>
    <x v="4"/>
    <s v="Cape Town"/>
    <s v="Consumer"/>
    <s v="Online"/>
    <s v="A. Patel"/>
    <s v="Printers"/>
    <s v="PRN-4787"/>
    <n v="299.02"/>
    <n v="724.7"/>
    <n v="0.14000000000000001"/>
    <b v="0"/>
    <n v="5"/>
    <n v="3116.21"/>
    <n v="1495.1"/>
    <n v="1621.1100000000001"/>
    <n v="0.52021847051386139"/>
    <s v="Low"/>
  </r>
  <r>
    <s v="ORD-2025-659650"/>
    <x v="163"/>
    <x v="12"/>
    <x v="9"/>
    <d v="2025-02-08T00:00:00"/>
    <d v="2025-02-08T00:00:00"/>
    <n v="4"/>
    <s v="Europe"/>
    <x v="0"/>
    <s v="Manchester"/>
    <s v="Enterprise"/>
    <s v="Marketplace"/>
    <s v="L. Okafor"/>
    <s v="Networking"/>
    <s v="NET-2502"/>
    <n v="586.21"/>
    <n v="727.22"/>
    <n v="6.8000000000000005E-2"/>
    <b v="0"/>
    <n v="15"/>
    <n v="10166.535600000001"/>
    <n v="8793.1500000000015"/>
    <n v="1373.3855999999996"/>
    <n v="0.13508884973559721"/>
    <s v="Low"/>
  </r>
  <r>
    <s v="ORD-2025-244832"/>
    <x v="164"/>
    <x v="5"/>
    <x v="5"/>
    <d v="2025-09-28T00:00:00"/>
    <d v="2025-09-28T00:00:00"/>
    <n v="17"/>
    <s v="Africa"/>
    <x v="1"/>
    <s v="Nairobi"/>
    <s v="Non-Profit"/>
    <s v="Distributor"/>
    <s v="J. Njeri"/>
    <s v="Laptops"/>
    <s v="LAP-3278"/>
    <n v="891.46"/>
    <n v="728.61"/>
    <n v="0.185"/>
    <b v="0"/>
    <n v="6"/>
    <n v="3562.9028999999996"/>
    <n v="5348.76"/>
    <n v="-1785.8571000000006"/>
    <n v="-0.50123653383874167"/>
    <s v="Low"/>
  </r>
  <r>
    <s v="ORD-2023-610470"/>
    <x v="165"/>
    <x v="17"/>
    <x v="6"/>
    <d v="2023-07-21T00:00:00"/>
    <d v="2023-07-21T00:00:00"/>
    <n v="27"/>
    <s v="Asia"/>
    <x v="7"/>
    <s v="Nagoya"/>
    <s v="Consumer"/>
    <s v="Marketplace"/>
    <s v="J. Njeri"/>
    <s v="Phones"/>
    <s v="PHN-6818"/>
    <n v="554.76"/>
    <n v="728.69"/>
    <n v="0.22"/>
    <b v="0"/>
    <n v="7"/>
    <n v="3978.6474000000003"/>
    <n v="3883.3199999999997"/>
    <n v="95.32740000000058"/>
    <n v="2.395975074343119E-2"/>
    <s v="Low"/>
  </r>
  <r>
    <s v="ORD-2023-813340"/>
    <x v="166"/>
    <x v="32"/>
    <x v="8"/>
    <d v="2024-01-03T00:00:00"/>
    <d v="2024-01-03T00:00:00"/>
    <n v="8"/>
    <s v="Europe"/>
    <x v="2"/>
    <s v="Lyon"/>
    <s v="Small Business"/>
    <s v="Retail"/>
    <s v="M. Rossi"/>
    <s v="Laptops"/>
    <s v="LAP-2942"/>
    <n v="492.75"/>
    <n v="731.29"/>
    <n v="5.8000000000000003E-2"/>
    <b v="0"/>
    <n v="6"/>
    <n v="4133.25108"/>
    <n v="2956.5"/>
    <n v="1176.75108"/>
    <n v="0.28470350753528384"/>
    <s v="Low"/>
  </r>
  <r>
    <s v="ORD-2023-192324"/>
    <x v="167"/>
    <x v="28"/>
    <x v="7"/>
    <d v="2023-09-16T00:00:00"/>
    <d v="2023-09-16T00:00:00"/>
    <n v="2"/>
    <s v="Europe"/>
    <x v="2"/>
    <s v="Lyon"/>
    <s v="Non-Profit"/>
    <s v="Direct"/>
    <s v="B. Chen"/>
    <s v="Printers"/>
    <s v="PRN-4432"/>
    <n v="376.83"/>
    <n v="732.88"/>
    <n v="0.188"/>
    <b v="0"/>
    <n v="25"/>
    <n v="14877.464000000002"/>
    <n v="9420.75"/>
    <n v="5456.7140000000018"/>
    <n v="0.36677716040852132"/>
    <s v="Low"/>
  </r>
  <r>
    <s v="ORD-2024-427031"/>
    <x v="168"/>
    <x v="4"/>
    <x v="4"/>
    <d v="2024-06-24T00:00:00"/>
    <d v="2024-06-24T00:00:00"/>
    <n v="16"/>
    <s v="Africa"/>
    <x v="4"/>
    <s v="Durban"/>
    <s v="Education"/>
    <s v="Distributor"/>
    <s v="H. Kim"/>
    <s v="Monitors"/>
    <s v="MON-1389"/>
    <n v="597.85"/>
    <n v="741.92"/>
    <n v="3.1E-2"/>
    <b v="0"/>
    <n v="7"/>
    <n v="5032.4433599999993"/>
    <n v="4184.95"/>
    <n v="847.49335999999948"/>
    <n v="0.16840594108544515"/>
    <s v="Low"/>
  </r>
  <r>
    <s v="ORD-2025-231184"/>
    <x v="169"/>
    <x v="2"/>
    <x v="2"/>
    <d v="2025-06-06T00:00:00"/>
    <d v="2025-06-06T00:00:00"/>
    <n v="5"/>
    <s v="Europe"/>
    <x v="2"/>
    <s v="Paris"/>
    <s v="Consumer"/>
    <s v="Distributor"/>
    <s v="G. Dubois"/>
    <s v="Components"/>
    <s v="CMP-4093"/>
    <n v="379.45"/>
    <n v="742.23"/>
    <n v="0.09"/>
    <b v="0"/>
    <n v="13"/>
    <n v="8780.5809000000008"/>
    <n v="4932.8499999999995"/>
    <n v="3847.7309000000014"/>
    <n v="0.43820915083192286"/>
    <s v="Low"/>
  </r>
  <r>
    <s v="ORD-2025-703623"/>
    <x v="170"/>
    <x v="18"/>
    <x v="5"/>
    <d v="2025-08-19T00:00:00"/>
    <d v="2025-08-19T00:00:00"/>
    <n v="27"/>
    <s v="Asia"/>
    <x v="7"/>
    <s v="Nagoya"/>
    <s v="Consumer"/>
    <s v="Marketplace"/>
    <s v="B. Chen"/>
    <s v="Accessories"/>
    <s v="ACC-1596"/>
    <n v="896.09"/>
    <n v="744.27"/>
    <n v="8.3000000000000004E-2"/>
    <b v="0"/>
    <n v="11"/>
    <n v="7507.4514899999995"/>
    <n v="9856.99"/>
    <n v="-2349.5385100000003"/>
    <n v="-0.31296086469950679"/>
    <s v="Low"/>
  </r>
  <r>
    <s v="ORD-2023-256951"/>
    <x v="171"/>
    <x v="16"/>
    <x v="6"/>
    <d v="2023-05-07T00:00:00"/>
    <d v="2023-05-07T00:00:00"/>
    <n v="18"/>
    <s v="Europe"/>
    <x v="0"/>
    <s v="London"/>
    <s v="Non-Profit"/>
    <s v="Direct"/>
    <s v="H. Kim"/>
    <s v="Networking"/>
    <s v="NET-2439"/>
    <n v="516.96"/>
    <n v="745.38"/>
    <n v="0.19700000000000001"/>
    <b v="0"/>
    <n v="4"/>
    <n v="2394.1605599999998"/>
    <n v="2067.84"/>
    <n v="326.32055999999966"/>
    <n v="0.13629852794835101"/>
    <s v="Low"/>
  </r>
  <r>
    <s v="ORD-2024-433936"/>
    <x v="172"/>
    <x v="25"/>
    <x v="10"/>
    <d v="2024-08-17T00:00:00"/>
    <d v="2024-08-17T00:00:00"/>
    <n v="13"/>
    <s v="Americas"/>
    <x v="3"/>
    <s v="Austin"/>
    <s v="Consumer"/>
    <s v="Retail"/>
    <s v="D. Smith"/>
    <s v="Monitors"/>
    <s v="MON-8867"/>
    <n v="352.79"/>
    <n v="754.22"/>
    <n v="0.113"/>
    <b v="0"/>
    <n v="7"/>
    <n v="4682.9519799999998"/>
    <n v="2469.5300000000002"/>
    <n v="2213.4219799999996"/>
    <n v="0.47265528014233443"/>
    <s v="Low"/>
  </r>
  <r>
    <s v="ORD-2024-355095"/>
    <x v="100"/>
    <x v="21"/>
    <x v="3"/>
    <d v="2024-01-02T00:00:00"/>
    <d v="2024-01-02T00:00:00"/>
    <n v="0"/>
    <s v="Americas"/>
    <x v="11"/>
    <s v="Vancouver"/>
    <s v="Education"/>
    <s v="Direct"/>
    <s v="A. Patel"/>
    <s v="Laptops"/>
    <s v="LAP-3581"/>
    <n v="444.41"/>
    <n v="754.24"/>
    <n v="0.20699999999999999"/>
    <b v="0"/>
    <n v="32"/>
    <n v="19139.594240000002"/>
    <n v="14221.12"/>
    <n v="4918.4742400000014"/>
    <n v="0.25697902360546598"/>
    <s v="Low"/>
  </r>
  <r>
    <s v="ORD-2023-480975"/>
    <x v="173"/>
    <x v="1"/>
    <x v="1"/>
    <d v="2023-02-26T00:00:00"/>
    <d v="2023-02-26T00:00:00"/>
    <n v="11"/>
    <s v="Africa"/>
    <x v="4"/>
    <s v="Johannesburg"/>
    <s v="Non-Profit"/>
    <s v="Retail"/>
    <s v="K. Singh"/>
    <s v="Laptops"/>
    <s v="LAP-3393"/>
    <n v="498.5"/>
    <n v="755.87"/>
    <n v="0.13"/>
    <b v="0"/>
    <n v="40"/>
    <n v="26304.275999999998"/>
    <n v="19940"/>
    <n v="6364.275999999998"/>
    <n v="0.24194834330357537"/>
    <s v="Low"/>
  </r>
  <r>
    <s v="ORD-2023-880296"/>
    <x v="174"/>
    <x v="7"/>
    <x v="6"/>
    <d v="2023-05-19T00:00:00"/>
    <d v="2023-05-19T00:00:00"/>
    <n v="17"/>
    <s v="Asia"/>
    <x v="10"/>
    <s v="Shanghai"/>
    <s v="Non-Profit"/>
    <s v="Direct"/>
    <s v="J. Njeri"/>
    <s v="Monitors"/>
    <s v="MON-5086"/>
    <n v="714.28"/>
    <n v="757.59"/>
    <n v="0.13600000000000001"/>
    <b v="0"/>
    <n v="12"/>
    <n v="7854.6931199999999"/>
    <n v="8571.36"/>
    <n v="-716.66688000000067"/>
    <n v="-9.1240595787910383E-2"/>
    <s v="Low"/>
  </r>
  <r>
    <s v="ORD-2024-855073"/>
    <x v="175"/>
    <x v="29"/>
    <x v="10"/>
    <d v="2024-07-19T00:00:00"/>
    <d v="2024-07-19T00:00:00"/>
    <n v="0"/>
    <s v="Africa"/>
    <x v="1"/>
    <s v="Kisumu"/>
    <s v="Small Business"/>
    <s v="Retail"/>
    <s v="A. Patel"/>
    <s v="Phones"/>
    <s v="PHN-6854"/>
    <n v="857.24"/>
    <n v="758.23"/>
    <n v="0.125"/>
    <b v="0"/>
    <n v="6"/>
    <n v="3980.7075"/>
    <n v="5143.4400000000005"/>
    <n v="-1162.7325000000005"/>
    <n v="-0.29209192084572921"/>
    <s v="Low"/>
  </r>
  <r>
    <s v="ORD-2024-350100"/>
    <x v="176"/>
    <x v="20"/>
    <x v="0"/>
    <d v="2024-11-20T00:00:00"/>
    <d v="2024-11-20T00:00:00"/>
    <n v="24"/>
    <s v="Asia"/>
    <x v="7"/>
    <s v="Nagoya"/>
    <s v="Non-Profit"/>
    <s v="Online"/>
    <s v="H. Kim"/>
    <s v="Monitors"/>
    <s v="MON-8939"/>
    <n v="317.25"/>
    <n v="758.92"/>
    <n v="5.2999999999999999E-2"/>
    <b v="0"/>
    <n v="9"/>
    <n v="6468.2751599999992"/>
    <n v="2855.25"/>
    <n v="3613.0251599999992"/>
    <n v="0.5585762928489888"/>
    <s v="Low"/>
  </r>
  <r>
    <s v="ORD-2024-358795"/>
    <x v="177"/>
    <x v="20"/>
    <x v="0"/>
    <d v="2024-10-22T00:00:00"/>
    <d v="2024-11-06T00:00:00"/>
    <n v="14"/>
    <s v="Africa"/>
    <x v="8"/>
    <s v="Port Harcourt"/>
    <s v="Education"/>
    <s v="Online"/>
    <s v="J. Njeri"/>
    <s v="Printers"/>
    <s v="PRN-9322"/>
    <n v="1084.3900000000001"/>
    <n v="759.33"/>
    <n v="0.23699999999999999"/>
    <b v="0"/>
    <n v="31"/>
    <n v="17960.432489999999"/>
    <n v="33616.090000000004"/>
    <n v="-15655.657510000005"/>
    <n v="-0.87167486187856302"/>
    <s v="Low"/>
  </r>
  <r>
    <s v="ORD-2023-386663"/>
    <x v="178"/>
    <x v="17"/>
    <x v="6"/>
    <d v="2023-06-28T00:00:00"/>
    <d v="2023-06-28T00:00:00"/>
    <n v="23"/>
    <s v="Europe"/>
    <x v="0"/>
    <s v="Birmingham"/>
    <s v="Corporate"/>
    <s v="Direct"/>
    <s v="K. Singh"/>
    <s v="Printers"/>
    <s v="PRN-3690"/>
    <n v="605.82000000000005"/>
    <n v="771.12"/>
    <n v="0.13200000000000001"/>
    <b v="0"/>
    <n v="19"/>
    <n v="12717.311040000001"/>
    <n v="11510.580000000002"/>
    <n v="1206.7310399999988"/>
    <n v="9.4888851597986767E-2"/>
    <s v="Low"/>
  </r>
  <r>
    <s v="ORD-2023-884192"/>
    <x v="179"/>
    <x v="13"/>
    <x v="1"/>
    <d v="2023-01-29T00:00:00"/>
    <d v="2023-01-29T00:00:00"/>
    <n v="19"/>
    <s v="Europe"/>
    <x v="2"/>
    <s v="Lyon"/>
    <s v="Non-Profit"/>
    <s v="Direct"/>
    <s v="D. Smith"/>
    <s v="Laptops"/>
    <s v="LAP-4551"/>
    <n v="401.66"/>
    <n v="772.09"/>
    <n v="8.8999999999999996E-2"/>
    <b v="0"/>
    <n v="14"/>
    <n v="9847.2358600000007"/>
    <n v="5623.2400000000007"/>
    <n v="4223.99586"/>
    <n v="0.42895244107619046"/>
    <s v="Low"/>
  </r>
  <r>
    <s v="ORD-2023-653343"/>
    <x v="180"/>
    <x v="30"/>
    <x v="8"/>
    <d v="2023-11-28T00:00:00"/>
    <d v="2023-11-28T00:00:00"/>
    <n v="18"/>
    <s v="Americas"/>
    <x v="5"/>
    <s v="Brasília"/>
    <s v="Education"/>
    <s v="Marketplace"/>
    <s v="L. Okafor"/>
    <s v="Accessories"/>
    <s v="ACC-5260"/>
    <n v="388.51"/>
    <n v="776.46"/>
    <n v="0.157"/>
    <b v="0"/>
    <n v="12"/>
    <n v="7854.6693599999999"/>
    <n v="4662.12"/>
    <n v="3192.54936"/>
    <n v="0.40645241876864946"/>
    <s v="Low"/>
  </r>
  <r>
    <s v="ORD-2023-925146"/>
    <x v="181"/>
    <x v="10"/>
    <x v="8"/>
    <d v="2023-11-13T00:00:00"/>
    <d v="2023-11-13T00:00:00"/>
    <n v="29"/>
    <s v="Asia"/>
    <x v="10"/>
    <s v="Shenzhen"/>
    <s v="Non-Profit"/>
    <s v="Distributor"/>
    <s v="J. Njeri"/>
    <s v="Printers"/>
    <s v="PRN-4983"/>
    <n v="986.44"/>
    <n v="790.61"/>
    <n v="7.1999999999999995E-2"/>
    <b v="0"/>
    <n v="6"/>
    <n v="4402.1164799999997"/>
    <n v="5918.64"/>
    <n v="-1516.5235200000006"/>
    <n v="-0.34449872621271499"/>
    <s v="Low"/>
  </r>
  <r>
    <s v="ORD-2025-411385"/>
    <x v="182"/>
    <x v="2"/>
    <x v="2"/>
    <d v="2025-06-14T00:00:00"/>
    <d v="2025-06-14T00:00:00"/>
    <n v="9"/>
    <s v="Asia"/>
    <x v="9"/>
    <s v="Delhi"/>
    <s v="Non-Profit"/>
    <s v="Retail"/>
    <s v="A. Patel"/>
    <s v="Accessories"/>
    <s v="ACC-2902"/>
    <n v="618.69000000000005"/>
    <n v="796.15"/>
    <n v="0.09"/>
    <b v="0"/>
    <n v="11"/>
    <n v="7969.4615000000003"/>
    <n v="6805.59"/>
    <n v="1163.8715000000002"/>
    <n v="0.14604142325049191"/>
    <s v="Low"/>
  </r>
  <r>
    <s v="ORD-2023-824839"/>
    <x v="183"/>
    <x v="32"/>
    <x v="8"/>
    <d v="2023-12-31T00:00:00"/>
    <d v="2023-12-31T00:00:00"/>
    <n v="25"/>
    <s v="Asia"/>
    <x v="7"/>
    <s v="Osaka"/>
    <s v="Consumer"/>
    <s v="Retail"/>
    <s v="L. Okafor"/>
    <s v="Printers"/>
    <s v="PRN-8041"/>
    <n v="663.03"/>
    <n v="813.51"/>
    <n v="0.10199999999999999"/>
    <b v="0"/>
    <n v="15"/>
    <n v="10957.9797"/>
    <n v="9945.4499999999989"/>
    <n v="1012.529700000001"/>
    <n v="9.2401129379715952E-2"/>
    <s v="Low"/>
  </r>
  <r>
    <s v="ORD-2024-961756"/>
    <x v="184"/>
    <x v="22"/>
    <x v="0"/>
    <d v="2024-12-07T00:00:00"/>
    <d v="2024-12-07T00:00:00"/>
    <n v="12"/>
    <s v="Asia"/>
    <x v="10"/>
    <s v="Shanghai"/>
    <s v="Corporate"/>
    <s v="Distributor"/>
    <s v="A. Patel"/>
    <s v="Accessories"/>
    <s v="ACC-7047"/>
    <n v="769.9"/>
    <n v="814.36"/>
    <n v="0"/>
    <b v="0"/>
    <n v="5"/>
    <n v="4071.8"/>
    <n v="3849.5"/>
    <n v="222.30000000000018"/>
    <n v="5.4595019401738831E-2"/>
    <s v="Low"/>
  </r>
  <r>
    <s v="ORD-2024-220234"/>
    <x v="185"/>
    <x v="3"/>
    <x v="3"/>
    <d v="2024-04-09T00:00:00"/>
    <d v="2024-04-09T00:00:00"/>
    <n v="25"/>
    <s v="Americas"/>
    <x v="11"/>
    <s v="Vancouver"/>
    <s v="Consumer"/>
    <s v="Online"/>
    <s v="F. Müller"/>
    <s v="Monitors"/>
    <s v="MON-4361"/>
    <n v="648.64"/>
    <n v="815.19"/>
    <n v="0.22500000000000001"/>
    <b v="0"/>
    <n v="28"/>
    <n v="17689.623"/>
    <n v="18161.919999999998"/>
    <n v="-472.29699999999866"/>
    <n v="-2.6699099240272032E-2"/>
    <s v="Medium"/>
  </r>
  <r>
    <s v="ORD-2024-749242"/>
    <x v="186"/>
    <x v="21"/>
    <x v="3"/>
    <d v="2024-02-11T00:00:00"/>
    <d v="2024-02-11T00:00:00"/>
    <n v="26"/>
    <s v="Europe"/>
    <x v="6"/>
    <s v="Frankfurt"/>
    <s v="Non-Profit"/>
    <s v="Distributor"/>
    <s v="E. Garcia"/>
    <s v="Monitors"/>
    <s v="MON-4195"/>
    <n v="504.93"/>
    <n v="819.06"/>
    <n v="0.22600000000000001"/>
    <b v="0"/>
    <n v="15"/>
    <n v="9509.2865999999995"/>
    <n v="7573.95"/>
    <n v="1935.3365999999996"/>
    <n v="0.20352069312959814"/>
    <s v="Medium"/>
  </r>
  <r>
    <s v="ORD-2024-375848"/>
    <x v="187"/>
    <x v="15"/>
    <x v="4"/>
    <d v="2024-05-21T00:00:00"/>
    <d v="2024-05-21T00:00:00"/>
    <n v="3"/>
    <s v="Europe"/>
    <x v="2"/>
    <s v="Marseille"/>
    <s v="Non-Profit"/>
    <s v="Marketplace"/>
    <s v="D. Smith"/>
    <s v="Printers"/>
    <s v="PRN-1725"/>
    <n v="663.66"/>
    <n v="824.26"/>
    <n v="0.23899999999999999"/>
    <b v="0"/>
    <n v="11"/>
    <n v="6899.8804600000003"/>
    <n v="7300.2599999999993"/>
    <n v="-400.379539999999"/>
    <n v="-5.8027025587048933E-2"/>
    <s v="Medium"/>
  </r>
  <r>
    <s v="ORD-2023-890605"/>
    <x v="165"/>
    <x v="17"/>
    <x v="6"/>
    <d v="2023-06-22T00:00:00"/>
    <d v="2023-07-08T00:00:00"/>
    <n v="14"/>
    <s v="Americas"/>
    <x v="11"/>
    <s v="Toronto"/>
    <s v="Non-Profit"/>
    <s v="Retail"/>
    <s v="M. Rossi"/>
    <s v="Accessories"/>
    <s v="ACC-2903"/>
    <n v="471.42"/>
    <n v="824.81"/>
    <n v="8.7999999999999995E-2"/>
    <b v="0"/>
    <n v="15"/>
    <n v="11283.400799999999"/>
    <n v="7071.3"/>
    <n v="4212.1007999999993"/>
    <n v="0.37330064531608231"/>
    <s v="Medium"/>
  </r>
  <r>
    <s v="ORD-2024-364080"/>
    <x v="188"/>
    <x v="31"/>
    <x v="4"/>
    <d v="2024-04-27T00:00:00"/>
    <d v="2024-04-27T00:00:00"/>
    <n v="11"/>
    <s v="Africa"/>
    <x v="1"/>
    <s v="Nakuru"/>
    <s v="Enterprise"/>
    <s v="Online"/>
    <s v="D. Smith"/>
    <s v="Printers"/>
    <s v="PRN-2641"/>
    <n v="401.3"/>
    <n v="826.47"/>
    <n v="0.22500000000000001"/>
    <b v="0"/>
    <n v="13"/>
    <n v="8326.6852500000005"/>
    <n v="5216.9000000000005"/>
    <n v="3109.7852499999999"/>
    <n v="0.37347217489696755"/>
    <s v="Medium"/>
  </r>
  <r>
    <s v="ORD-2023-913592"/>
    <x v="189"/>
    <x v="7"/>
    <x v="6"/>
    <d v="2023-05-14T00:00:00"/>
    <d v="2023-05-14T00:00:00"/>
    <n v="4"/>
    <s v="Asia"/>
    <x v="9"/>
    <s v="Delhi"/>
    <s v="Non-Profit"/>
    <s v="Distributor"/>
    <s v="C. Otieno"/>
    <s v="Monitors"/>
    <s v="MON-2465"/>
    <n v="622.6"/>
    <n v="833.69"/>
    <n v="0.20899999999999999"/>
    <b v="0"/>
    <n v="14"/>
    <n v="9232.2830599999998"/>
    <n v="8716.4"/>
    <n v="515.88306000000011"/>
    <n v="5.5878167582959715E-2"/>
    <s v="Medium"/>
  </r>
  <r>
    <s v="ORD-2023-960380"/>
    <x v="190"/>
    <x v="1"/>
    <x v="1"/>
    <d v="2023-02-12T00:00:00"/>
    <d v="2023-02-12T00:00:00"/>
    <n v="1"/>
    <s v="Africa"/>
    <x v="8"/>
    <s v="Port Harcourt"/>
    <s v="Non-Profit"/>
    <s v="Direct"/>
    <s v="D. Smith"/>
    <s v="Accessories"/>
    <s v="ACC-8242"/>
    <n v="944.61"/>
    <n v="839.04"/>
    <n v="5.8999999999999997E-2"/>
    <b v="0"/>
    <n v="6"/>
    <n v="4737.2198399999997"/>
    <n v="5667.66"/>
    <n v="-930.44016000000011"/>
    <n v="-0.19641059343363726"/>
    <s v="Medium"/>
  </r>
  <r>
    <s v="ORD-2025-486350"/>
    <x v="191"/>
    <x v="23"/>
    <x v="2"/>
    <d v="2025-06-08T00:00:00"/>
    <d v="2025-06-08T00:00:00"/>
    <n v="12"/>
    <s v="Asia"/>
    <x v="7"/>
    <s v="Osaka"/>
    <s v="Corporate"/>
    <s v="Retail"/>
    <s v="H. Kim"/>
    <s v="Accessories"/>
    <s v="ACC-1249"/>
    <n v="653.6"/>
    <n v="842.09"/>
    <n v="9.8000000000000004E-2"/>
    <b v="0"/>
    <n v="19"/>
    <n v="14431.738420000001"/>
    <n v="12418.4"/>
    <n v="2013.3384200000019"/>
    <n v="0.13950768517324622"/>
    <s v="Medium"/>
  </r>
  <r>
    <s v="ORD-2023-596758"/>
    <x v="192"/>
    <x v="32"/>
    <x v="8"/>
    <d v="2023-12-05T00:00:00"/>
    <d v="2023-12-21T00:00:00"/>
    <n v="14"/>
    <s v="Asia"/>
    <x v="7"/>
    <s v="Tokyo"/>
    <s v="Non-Profit"/>
    <s v="Marketplace"/>
    <s v="H. Kim"/>
    <s v="Printers"/>
    <s v="PRN-8175"/>
    <n v="1097.5899999999999"/>
    <n v="845.55"/>
    <n v="0.184"/>
    <b v="0"/>
    <n v="6"/>
    <n v="4139.8127999999997"/>
    <n v="6585.5399999999991"/>
    <n v="-2445.7271999999994"/>
    <n v="-0.59078207594314402"/>
    <s v="Medium"/>
  </r>
  <r>
    <s v="ORD-2024-336584"/>
    <x v="150"/>
    <x v="0"/>
    <x v="0"/>
    <d v="2025-01-14T00:00:00"/>
    <d v="2025-01-14T00:00:00"/>
    <n v="18"/>
    <s v="Asia"/>
    <x v="9"/>
    <s v="Bengaluru"/>
    <s v="Small Business"/>
    <s v="Marketplace"/>
    <s v="E. Garcia"/>
    <s v="Monitors"/>
    <s v="MON-8629"/>
    <n v="586.07000000000005"/>
    <n v="845.97"/>
    <n v="0.14699999999999999"/>
    <b v="0"/>
    <n v="4"/>
    <n v="2886.4496399999998"/>
    <n v="2344.2800000000002"/>
    <n v="542.16963999999962"/>
    <n v="0.18783270370862928"/>
    <s v="Medium"/>
  </r>
  <r>
    <s v="ORD-2023-937291"/>
    <x v="193"/>
    <x v="16"/>
    <x v="6"/>
    <d v="2023-04-22T00:00:00"/>
    <d v="2023-05-07T00:00:00"/>
    <n v="14"/>
    <s v="Africa"/>
    <x v="1"/>
    <s v="Nairobi"/>
    <s v="Small Business"/>
    <s v="Direct"/>
    <s v="E. Garcia"/>
    <s v="Laptops"/>
    <s v="LAP-1698"/>
    <n v="756.51"/>
    <n v="850.8"/>
    <n v="7.3999999999999996E-2"/>
    <b v="0"/>
    <n v="9"/>
    <n v="7090.5672000000004"/>
    <n v="6808.59"/>
    <n v="281.97720000000027"/>
    <n v="3.9767932810791252E-2"/>
    <s v="Medium"/>
  </r>
  <r>
    <s v="ORD-2024-968374"/>
    <x v="194"/>
    <x v="8"/>
    <x v="3"/>
    <d v="2024-03-03T00:00:00"/>
    <d v="2024-03-03T00:00:00"/>
    <n v="21"/>
    <s v="Africa"/>
    <x v="1"/>
    <s v="Kisumu"/>
    <s v="Enterprise"/>
    <s v="Online"/>
    <s v="B. Chen"/>
    <s v="Phones"/>
    <s v="PHN-5082"/>
    <n v="516.86"/>
    <n v="852.54"/>
    <n v="5.0999999999999997E-2"/>
    <b v="0"/>
    <n v="14"/>
    <n v="11326.846439999999"/>
    <n v="7236.04"/>
    <n v="4090.8064399999994"/>
    <n v="0.36116022775355994"/>
    <s v="Medium"/>
  </r>
  <r>
    <s v="ORD-2025-649633"/>
    <x v="195"/>
    <x v="18"/>
    <x v="5"/>
    <d v="2025-07-31T00:00:00"/>
    <d v="2025-07-31T00:00:00"/>
    <n v="12"/>
    <s v="Africa"/>
    <x v="1"/>
    <s v="Nairobi"/>
    <s v="Small Business"/>
    <s v="Marketplace"/>
    <s v="O. Wang"/>
    <s v="Accessories"/>
    <s v="ACC-1028"/>
    <n v="619.64"/>
    <n v="861.16"/>
    <n v="0.113"/>
    <b v="0"/>
    <n v="14"/>
    <n v="10693.88488"/>
    <n v="8674.9599999999991"/>
    <n v="2018.9248800000005"/>
    <n v="0.18879246435276761"/>
    <s v="Medium"/>
  </r>
  <r>
    <s v="ORD-2025-281413"/>
    <x v="196"/>
    <x v="11"/>
    <x v="5"/>
    <d v="2025-08-16T00:00:00"/>
    <d v="2025-08-16T00:00:00"/>
    <n v="13"/>
    <s v="Americas"/>
    <x v="11"/>
    <s v="Montreal"/>
    <s v="Enterprise"/>
    <s v="Distributor"/>
    <s v="O. Wang"/>
    <s v="Networking"/>
    <s v="NET-3785"/>
    <n v="698.66"/>
    <n v="868.62"/>
    <n v="7.1999999999999995E-2"/>
    <b v="0"/>
    <n v="15"/>
    <n v="12091.190399999999"/>
    <n v="10479.9"/>
    <n v="1611.2903999999999"/>
    <n v="0.13326151906432637"/>
    <s v="Medium"/>
  </r>
  <r>
    <s v="ORD-2023-964434"/>
    <x v="197"/>
    <x v="30"/>
    <x v="8"/>
    <d v="2023-12-07T00:00:00"/>
    <d v="2023-12-07T00:00:00"/>
    <n v="9"/>
    <s v="Asia"/>
    <x v="9"/>
    <s v="Delhi"/>
    <s v="Enterprise"/>
    <s v="Marketplace"/>
    <s v="L. Okafor"/>
    <s v="Phones"/>
    <s v="PHN-2447"/>
    <n v="699.33"/>
    <n v="873.75"/>
    <n v="0.23499999999999999"/>
    <b v="0"/>
    <n v="10"/>
    <n v="6684.1875"/>
    <n v="6993.3"/>
    <n v="-309.11250000000018"/>
    <n v="-4.6245336475076469E-2"/>
    <s v="Medium"/>
  </r>
  <r>
    <s v="ORD-2024-542244"/>
    <x v="198"/>
    <x v="25"/>
    <x v="10"/>
    <d v="2024-09-05T00:00:00"/>
    <d v="2024-09-05T00:00:00"/>
    <n v="6"/>
    <s v="Asia"/>
    <x v="7"/>
    <s v="Nagoya"/>
    <s v="Education"/>
    <s v="Online"/>
    <s v="N. Brown"/>
    <s v="Laptops"/>
    <s v="LAP-7009"/>
    <n v="466.16"/>
    <n v="876.81"/>
    <n v="0.24099999999999999"/>
    <b v="0"/>
    <n v="8"/>
    <n v="5323.9903199999999"/>
    <n v="3729.28"/>
    <n v="1594.7103199999997"/>
    <n v="0.29953291124691594"/>
    <s v="Medium"/>
  </r>
  <r>
    <s v="ORD-2023-676553"/>
    <x v="199"/>
    <x v="7"/>
    <x v="6"/>
    <d v="2023-06-19T00:00:00"/>
    <d v="2023-06-19T00:00:00"/>
    <n v="30"/>
    <s v="Asia"/>
    <x v="9"/>
    <s v="Delhi"/>
    <s v="Non-Profit"/>
    <s v="Marketplace"/>
    <s v="H. Kim"/>
    <s v="Laptops"/>
    <s v="LAP-2806"/>
    <n v="1161.2"/>
    <n v="878.73"/>
    <n v="0.19"/>
    <b v="0"/>
    <n v="31"/>
    <n v="22064.910300000003"/>
    <n v="35997.200000000004"/>
    <n v="-13932.289700000001"/>
    <n v="-0.63142290227212028"/>
    <s v="Medium"/>
  </r>
  <r>
    <s v="ORD-2025-909340"/>
    <x v="200"/>
    <x v="27"/>
    <x v="9"/>
    <d v="2025-02-03T00:00:00"/>
    <d v="2025-02-03T00:00:00"/>
    <n v="14"/>
    <s v="Americas"/>
    <x v="5"/>
    <s v="Brasília"/>
    <s v="Enterprise"/>
    <s v="Marketplace"/>
    <s v="F. Müller"/>
    <s v="Components"/>
    <s v="CMP-8658"/>
    <n v="974.11"/>
    <n v="880.99"/>
    <n v="0.111"/>
    <b v="0"/>
    <n v="10"/>
    <n v="7832.0010999999995"/>
    <n v="9741.1"/>
    <n v="-1909.0989000000009"/>
    <n v="-0.2437562093805121"/>
    <s v="Medium"/>
  </r>
  <r>
    <s v="ORD-2023-382017"/>
    <x v="201"/>
    <x v="13"/>
    <x v="1"/>
    <d v="2023-01-19T00:00:00"/>
    <d v="2023-01-19T00:00:00"/>
    <n v="6"/>
    <s v="Americas"/>
    <x v="3"/>
    <s v="Chicago"/>
    <s v="Corporate"/>
    <s v="Direct"/>
    <s v="H. Kim"/>
    <s v="Phones"/>
    <s v="PHN-3159"/>
    <n v="833.57"/>
    <n v="881.57"/>
    <n v="5.7000000000000002E-2"/>
    <b v="0"/>
    <n v="18"/>
    <n v="14963.769179999999"/>
    <n v="15004.26"/>
    <n v="-40.490820000000895"/>
    <n v="-2.7059238560107821E-3"/>
    <s v="Medium"/>
  </r>
  <r>
    <s v="ORD-2025-737787"/>
    <x v="202"/>
    <x v="5"/>
    <x v="5"/>
    <d v="2025-09-26T00:00:00"/>
    <d v="2025-09-26T00:00:00"/>
    <n v="12"/>
    <s v="Europe"/>
    <x v="0"/>
    <s v="London"/>
    <s v="Small Business"/>
    <s v="Direct"/>
    <s v="N. Brown"/>
    <s v="Networking"/>
    <s v="NET-9003"/>
    <n v="425.15"/>
    <n v="885.92"/>
    <n v="0.23899999999999999"/>
    <b v="0"/>
    <n v="13"/>
    <n v="8764.4065599999994"/>
    <n v="5526.95"/>
    <n v="3237.4565599999996"/>
    <n v="0.3693868532725848"/>
    <s v="Medium"/>
  </r>
  <r>
    <s v="ORD-2024-212990"/>
    <x v="203"/>
    <x v="25"/>
    <x v="10"/>
    <d v="2024-09-03T00:00:00"/>
    <d v="2024-09-03T00:00:00"/>
    <n v="22"/>
    <s v="Americas"/>
    <x v="3"/>
    <s v="Austin"/>
    <s v="Consumer"/>
    <s v="Distributor"/>
    <s v="I. Johnson"/>
    <s v="Laptops"/>
    <s v="LAP-7979"/>
    <n v="797.8"/>
    <n v="886.22"/>
    <n v="0.23599999999999999"/>
    <b v="0"/>
    <n v="36"/>
    <n v="24374.594880000001"/>
    <n v="28720.799999999999"/>
    <n v="-4346.2051199999987"/>
    <n v="-0.17830881462428633"/>
    <s v="Medium"/>
  </r>
  <r>
    <s v="ORD-2023-399631"/>
    <x v="204"/>
    <x v="17"/>
    <x v="6"/>
    <d v="2023-07-21T00:00:00"/>
    <d v="2023-07-21T00:00:00"/>
    <n v="29"/>
    <s v="Europe"/>
    <x v="2"/>
    <s v="Lyon"/>
    <s v="Corporate"/>
    <s v="Retail"/>
    <s v="J. Njeri"/>
    <s v="Accessories"/>
    <s v="ACC-3385"/>
    <n v="734.34"/>
    <n v="887.9"/>
    <n v="2.5000000000000001E-2"/>
    <b v="0"/>
    <n v="12"/>
    <n v="10388.429999999998"/>
    <n v="8812.08"/>
    <n v="1576.3499999999985"/>
    <n v="0.15174092716608753"/>
    <s v="Medium"/>
  </r>
  <r>
    <s v="ORD-2024-567435"/>
    <x v="205"/>
    <x v="31"/>
    <x v="4"/>
    <d v="2024-04-24T00:00:00"/>
    <d v="2024-05-10T00:00:00"/>
    <n v="14"/>
    <s v="Europe"/>
    <x v="0"/>
    <s v="London"/>
    <s v="Non-Profit"/>
    <s v="Distributor"/>
    <s v="N. Brown"/>
    <s v="Phones"/>
    <s v="PHN-9107"/>
    <n v="1232.77"/>
    <n v="891.73"/>
    <n v="0.16700000000000001"/>
    <b v="0"/>
    <n v="10"/>
    <n v="7428.1108999999988"/>
    <n v="12327.7"/>
    <n v="-4899.589100000002"/>
    <n v="-0.65960096260813805"/>
    <s v="Medium"/>
  </r>
  <r>
    <s v="ORD-2025-678328"/>
    <x v="78"/>
    <x v="2"/>
    <x v="2"/>
    <d v="2025-07-14T00:00:00"/>
    <d v="2025-07-14T00:00:00"/>
    <n v="20"/>
    <s v="Europe"/>
    <x v="6"/>
    <s v="Berlin"/>
    <s v="Corporate"/>
    <s v="Direct"/>
    <s v="O. Wang"/>
    <s v="Accessories"/>
    <s v="ACC-8094"/>
    <n v="385.08"/>
    <n v="893.19"/>
    <n v="0.151"/>
    <b v="0"/>
    <n v="8"/>
    <n v="6066.54648"/>
    <n v="3080.64"/>
    <n v="2985.9064800000001"/>
    <n v="0.49219213762621666"/>
    <s v="Medium"/>
  </r>
  <r>
    <s v="ORD-2024-398783"/>
    <x v="206"/>
    <x v="29"/>
    <x v="10"/>
    <d v="2024-08-07T00:00:00"/>
    <d v="2024-08-07T00:00:00"/>
    <n v="20"/>
    <s v="Europe"/>
    <x v="2"/>
    <s v="Marseille"/>
    <s v="Corporate"/>
    <s v="Retail"/>
    <s v="F. Müller"/>
    <s v="Monitors"/>
    <s v="MON-7622"/>
    <n v="941.35"/>
    <n v="899.83"/>
    <n v="5.8000000000000003E-2"/>
    <b v="0"/>
    <n v="18"/>
    <n v="15257.51748"/>
    <n v="16944.3"/>
    <n v="-1686.7825199999988"/>
    <n v="-0.11055419220139073"/>
    <s v="Medium"/>
  </r>
  <r>
    <s v="ORD-2023-126505"/>
    <x v="207"/>
    <x v="32"/>
    <x v="8"/>
    <d v="2024-01-01T00:00:00"/>
    <d v="2024-01-01T00:00:00"/>
    <n v="13"/>
    <s v="Americas"/>
    <x v="11"/>
    <s v="Toronto"/>
    <s v="Enterprise"/>
    <s v="Retail"/>
    <s v="K. Singh"/>
    <s v="Monitors"/>
    <s v="MON-6065"/>
    <n v="856.1"/>
    <n v="901.48"/>
    <n v="5.6000000000000001E-2"/>
    <b v="0"/>
    <n v="17"/>
    <n v="14466.95104"/>
    <n v="14553.7"/>
    <n v="-86.748960000000807"/>
    <n v="-5.9963540182134192E-3"/>
    <s v="Medium"/>
  </r>
  <r>
    <s v="ORD-2024-655710"/>
    <x v="47"/>
    <x v="22"/>
    <x v="0"/>
    <d v="2024-12-10T00:00:00"/>
    <d v="2024-12-10T00:00:00"/>
    <n v="10"/>
    <s v="Asia"/>
    <x v="9"/>
    <s v="Hyderabad"/>
    <s v="Small Business"/>
    <s v="Retail"/>
    <s v="F. Müller"/>
    <s v="Accessories"/>
    <s v="ACC-1075"/>
    <n v="851.49"/>
    <n v="901.79"/>
    <n v="0.245"/>
    <b v="0"/>
    <n v="16"/>
    <n v="10893.6232"/>
    <n v="13623.84"/>
    <n v="-2730.2168000000001"/>
    <n v="-0.25062522816100341"/>
    <s v="Medium"/>
  </r>
  <r>
    <s v="ORD-2023-502205"/>
    <x v="208"/>
    <x v="10"/>
    <x v="8"/>
    <d v="2023-10-11T00:00:00"/>
    <d v="2023-10-11T00:00:00"/>
    <n v="2"/>
    <s v="Africa"/>
    <x v="8"/>
    <s v="Port Harcourt"/>
    <s v="Education"/>
    <s v="Marketplace"/>
    <s v="K. Singh"/>
    <s v="Networking"/>
    <s v="NET-8856"/>
    <n v="391.16"/>
    <n v="902.47"/>
    <n v="4.0000000000000001E-3"/>
    <b v="0"/>
    <n v="12"/>
    <n v="10786.32144"/>
    <n v="4693.92"/>
    <n v="6092.4014399999996"/>
    <n v="0.56482661618139207"/>
    <s v="Medium"/>
  </r>
  <r>
    <s v="ORD-2024-885858"/>
    <x v="209"/>
    <x v="21"/>
    <x v="3"/>
    <d v="2024-01-23T00:00:00"/>
    <d v="2024-01-23T00:00:00"/>
    <n v="13"/>
    <s v="Europe"/>
    <x v="2"/>
    <s v="Marseille"/>
    <s v="Corporate"/>
    <s v="Direct"/>
    <s v="A. Patel"/>
    <s v="Printers"/>
    <s v="PRN-6776"/>
    <n v="720"/>
    <n v="907.59"/>
    <n v="0.154"/>
    <b v="0"/>
    <n v="10"/>
    <n v="7678.2113999999992"/>
    <n v="7200"/>
    <n v="478.21139999999923"/>
    <n v="6.2281614179052078E-2"/>
    <s v="Medium"/>
  </r>
  <r>
    <s v="ORD-2023-378104"/>
    <x v="210"/>
    <x v="10"/>
    <x v="8"/>
    <d v="2023-10-20T00:00:00"/>
    <d v="2023-10-20T00:00:00"/>
    <n v="2"/>
    <s v="Africa"/>
    <x v="1"/>
    <s v="Kisumu"/>
    <s v="Consumer"/>
    <s v="Retail"/>
    <s v="J. Njeri"/>
    <s v="Phones"/>
    <s v="PHN-8891"/>
    <n v="774.12"/>
    <n v="908.3"/>
    <n v="0"/>
    <b v="0"/>
    <n v="30"/>
    <n v="27249"/>
    <n v="23223.599999999999"/>
    <n v="4025.4000000000015"/>
    <n v="0.14772652207420461"/>
    <s v="Medium"/>
  </r>
  <r>
    <s v="ORD-2025-526752"/>
    <x v="2"/>
    <x v="2"/>
    <x v="2"/>
    <d v="2025-06-25T00:00:00"/>
    <d v="2025-06-25T00:00:00"/>
    <n v="16"/>
    <s v="Asia"/>
    <x v="9"/>
    <s v="Hyderabad"/>
    <s v="Enterprise"/>
    <s v="Distributor"/>
    <s v="M. Rossi"/>
    <s v="Phones"/>
    <s v="PHN-3482"/>
    <n v="527.33000000000004"/>
    <n v="911.72"/>
    <n v="0.14399999999999999"/>
    <b v="0"/>
    <n v="25"/>
    <n v="19510.808000000001"/>
    <n v="13183.250000000002"/>
    <n v="6327.5579999999991"/>
    <n v="0.32431040272652978"/>
    <s v="Medium"/>
  </r>
  <r>
    <s v="ORD-2023-276806"/>
    <x v="211"/>
    <x v="26"/>
    <x v="1"/>
    <d v="2023-03-24T00:00:00"/>
    <d v="2023-03-24T00:00:00"/>
    <n v="20"/>
    <s v="Americas"/>
    <x v="11"/>
    <s v="Montreal"/>
    <s v="Consumer"/>
    <s v="Distributor"/>
    <s v="I. Johnson"/>
    <s v="Laptops"/>
    <s v="LAP-6160"/>
    <n v="481.71"/>
    <n v="912.45"/>
    <n v="0.20300000000000001"/>
    <b v="0"/>
    <n v="24"/>
    <n v="17453.3436"/>
    <n v="11561.039999999999"/>
    <n v="5892.3036000000011"/>
    <n v="0.33760313983619739"/>
    <s v="Medium"/>
  </r>
  <r>
    <s v="ORD-2023-931633"/>
    <x v="212"/>
    <x v="7"/>
    <x v="6"/>
    <d v="2023-05-22T00:00:00"/>
    <d v="2023-05-22T00:00:00"/>
    <n v="8"/>
    <s v="Africa"/>
    <x v="1"/>
    <s v="Mombasa"/>
    <s v="Small Business"/>
    <s v="Distributor"/>
    <s v="F. Müller"/>
    <s v="Printers"/>
    <s v="PRN-9488"/>
    <n v="432.01"/>
    <n v="913.78"/>
    <n v="4.9000000000000002E-2"/>
    <b v="0"/>
    <n v="12"/>
    <n v="10428.057360000001"/>
    <n v="5184.12"/>
    <n v="5243.9373600000008"/>
    <n v="0.50286809699711899"/>
    <s v="Medium"/>
  </r>
  <r>
    <s v="ORD-2023-949710"/>
    <x v="213"/>
    <x v="26"/>
    <x v="1"/>
    <d v="2023-04-01T00:00:00"/>
    <d v="2023-04-01T00:00:00"/>
    <n v="25"/>
    <s v="Africa"/>
    <x v="1"/>
    <s v="Nairobi"/>
    <s v="Consumer"/>
    <s v="Marketplace"/>
    <s v="D. Smith"/>
    <s v="Printers"/>
    <s v="PRN-7049"/>
    <n v="1024.0999999999999"/>
    <n v="918.19"/>
    <n v="0.189"/>
    <b v="0"/>
    <n v="10"/>
    <n v="7446.5209000000004"/>
    <n v="10241"/>
    <n v="-2794.4790999999996"/>
    <n v="-0.37527311579827827"/>
    <s v="Medium"/>
  </r>
  <r>
    <s v="ORD-2024-902741"/>
    <x v="214"/>
    <x v="0"/>
    <x v="0"/>
    <d v="2025-01-11T00:00:00"/>
    <d v="2025-01-11T00:00:00"/>
    <n v="19"/>
    <s v="Europe"/>
    <x v="6"/>
    <s v="Berlin"/>
    <s v="Education"/>
    <s v="Retail"/>
    <s v="K. Singh"/>
    <s v="Phones"/>
    <s v="PHN-8057"/>
    <n v="501.81"/>
    <n v="921.62"/>
    <n v="0.01"/>
    <b v="0"/>
    <n v="9"/>
    <n v="8211.6342000000004"/>
    <n v="4516.29"/>
    <n v="3695.3442000000005"/>
    <n v="0.45001325071202031"/>
    <s v="Medium"/>
  </r>
  <r>
    <s v="ORD-2025-898022"/>
    <x v="215"/>
    <x v="5"/>
    <x v="5"/>
    <d v="2025-09-11T00:00:00"/>
    <d v="2025-09-11T00:00:00"/>
    <n v="9"/>
    <s v="Americas"/>
    <x v="11"/>
    <s v="Toronto"/>
    <s v="Corporate"/>
    <s v="Distributor"/>
    <s v="M. Rossi"/>
    <s v="Printers"/>
    <s v="PRN-1276"/>
    <n v="1207.6300000000001"/>
    <n v="921.68"/>
    <n v="0.19600000000000001"/>
    <b v="0"/>
    <n v="17"/>
    <n v="12597.52224"/>
    <n v="20529.710000000003"/>
    <n v="-7932.1877600000025"/>
    <n v="-0.62966253274897988"/>
    <s v="Medium"/>
  </r>
  <r>
    <s v="ORD-2024-692673"/>
    <x v="216"/>
    <x v="3"/>
    <x v="3"/>
    <d v="2024-03-25T00:00:00"/>
    <d v="2024-03-25T00:00:00"/>
    <n v="18"/>
    <s v="Europe"/>
    <x v="6"/>
    <s v="Munich"/>
    <s v="Corporate"/>
    <s v="Online"/>
    <s v="B. Chen"/>
    <s v="Components"/>
    <s v="CMP-7617"/>
    <n v="712.84"/>
    <n v="927.51"/>
    <n v="0.24299999999999999"/>
    <b v="0"/>
    <n v="27"/>
    <n v="18957.37689"/>
    <n v="19246.68"/>
    <n v="-289.30311000000074"/>
    <n v="-1.5260714163076427E-2"/>
    <s v="Medium"/>
  </r>
  <r>
    <s v="ORD-2023-747341"/>
    <x v="171"/>
    <x v="16"/>
    <x v="6"/>
    <d v="2023-04-28T00:00:00"/>
    <d v="2023-04-28T00:00:00"/>
    <n v="9"/>
    <s v="Americas"/>
    <x v="5"/>
    <s v="Rio de Janeiro"/>
    <s v="Corporate"/>
    <s v="Distributor"/>
    <s v="M. Rossi"/>
    <s v="Phones"/>
    <s v="PHN-7132"/>
    <n v="1013.54"/>
    <n v="927.93"/>
    <n v="0.17499999999999999"/>
    <b v="0"/>
    <n v="16"/>
    <n v="12248.675999999999"/>
    <n v="16216.64"/>
    <n v="-3967.9639999999999"/>
    <n v="-0.32395044166406234"/>
    <s v="Medium"/>
  </r>
  <r>
    <s v="ORD-2023-144816"/>
    <x v="217"/>
    <x v="7"/>
    <x v="6"/>
    <d v="2023-05-29T00:00:00"/>
    <d v="2023-05-29T00:00:00"/>
    <n v="22"/>
    <s v="Africa"/>
    <x v="4"/>
    <s v="Durban"/>
    <s v="Education"/>
    <s v="Distributor"/>
    <s v="K. Singh"/>
    <s v="Accessories"/>
    <s v="ACC-2364"/>
    <n v="653.86"/>
    <n v="931.84"/>
    <n v="0.121"/>
    <b v="0"/>
    <n v="12"/>
    <n v="9829.0483199999999"/>
    <n v="7846.32"/>
    <n v="1982.7283200000002"/>
    <n v="0.20172129136506273"/>
    <s v="Medium"/>
  </r>
  <r>
    <s v="ORD-2025-757957"/>
    <x v="218"/>
    <x v="6"/>
    <x v="2"/>
    <d v="2025-05-06T00:00:00"/>
    <d v="2025-05-06T00:00:00"/>
    <n v="12"/>
    <s v="Americas"/>
    <x v="5"/>
    <s v="Brasília"/>
    <s v="Consumer"/>
    <s v="Online"/>
    <s v="C. Otieno"/>
    <s v="Phones"/>
    <s v="PHN-2787"/>
    <n v="394.13"/>
    <n v="932.29"/>
    <n v="0.109"/>
    <b v="0"/>
    <n v="7"/>
    <n v="5814.6927299999998"/>
    <n v="2758.91"/>
    <n v="3055.7827299999999"/>
    <n v="0.5255278089303268"/>
    <s v="Medium"/>
  </r>
  <r>
    <s v="ORD-2024-777623"/>
    <x v="219"/>
    <x v="19"/>
    <x v="10"/>
    <d v="2024-10-14T00:00:00"/>
    <d v="2024-10-14T00:00:00"/>
    <n v="25"/>
    <s v="Americas"/>
    <x v="5"/>
    <s v="Rio de Janeiro"/>
    <s v="Small Business"/>
    <s v="Retail"/>
    <s v="K. Singh"/>
    <s v="Printers"/>
    <s v="PRN-2749"/>
    <n v="386.96"/>
    <n v="937.46"/>
    <n v="0.26600000000000001"/>
    <b v="0"/>
    <n v="41"/>
    <n v="28211.92124"/>
    <n v="15865.359999999999"/>
    <n v="12346.561240000001"/>
    <n v="0.43763631462626335"/>
    <s v="Medium"/>
  </r>
  <r>
    <s v="ORD-2025-993993"/>
    <x v="220"/>
    <x v="11"/>
    <x v="5"/>
    <d v="2025-09-22T00:00:00"/>
    <d v="2025-09-22T00:00:00"/>
    <n v="23"/>
    <s v="Europe"/>
    <x v="2"/>
    <s v="Marseille"/>
    <s v="Corporate"/>
    <s v="Direct"/>
    <s v="E. Garcia"/>
    <s v="Components"/>
    <s v="CMP-5311"/>
    <n v="663.9"/>
    <n v="947.77"/>
    <n v="0.17399999999999999"/>
    <b v="0"/>
    <n v="15"/>
    <n v="11742.8703"/>
    <n v="9958.5"/>
    <n v="1784.3703000000005"/>
    <n v="0.1519535049280073"/>
    <s v="Medium"/>
  </r>
  <r>
    <s v="ORD-2024-211453"/>
    <x v="221"/>
    <x v="31"/>
    <x v="4"/>
    <d v="2024-04-24T00:00:00"/>
    <d v="2024-04-24T00:00:00"/>
    <n v="20"/>
    <s v="Europe"/>
    <x v="6"/>
    <s v="Frankfurt"/>
    <s v="Non-Profit"/>
    <s v="Direct"/>
    <s v="O. Wang"/>
    <s v="Accessories"/>
    <s v="ACC-6543"/>
    <n v="683.42"/>
    <n v="951.51"/>
    <n v="0"/>
    <b v="0"/>
    <n v="14"/>
    <n v="13321.14"/>
    <n v="9567.8799999999992"/>
    <n v="3753.26"/>
    <n v="0.28175216235247136"/>
    <s v="Medium"/>
  </r>
  <r>
    <s v="ORD-2025-779530"/>
    <x v="222"/>
    <x v="23"/>
    <x v="2"/>
    <d v="2025-05-17T00:00:00"/>
    <d v="2025-06-02T00:00:00"/>
    <n v="14"/>
    <s v="Americas"/>
    <x v="5"/>
    <s v="São Paulo"/>
    <s v="Small Business"/>
    <s v="Distributor"/>
    <s v="L. Okafor"/>
    <s v="Monitors"/>
    <s v="MON-2993"/>
    <n v="383.77"/>
    <n v="952.56"/>
    <n v="0"/>
    <b v="0"/>
    <n v="10"/>
    <n v="9525.5999999999985"/>
    <n v="3837.7"/>
    <n v="5687.8999999999987"/>
    <n v="0.59711724195851179"/>
    <s v="Medium"/>
  </r>
  <r>
    <s v="ORD-2024-356812"/>
    <x v="216"/>
    <x v="3"/>
    <x v="3"/>
    <d v="2024-04-03T00:00:00"/>
    <d v="2024-04-03T00:00:00"/>
    <n v="27"/>
    <s v="Europe"/>
    <x v="6"/>
    <s v="Frankfurt"/>
    <s v="Corporate"/>
    <s v="Direct"/>
    <s v="M. Rossi"/>
    <s v="Printers"/>
    <s v="PRN-6911"/>
    <n v="738.16"/>
    <n v="956.49"/>
    <n v="0.152"/>
    <b v="0"/>
    <n v="5"/>
    <n v="4055.5175999999997"/>
    <n v="3690.7999999999997"/>
    <n v="364.71759999999995"/>
    <n v="8.9931208780847108E-2"/>
    <s v="Medium"/>
  </r>
  <r>
    <s v="ORD-2025-337268"/>
    <x v="223"/>
    <x v="12"/>
    <x v="9"/>
    <d v="2025-03-17T00:00:00"/>
    <d v="2025-03-17T00:00:00"/>
    <n v="29"/>
    <s v="Europe"/>
    <x v="6"/>
    <s v="Munich"/>
    <s v="Consumer"/>
    <s v="Retail"/>
    <s v="L. Okafor"/>
    <s v="Accessories"/>
    <s v="ACC-5150"/>
    <n v="730.42"/>
    <n v="956.7"/>
    <n v="4.2000000000000003E-2"/>
    <b v="0"/>
    <n v="22"/>
    <n v="20163.409200000002"/>
    <n v="16069.24"/>
    <n v="4094.1692000000021"/>
    <n v="0.20304945256975698"/>
    <s v="Medium"/>
  </r>
  <r>
    <s v="ORD-2023-294716"/>
    <x v="224"/>
    <x v="16"/>
    <x v="6"/>
    <d v="2023-04-25T00:00:00"/>
    <d v="2023-04-25T00:00:00"/>
    <n v="15"/>
    <s v="Europe"/>
    <x v="0"/>
    <s v="London"/>
    <s v="Small Business"/>
    <s v="Retail"/>
    <s v="D. Smith"/>
    <s v="Printers"/>
    <s v="PRN-5067"/>
    <n v="405.66"/>
    <n v="962.51"/>
    <n v="0.19"/>
    <b v="0"/>
    <n v="7"/>
    <n v="5457.4317000000001"/>
    <n v="2839.6200000000003"/>
    <n v="2617.8116999999997"/>
    <n v="0.47967832561239376"/>
    <s v="Medium"/>
  </r>
  <r>
    <s v="ORD-2023-573656"/>
    <x v="174"/>
    <x v="7"/>
    <x v="6"/>
    <d v="2023-05-16T00:00:00"/>
    <d v="2023-05-16T00:00:00"/>
    <n v="14"/>
    <s v="Asia"/>
    <x v="9"/>
    <s v="Bengaluru"/>
    <s v="Non-Profit"/>
    <s v="Retail"/>
    <s v="L. Okafor"/>
    <s v="Monitors"/>
    <s v="MON-4830"/>
    <n v="475.37"/>
    <n v="963.73"/>
    <n v="4.1000000000000002E-2"/>
    <b v="0"/>
    <n v="22"/>
    <n v="20332.775539999999"/>
    <n v="10458.14"/>
    <n v="9874.6355399999993"/>
    <n v="0.48565113604750881"/>
    <s v="Medium"/>
  </r>
  <r>
    <s v="ORD-2023-197661"/>
    <x v="225"/>
    <x v="9"/>
    <x v="7"/>
    <d v="2023-08-22T00:00:00"/>
    <d v="2023-08-22T00:00:00"/>
    <n v="14"/>
    <s v="Europe"/>
    <x v="0"/>
    <s v="Birmingham"/>
    <s v="Non-Profit"/>
    <s v="Direct"/>
    <s v="N. Brown"/>
    <s v="Monitors"/>
    <s v="MON-7511"/>
    <n v="446.69"/>
    <n v="967.25"/>
    <n v="9.4E-2"/>
    <b v="0"/>
    <n v="10"/>
    <n v="8763.2849999999999"/>
    <n v="4466.8999999999996"/>
    <n v="4296.3850000000002"/>
    <n v="0.49027105702941309"/>
    <s v="Medium"/>
  </r>
  <r>
    <s v="ORD-2024-997336"/>
    <x v="226"/>
    <x v="20"/>
    <x v="0"/>
    <d v="2024-11-02T00:00:00"/>
    <d v="2024-11-02T00:00:00"/>
    <n v="29"/>
    <s v="Africa"/>
    <x v="8"/>
    <s v="Abuja"/>
    <s v="Corporate"/>
    <s v="Distributor"/>
    <s v="F. Müller"/>
    <s v="Accessories"/>
    <s v="ACC-9038"/>
    <n v="412.09"/>
    <n v="968.94"/>
    <n v="9.9000000000000005E-2"/>
    <b v="0"/>
    <n v="23"/>
    <n v="20079.343620000003"/>
    <n v="9478.07"/>
    <n v="10601.273620000004"/>
    <n v="0.52796913189137418"/>
    <s v="Medium"/>
  </r>
  <r>
    <s v="ORD-2024-310809"/>
    <x v="227"/>
    <x v="31"/>
    <x v="4"/>
    <d v="2024-04-09T00:00:00"/>
    <d v="2024-04-09T00:00:00"/>
    <n v="4"/>
    <s v="Africa"/>
    <x v="8"/>
    <s v="Lagos"/>
    <s v="Non-Profit"/>
    <s v="Direct"/>
    <s v="K. Singh"/>
    <s v="Components"/>
    <s v="CMP-6529"/>
    <n v="395.07"/>
    <n v="970.27"/>
    <n v="0.123"/>
    <b v="0"/>
    <n v="38"/>
    <n v="32335.21802"/>
    <n v="15012.66"/>
    <n v="17322.55802"/>
    <n v="0.53571799049833657"/>
    <s v="Medium"/>
  </r>
  <r>
    <s v="ORD-2023-619385"/>
    <x v="228"/>
    <x v="28"/>
    <x v="7"/>
    <d v="2023-10-03T00:00:00"/>
    <d v="2023-10-03T00:00:00"/>
    <n v="3"/>
    <s v="Asia"/>
    <x v="10"/>
    <s v="Beijing"/>
    <s v="Non-Profit"/>
    <s v="Retail"/>
    <s v="J. Njeri"/>
    <s v="Laptops"/>
    <s v="LAP-5763"/>
    <n v="1019.36"/>
    <n v="972.91"/>
    <n v="0.14699999999999999"/>
    <b v="0"/>
    <n v="17"/>
    <n v="14108.16791"/>
    <n v="17329.12"/>
    <n v="-3220.9520899999989"/>
    <n v="-0.22830406545678819"/>
    <s v="Medium"/>
  </r>
  <r>
    <s v="ORD-2023-133848"/>
    <x v="32"/>
    <x v="9"/>
    <x v="7"/>
    <d v="2023-09-07T00:00:00"/>
    <d v="2023-09-07T00:00:00"/>
    <n v="23"/>
    <s v="Americas"/>
    <x v="3"/>
    <s v="New York"/>
    <s v="Enterprise"/>
    <s v="Online"/>
    <s v="K. Singh"/>
    <s v="Phones"/>
    <s v="PHN-2013"/>
    <n v="590.33000000000004"/>
    <n v="973.04"/>
    <n v="0"/>
    <b v="0"/>
    <n v="26"/>
    <n v="25299.040000000001"/>
    <n v="15348.580000000002"/>
    <n v="9950.4599999999991"/>
    <n v="0.39331373838691108"/>
    <s v="Medium"/>
  </r>
  <r>
    <s v="ORD-2023-568013"/>
    <x v="228"/>
    <x v="28"/>
    <x v="7"/>
    <d v="2023-10-30T00:00:00"/>
    <d v="2023-10-30T00:00:00"/>
    <n v="30"/>
    <s v="Asia"/>
    <x v="7"/>
    <s v="Tokyo"/>
    <s v="Enterprise"/>
    <s v="Online"/>
    <s v="D. Smith"/>
    <s v="Printers"/>
    <s v="PRN-1786"/>
    <n v="649.13"/>
    <n v="975.43"/>
    <n v="0.157"/>
    <b v="0"/>
    <n v="27"/>
    <n v="22201.762229999997"/>
    <n v="17526.509999999998"/>
    <n v="4675.2522299999982"/>
    <n v="0.21058023149543473"/>
    <s v="Medium"/>
  </r>
  <r>
    <s v="ORD-2024-728474"/>
    <x v="229"/>
    <x v="19"/>
    <x v="10"/>
    <d v="2024-09-13T00:00:00"/>
    <d v="2024-09-13T00:00:00"/>
    <n v="4"/>
    <s v="Europe"/>
    <x v="0"/>
    <s v="London"/>
    <s v="Consumer"/>
    <s v="Marketplace"/>
    <s v="F. Müller"/>
    <s v="Networking"/>
    <s v="NET-1145"/>
    <n v="1133.08"/>
    <n v="976.17"/>
    <n v="4.2000000000000003E-2"/>
    <b v="0"/>
    <n v="27"/>
    <n v="25249.613219999999"/>
    <n v="30593.159999999996"/>
    <n v="-5343.5467799999969"/>
    <n v="-0.21162885678452373"/>
    <s v="Medium"/>
  </r>
  <r>
    <s v="ORD-2025-765220"/>
    <x v="230"/>
    <x v="6"/>
    <x v="2"/>
    <d v="2025-04-30T00:00:00"/>
    <d v="2025-04-30T00:00:00"/>
    <n v="24"/>
    <s v="Americas"/>
    <x v="5"/>
    <s v="Brasília"/>
    <s v="Education"/>
    <s v="Online"/>
    <s v="K. Singh"/>
    <s v="Monitors"/>
    <s v="MON-4925"/>
    <n v="855.78"/>
    <n v="977.38"/>
    <n v="0.14699999999999999"/>
    <b v="0"/>
    <n v="38"/>
    <n v="31680.795320000001"/>
    <n v="32519.64"/>
    <n v="-838.84467999999833"/>
    <n v="-2.6478018355506307E-2"/>
    <s v="Medium"/>
  </r>
  <r>
    <s v="ORD-2023-249805"/>
    <x v="231"/>
    <x v="32"/>
    <x v="8"/>
    <d v="2024-01-16T00:00:00"/>
    <d v="2024-01-16T00:00:00"/>
    <n v="25"/>
    <s v="Asia"/>
    <x v="9"/>
    <s v="Hyderabad"/>
    <s v="Small Business"/>
    <s v="Retail"/>
    <s v="A. Patel"/>
    <s v="Components"/>
    <s v="CMP-1555"/>
    <n v="1346.81"/>
    <n v="978.09"/>
    <n v="0.159"/>
    <b v="0"/>
    <n v="17"/>
    <n v="13983.752729999998"/>
    <n v="22895.77"/>
    <n v="-8912.0172700000021"/>
    <n v="-0.6373122753293996"/>
    <s v="Medium"/>
  </r>
  <r>
    <s v="ORD-2024-468615"/>
    <x v="232"/>
    <x v="29"/>
    <x v="10"/>
    <d v="2024-07-12T00:00:00"/>
    <d v="2024-07-12T00:00:00"/>
    <n v="3"/>
    <s v="Asia"/>
    <x v="10"/>
    <s v="Shanghai"/>
    <s v="Small Business"/>
    <s v="Retail"/>
    <s v="D. Smith"/>
    <s v="Accessories"/>
    <s v="ACC-3721"/>
    <n v="748.39"/>
    <n v="979.42"/>
    <n v="0"/>
    <b v="0"/>
    <n v="23"/>
    <n v="22526.66"/>
    <n v="17212.97"/>
    <n v="5313.6899999999987"/>
    <n v="0.23588450307324738"/>
    <s v="Medium"/>
  </r>
  <r>
    <s v="ORD-2025-278048"/>
    <x v="233"/>
    <x v="2"/>
    <x v="2"/>
    <d v="2025-07-08T00:00:00"/>
    <d v="2025-07-08T00:00:00"/>
    <n v="16"/>
    <s v="Europe"/>
    <x v="0"/>
    <s v="London"/>
    <s v="Education"/>
    <s v="Direct"/>
    <s v="A. Patel"/>
    <s v="Phones"/>
    <s v="PHN-5316"/>
    <n v="892.73"/>
    <n v="979.84"/>
    <n v="0.17399999999999999"/>
    <b v="0"/>
    <n v="10"/>
    <n v="8093.4784"/>
    <n v="8927.2999999999993"/>
    <n v="-833.82159999999931"/>
    <n v="-0.10302388649112838"/>
    <s v="Medium"/>
  </r>
  <r>
    <s v="ORD-2024-837651"/>
    <x v="234"/>
    <x v="0"/>
    <x v="0"/>
    <d v="2024-12-19T00:00:00"/>
    <d v="2024-12-19T00:00:00"/>
    <n v="9"/>
    <s v="Africa"/>
    <x v="8"/>
    <s v="Lagos"/>
    <s v="Corporate"/>
    <s v="Retail"/>
    <s v="O. Wang"/>
    <s v="Monitors"/>
    <s v="MON-4789"/>
    <n v="488.68"/>
    <n v="984.36"/>
    <n v="5.8999999999999997E-2"/>
    <b v="0"/>
    <n v="14"/>
    <n v="12967.958640000001"/>
    <n v="6841.52"/>
    <n v="6126.4386400000003"/>
    <n v="0.47242891576649876"/>
    <s v="Medium"/>
  </r>
  <r>
    <s v="ORD-2025-635337"/>
    <x v="15"/>
    <x v="11"/>
    <x v="5"/>
    <d v="2025-08-28T00:00:00"/>
    <d v="2025-08-28T00:00:00"/>
    <n v="23"/>
    <s v="Asia"/>
    <x v="9"/>
    <s v="Mumbai"/>
    <s v="Non-Profit"/>
    <s v="Distributor"/>
    <s v="N. Brown"/>
    <s v="Laptops"/>
    <s v="LAP-3905"/>
    <n v="638.54"/>
    <n v="987.24"/>
    <n v="0"/>
    <b v="0"/>
    <n v="11"/>
    <n v="10859.64"/>
    <n v="7023.94"/>
    <n v="3835.7"/>
    <n v="0.35320692030306716"/>
    <s v="Medium"/>
  </r>
  <r>
    <s v="ORD-2023-369150"/>
    <x v="235"/>
    <x v="24"/>
    <x v="7"/>
    <d v="2023-08-10T00:00:00"/>
    <d v="2023-08-10T00:00:00"/>
    <n v="23"/>
    <s v="Africa"/>
    <x v="4"/>
    <s v="Johannesburg"/>
    <s v="Small Business"/>
    <s v="Retail"/>
    <s v="L. Okafor"/>
    <s v="Components"/>
    <s v="CMP-8659"/>
    <n v="1271.56"/>
    <n v="995.47"/>
    <n v="0.192"/>
    <b v="0"/>
    <n v="13"/>
    <n v="10456.416880000001"/>
    <n v="16530.28"/>
    <n v="-6073.8631199999982"/>
    <n v="-0.58087423155607754"/>
    <s v="Medium"/>
  </r>
  <r>
    <s v="ORD-2024-389336"/>
    <x v="236"/>
    <x v="15"/>
    <x v="4"/>
    <d v="2024-06-02T00:00:00"/>
    <d v="2024-06-02T00:00:00"/>
    <n v="13"/>
    <s v="Americas"/>
    <x v="11"/>
    <s v="Vancouver"/>
    <s v="Enterprise"/>
    <s v="Marketplace"/>
    <s v="K. Singh"/>
    <s v="Components"/>
    <s v="CMP-5946"/>
    <n v="675.43"/>
    <n v="996.36"/>
    <n v="0.182"/>
    <b v="0"/>
    <n v="22"/>
    <n v="17930.494560000003"/>
    <n v="14859.46"/>
    <n v="3071.0345600000037"/>
    <n v="0.17127439233332575"/>
    <s v="Medium"/>
  </r>
  <r>
    <s v="ORD-2023-868460"/>
    <x v="237"/>
    <x v="17"/>
    <x v="6"/>
    <d v="2023-06-01T00:00:00"/>
    <d v="2023-06-01T00:00:00"/>
    <n v="0"/>
    <s v="Asia"/>
    <x v="9"/>
    <s v="Bengaluru"/>
    <s v="Corporate"/>
    <s v="Retail"/>
    <s v="E. Garcia"/>
    <s v="Accessories"/>
    <s v="ACC-4587"/>
    <n v="669.37"/>
    <n v="997.2"/>
    <n v="8.2000000000000003E-2"/>
    <b v="0"/>
    <n v="5"/>
    <n v="4577.1480000000001"/>
    <n v="3346.85"/>
    <n v="1230.2980000000002"/>
    <n v="0.26879139586484863"/>
    <s v="Medium"/>
  </r>
  <r>
    <s v="ORD-2023-309373"/>
    <x v="238"/>
    <x v="24"/>
    <x v="7"/>
    <d v="2023-07-14T00:00:00"/>
    <d v="2023-07-14T00:00:00"/>
    <n v="9"/>
    <s v="Americas"/>
    <x v="5"/>
    <s v="Brasília"/>
    <s v="Enterprise"/>
    <s v="Direct"/>
    <s v="B. Chen"/>
    <s v="Networking"/>
    <s v="NET-2394"/>
    <n v="578.85"/>
    <n v="998.76"/>
    <n v="8.2000000000000003E-2"/>
    <b v="0"/>
    <n v="28"/>
    <n v="25672.127039999999"/>
    <n v="16207.800000000001"/>
    <n v="9464.3270399999983"/>
    <n v="0.36866158480960831"/>
    <s v="Medium"/>
  </r>
  <r>
    <s v="ORD-2025-947929"/>
    <x v="239"/>
    <x v="14"/>
    <x v="9"/>
    <d v="2025-04-02T00:00:00"/>
    <d v="2025-04-02T00:00:00"/>
    <n v="10"/>
    <s v="Europe"/>
    <x v="6"/>
    <s v="Berlin"/>
    <s v="Enterprise"/>
    <s v="Online"/>
    <s v="E. Garcia"/>
    <s v="Printers"/>
    <s v="PRN-3159"/>
    <n v="663.61"/>
    <n v="1002.11"/>
    <n v="4.5999999999999999E-2"/>
    <b v="0"/>
    <n v="17"/>
    <n v="16252.219979999998"/>
    <n v="11281.37"/>
    <n v="4970.8499799999972"/>
    <n v="0.30585667595670812"/>
    <s v="Medium"/>
  </r>
  <r>
    <s v="ORD-2023-521818"/>
    <x v="83"/>
    <x v="13"/>
    <x v="1"/>
    <d v="2023-01-30T00:00:00"/>
    <d v="2023-01-30T00:00:00"/>
    <n v="8"/>
    <s v="Americas"/>
    <x v="3"/>
    <s v="San Francisco"/>
    <s v="Small Business"/>
    <s v="Online"/>
    <s v="A. Patel"/>
    <s v="Networking"/>
    <s v="NET-4155"/>
    <n v="413.52"/>
    <n v="1004.34"/>
    <n v="0.111"/>
    <b v="0"/>
    <n v="18"/>
    <n v="16071.44868"/>
    <n v="7443.36"/>
    <n v="8628.0886800000007"/>
    <n v="0.53685817948304593"/>
    <s v="Medium"/>
  </r>
  <r>
    <s v="ORD-2024-320972"/>
    <x v="240"/>
    <x v="22"/>
    <x v="0"/>
    <d v="2024-11-08T00:00:00"/>
    <d v="2024-11-08T00:00:00"/>
    <n v="0"/>
    <s v="Africa"/>
    <x v="1"/>
    <s v="Nakuru"/>
    <s v="Enterprise"/>
    <s v="Marketplace"/>
    <s v="M. Rossi"/>
    <s v="Networking"/>
    <s v="NET-2628"/>
    <n v="803.28"/>
    <n v="1009"/>
    <n v="0.11"/>
    <b v="0"/>
    <n v="4"/>
    <n v="3592.04"/>
    <n v="3213.12"/>
    <n v="378.92000000000007"/>
    <n v="0.10548880302001093"/>
    <s v="Medium"/>
  </r>
  <r>
    <s v="ORD-2024-756884"/>
    <x v="241"/>
    <x v="20"/>
    <x v="0"/>
    <d v="2024-10-24T00:00:00"/>
    <d v="2024-10-24T00:00:00"/>
    <n v="11"/>
    <s v="Europe"/>
    <x v="2"/>
    <s v="Paris"/>
    <s v="Education"/>
    <s v="Distributor"/>
    <s v="F. Müller"/>
    <s v="Components"/>
    <s v="CMP-5006"/>
    <n v="816.7"/>
    <n v="1010.75"/>
    <n v="4.7E-2"/>
    <b v="0"/>
    <n v="43"/>
    <n v="41419.524249999995"/>
    <n v="35118.1"/>
    <n v="6301.4242499999964"/>
    <n v="0.15213656757537472"/>
    <s v="Medium"/>
  </r>
  <r>
    <s v="ORD-2024-664046"/>
    <x v="242"/>
    <x v="19"/>
    <x v="10"/>
    <d v="2024-09-08T00:00:00"/>
    <d v="2024-09-08T00:00:00"/>
    <n v="6"/>
    <s v="Americas"/>
    <x v="3"/>
    <s v="Austin"/>
    <s v="Consumer"/>
    <s v="Direct"/>
    <s v="H. Kim"/>
    <s v="Components"/>
    <s v="CMP-7563"/>
    <n v="462.94"/>
    <n v="1015.7"/>
    <n v="0.14299999999999999"/>
    <b v="0"/>
    <n v="14"/>
    <n v="12186.368600000002"/>
    <n v="6481.16"/>
    <n v="5705.2086000000018"/>
    <n v="0.46816314090483041"/>
    <s v="Medium"/>
  </r>
  <r>
    <s v="ORD-2024-909942"/>
    <x v="243"/>
    <x v="4"/>
    <x v="4"/>
    <d v="2024-07-07T00:00:00"/>
    <d v="2024-07-07T00:00:00"/>
    <n v="28"/>
    <s v="Asia"/>
    <x v="10"/>
    <s v="Shenzhen"/>
    <s v="Corporate"/>
    <s v="Online"/>
    <s v="J. Njeri"/>
    <s v="Components"/>
    <s v="CMP-6392"/>
    <n v="550.22"/>
    <n v="1025.05"/>
    <n v="0"/>
    <b v="0"/>
    <n v="27"/>
    <n v="27676.35"/>
    <n v="14855.94"/>
    <n v="12820.409999999998"/>
    <n v="0.46322618408858102"/>
    <s v="Medium"/>
  </r>
  <r>
    <s v="ORD-2025-650719"/>
    <x v="244"/>
    <x v="12"/>
    <x v="9"/>
    <d v="2025-02-28T00:00:00"/>
    <d v="2025-02-28T00:00:00"/>
    <n v="16"/>
    <s v="Americas"/>
    <x v="5"/>
    <s v="São Paulo"/>
    <s v="Non-Profit"/>
    <s v="Direct"/>
    <s v="B. Chen"/>
    <s v="Monitors"/>
    <s v="MON-5179"/>
    <n v="414.95"/>
    <n v="1027.73"/>
    <n v="6.3E-2"/>
    <b v="0"/>
    <n v="8"/>
    <n v="7703.8640800000003"/>
    <n v="3319.6"/>
    <n v="4384.2640800000008"/>
    <n v="0.56909935513815568"/>
    <s v="Medium"/>
  </r>
  <r>
    <s v="ORD-2024-510520"/>
    <x v="245"/>
    <x v="19"/>
    <x v="10"/>
    <d v="2024-10-03T00:00:00"/>
    <d v="2024-10-03T00:00:00"/>
    <n v="8"/>
    <s v="Americas"/>
    <x v="11"/>
    <s v="Toronto"/>
    <s v="Consumer"/>
    <s v="Online"/>
    <s v="E. Garcia"/>
    <s v="Printers"/>
    <s v="PRN-9557"/>
    <n v="558.19000000000005"/>
    <n v="1031.6400000000001"/>
    <n v="0"/>
    <b v="0"/>
    <n v="21"/>
    <n v="21664.440000000002"/>
    <n v="11721.990000000002"/>
    <n v="9942.4500000000007"/>
    <n v="0.45892947152107322"/>
    <s v="Medium"/>
  </r>
  <r>
    <s v="ORD-2025-636162"/>
    <x v="246"/>
    <x v="27"/>
    <x v="9"/>
    <d v="2025-01-20T00:00:00"/>
    <d v="2025-01-20T00:00:00"/>
    <n v="13"/>
    <s v="Africa"/>
    <x v="4"/>
    <s v="Cape Town"/>
    <s v="Corporate"/>
    <s v="Direct"/>
    <s v="K. Singh"/>
    <s v="Networking"/>
    <s v="NET-7901"/>
    <n v="432.13"/>
    <n v="1034.6600000000001"/>
    <n v="9.1999999999999998E-2"/>
    <b v="0"/>
    <n v="7"/>
    <n v="6576.298960000001"/>
    <n v="3024.91"/>
    <n v="3551.3889600000011"/>
    <n v="0.54002851476204794"/>
    <s v="Medium"/>
  </r>
  <r>
    <s v="ORD-2024-206081"/>
    <x v="234"/>
    <x v="0"/>
    <x v="0"/>
    <d v="2025-01-08T00:00:00"/>
    <d v="2025-01-08T00:00:00"/>
    <n v="29"/>
    <s v="Europe"/>
    <x v="2"/>
    <s v="Marseille"/>
    <s v="Small Business"/>
    <s v="Retail"/>
    <s v="K. Singh"/>
    <s v="Printers"/>
    <s v="PRN-6791"/>
    <n v="891.08"/>
    <n v="1040.0999999999999"/>
    <n v="0.109"/>
    <b v="0"/>
    <n v="28"/>
    <n v="25948.414799999995"/>
    <n v="24950.240000000002"/>
    <n v="998.17479999999341"/>
    <n v="3.8467660074556598E-2"/>
    <s v="Medium"/>
  </r>
  <r>
    <s v="ORD-2024-566589"/>
    <x v="247"/>
    <x v="4"/>
    <x v="4"/>
    <d v="2024-07-09T00:00:00"/>
    <d v="2024-07-09T00:00:00"/>
    <n v="28"/>
    <s v="Africa"/>
    <x v="8"/>
    <s v="Port Harcourt"/>
    <s v="Corporate"/>
    <s v="Marketplace"/>
    <s v="I. Johnson"/>
    <s v="Phones"/>
    <s v="PHN-2436"/>
    <n v="895.54"/>
    <n v="1045"/>
    <n v="0.216"/>
    <b v="0"/>
    <n v="15"/>
    <n v="12289.2"/>
    <n v="13433.099999999999"/>
    <n v="-1143.8999999999978"/>
    <n v="-9.3081730299775234E-2"/>
    <s v="Medium"/>
  </r>
  <r>
    <s v="ORD-2024-419248"/>
    <x v="248"/>
    <x v="3"/>
    <x v="3"/>
    <d v="2024-03-16T00:00:00"/>
    <d v="2024-03-16T00:00:00"/>
    <n v="12"/>
    <s v="Africa"/>
    <x v="4"/>
    <s v="Johannesburg"/>
    <s v="Enterprise"/>
    <s v="Distributor"/>
    <s v="M. Rossi"/>
    <s v="Monitors"/>
    <s v="MON-8422"/>
    <n v="441.08"/>
    <n v="1054.29"/>
    <n v="0.23699999999999999"/>
    <b v="0"/>
    <n v="6"/>
    <n v="4826.5396199999996"/>
    <n v="2646.48"/>
    <n v="2180.0596199999995"/>
    <n v="0.45168169985932899"/>
    <s v="Medium"/>
  </r>
  <r>
    <s v="ORD-2024-532184"/>
    <x v="249"/>
    <x v="21"/>
    <x v="3"/>
    <d v="2024-02-08T00:00:00"/>
    <d v="2024-02-08T00:00:00"/>
    <n v="14"/>
    <s v="Asia"/>
    <x v="7"/>
    <s v="Osaka"/>
    <s v="Consumer"/>
    <s v="Marketplace"/>
    <s v="I. Johnson"/>
    <s v="Networking"/>
    <s v="NET-9569"/>
    <n v="937.16"/>
    <n v="1069.77"/>
    <n v="3.7999999999999999E-2"/>
    <b v="0"/>
    <n v="9"/>
    <n v="9262.0686600000008"/>
    <n v="8434.44"/>
    <n v="827.62866000000031"/>
    <n v="8.9356783066645962E-2"/>
    <s v="Medium"/>
  </r>
  <r>
    <s v="ORD-2023-349264"/>
    <x v="237"/>
    <x v="17"/>
    <x v="6"/>
    <d v="2023-06-08T00:00:00"/>
    <d v="2023-06-08T00:00:00"/>
    <n v="7"/>
    <s v="Europe"/>
    <x v="6"/>
    <s v="Frankfurt"/>
    <s v="Consumer"/>
    <s v="Online"/>
    <s v="A. Patel"/>
    <s v="Phones"/>
    <s v="PHN-1924"/>
    <n v="804.17"/>
    <n v="1072.29"/>
    <n v="3.2000000000000001E-2"/>
    <b v="0"/>
    <n v="5"/>
    <n v="5189.8836000000001"/>
    <n v="4020.85"/>
    <n v="1169.0336000000002"/>
    <n v="0.2252523736755869"/>
    <s v="Medium"/>
  </r>
  <r>
    <s v="ORD-2025-487025"/>
    <x v="250"/>
    <x v="6"/>
    <x v="2"/>
    <d v="2025-05-04T00:00:00"/>
    <d v="2025-05-04T00:00:00"/>
    <n v="23"/>
    <s v="Asia"/>
    <x v="7"/>
    <s v="Osaka"/>
    <s v="Small Business"/>
    <s v="Online"/>
    <s v="M. Rossi"/>
    <s v="Components"/>
    <s v="CMP-3743"/>
    <n v="786.2"/>
    <n v="1075.3"/>
    <n v="0.08"/>
    <b v="0"/>
    <n v="9"/>
    <n v="8903.4839999999986"/>
    <n v="7075.8"/>
    <n v="1827.6839999999984"/>
    <n v="0.20527739478163815"/>
    <s v="Medium"/>
  </r>
  <r>
    <s v="ORD-2025-150713"/>
    <x v="108"/>
    <x v="18"/>
    <x v="5"/>
    <d v="2025-07-16T00:00:00"/>
    <d v="2025-07-16T00:00:00"/>
    <n v="5"/>
    <s v="Europe"/>
    <x v="0"/>
    <s v="London"/>
    <s v="Enterprise"/>
    <s v="Online"/>
    <s v="K. Singh"/>
    <s v="Printers"/>
    <s v="PRN-5753"/>
    <n v="930.03"/>
    <n v="1086.68"/>
    <n v="0.109"/>
    <b v="0"/>
    <n v="26"/>
    <n v="25174.028880000002"/>
    <n v="24180.78"/>
    <n v="993.24888000000283"/>
    <n v="3.9455300728168656E-2"/>
    <s v="Medium"/>
  </r>
  <r>
    <s v="ORD-2023-501220"/>
    <x v="171"/>
    <x v="16"/>
    <x v="6"/>
    <d v="2023-05-07T00:00:00"/>
    <d v="2023-05-07T00:00:00"/>
    <n v="18"/>
    <s v="Europe"/>
    <x v="0"/>
    <s v="Birmingham"/>
    <s v="Enterprise"/>
    <s v="Retail"/>
    <s v="N. Brown"/>
    <s v="Laptops"/>
    <s v="LAP-9766"/>
    <n v="1089.1500000000001"/>
    <n v="1088.2"/>
    <n v="5.0999999999999997E-2"/>
    <b v="0"/>
    <n v="15"/>
    <n v="15490.527"/>
    <n v="16337.250000000002"/>
    <n v="-846.72300000000178"/>
    <n v="-5.4660696824582002E-2"/>
    <s v="Medium"/>
  </r>
  <r>
    <s v="ORD-2025-725646"/>
    <x v="251"/>
    <x v="5"/>
    <x v="5"/>
    <d v="2025-09-30T00:00:00"/>
    <d v="2025-09-30T00:00:00"/>
    <n v="20"/>
    <s v="Africa"/>
    <x v="1"/>
    <s v="Mombasa"/>
    <s v="Corporate"/>
    <s v="Direct"/>
    <s v="L. Okafor"/>
    <s v="Phones"/>
    <s v="PHN-6954"/>
    <n v="1009.48"/>
    <n v="1088.81"/>
    <n v="0.16"/>
    <b v="0"/>
    <n v="6"/>
    <n v="5487.6023999999998"/>
    <n v="6056.88"/>
    <n v="-569.27760000000035"/>
    <n v="-0.10373885688219693"/>
    <s v="Medium"/>
  </r>
  <r>
    <s v="ORD-2023-212701"/>
    <x v="252"/>
    <x v="32"/>
    <x v="8"/>
    <d v="2023-12-16T00:00:00"/>
    <d v="2023-12-16T00:00:00"/>
    <n v="14"/>
    <s v="Europe"/>
    <x v="6"/>
    <s v="Frankfurt"/>
    <s v="Education"/>
    <s v="Direct"/>
    <s v="N. Brown"/>
    <s v="Monitors"/>
    <s v="MON-4278"/>
    <n v="879.08"/>
    <n v="1093.3900000000001"/>
    <n v="0.113"/>
    <b v="0"/>
    <n v="17"/>
    <n v="16487.22781"/>
    <n v="14944.36"/>
    <n v="1542.8678099999997"/>
    <n v="9.3579577341935186E-2"/>
    <s v="Medium"/>
  </r>
  <r>
    <s v="ORD-2025-983096"/>
    <x v="42"/>
    <x v="23"/>
    <x v="2"/>
    <d v="2025-05-28T00:00:00"/>
    <d v="2025-05-28T00:00:00"/>
    <n v="11"/>
    <s v="Asia"/>
    <x v="9"/>
    <s v="Bengaluru"/>
    <s v="Corporate"/>
    <s v="Distributor"/>
    <s v="B. Chen"/>
    <s v="Laptops"/>
    <s v="LAP-9016"/>
    <n v="623.4"/>
    <n v="1100.0899999999999"/>
    <n v="0.114"/>
    <b v="0"/>
    <n v="12"/>
    <n v="11696.156879999999"/>
    <n v="7480.7999999999993"/>
    <n v="4215.3568799999994"/>
    <n v="0.36040529579490388"/>
    <s v="Medium"/>
  </r>
  <r>
    <s v="ORD-2024-202877"/>
    <x v="64"/>
    <x v="29"/>
    <x v="10"/>
    <d v="2024-08-03T00:00:00"/>
    <d v="2024-08-03T00:00:00"/>
    <n v="21"/>
    <s v="Americas"/>
    <x v="5"/>
    <s v="Rio de Janeiro"/>
    <s v="Corporate"/>
    <s v="Marketplace"/>
    <s v="M. Rossi"/>
    <s v="Monitors"/>
    <s v="MON-6287"/>
    <n v="702.98"/>
    <n v="1104.8"/>
    <n v="0.17499999999999999"/>
    <b v="0"/>
    <n v="12"/>
    <n v="10937.519999999999"/>
    <n v="8435.76"/>
    <n v="2501.7599999999984"/>
    <n v="0.22873192460448061"/>
    <s v="Medium"/>
  </r>
  <r>
    <s v="ORD-2023-722117"/>
    <x v="253"/>
    <x v="28"/>
    <x v="7"/>
    <d v="2023-10-08T00:00:00"/>
    <d v="2023-10-08T00:00:00"/>
    <n v="20"/>
    <s v="Asia"/>
    <x v="9"/>
    <s v="Delhi"/>
    <s v="Small Business"/>
    <s v="Direct"/>
    <s v="B. Chen"/>
    <s v="Components"/>
    <s v="CMP-1009"/>
    <n v="825.64"/>
    <n v="1108.43"/>
    <n v="0.114"/>
    <b v="0"/>
    <n v="7"/>
    <n v="6874.4828600000001"/>
    <n v="5779.48"/>
    <n v="1095.0028600000005"/>
    <n v="0.15928512475773349"/>
    <s v="Medium"/>
  </r>
  <r>
    <s v="ORD-2024-604471"/>
    <x v="254"/>
    <x v="21"/>
    <x v="3"/>
    <d v="2024-01-25T00:00:00"/>
    <d v="2024-01-25T00:00:00"/>
    <n v="4"/>
    <s v="Asia"/>
    <x v="9"/>
    <s v="Delhi"/>
    <s v="Consumer"/>
    <s v="Direct"/>
    <s v="C. Otieno"/>
    <s v="Monitors"/>
    <s v="MON-8973"/>
    <n v="523.70000000000005"/>
    <n v="1109.92"/>
    <n v="0.03"/>
    <b v="0"/>
    <n v="11"/>
    <n v="11842.8464"/>
    <n v="5760.7000000000007"/>
    <n v="6082.1463999999996"/>
    <n v="0.51357133197302973"/>
    <s v="Medium"/>
  </r>
  <r>
    <s v="ORD-2023-173313"/>
    <x v="255"/>
    <x v="17"/>
    <x v="6"/>
    <d v="2023-07-12T00:00:00"/>
    <d v="2023-07-12T00:00:00"/>
    <n v="27"/>
    <s v="Europe"/>
    <x v="0"/>
    <s v="Manchester"/>
    <s v="Consumer"/>
    <s v="Direct"/>
    <s v="I. Johnson"/>
    <s v="Accessories"/>
    <s v="ACC-3833"/>
    <n v="751.28"/>
    <n v="1111.8800000000001"/>
    <n v="0.13500000000000001"/>
    <b v="0"/>
    <n v="7"/>
    <n v="6732.4334000000008"/>
    <n v="5258.96"/>
    <n v="1473.4734000000008"/>
    <n v="0.21886193482433863"/>
    <s v="Medium"/>
  </r>
  <r>
    <s v="ORD-2024-689872"/>
    <x v="256"/>
    <x v="25"/>
    <x v="10"/>
    <d v="2024-08-09T00:00:00"/>
    <d v="2024-08-09T00:00:00"/>
    <n v="6"/>
    <s v="Africa"/>
    <x v="1"/>
    <s v="Mombasa"/>
    <s v="Consumer"/>
    <s v="Marketplace"/>
    <s v="H. Kim"/>
    <s v="Laptops"/>
    <s v="LAP-1969"/>
    <n v="643.21"/>
    <n v="1112.81"/>
    <n v="0.14099999999999999"/>
    <b v="0"/>
    <n v="4"/>
    <n v="3823.6151599999998"/>
    <n v="2572.84"/>
    <n v="1250.7751599999997"/>
    <n v="0.32711847496702562"/>
    <s v="Medium"/>
  </r>
  <r>
    <s v="ORD-2025-822030"/>
    <x v="257"/>
    <x v="11"/>
    <x v="5"/>
    <d v="2025-09-06T00:00:00"/>
    <d v="2025-09-06T00:00:00"/>
    <n v="30"/>
    <s v="Americas"/>
    <x v="11"/>
    <s v="Montreal"/>
    <s v="Education"/>
    <s v="Direct"/>
    <s v="M. Rossi"/>
    <s v="Networking"/>
    <s v="NET-1336"/>
    <n v="833.73"/>
    <n v="1116.5999999999999"/>
    <n v="0.17599999999999999"/>
    <b v="0"/>
    <n v="14"/>
    <n v="12881.097599999999"/>
    <n v="11672.220000000001"/>
    <n v="1208.877599999998"/>
    <n v="9.3848958958279924E-2"/>
    <s v="Medium"/>
  </r>
  <r>
    <s v="ORD-2024-343877"/>
    <x v="258"/>
    <x v="3"/>
    <x v="3"/>
    <d v="2024-03-26T00:00:00"/>
    <d v="2024-03-26T00:00:00"/>
    <n v="17"/>
    <s v="Asia"/>
    <x v="10"/>
    <s v="Shenzhen"/>
    <s v="Enterprise"/>
    <s v="Online"/>
    <s v="K. Singh"/>
    <s v="Monitors"/>
    <s v="MON-5749"/>
    <n v="1029.67"/>
    <n v="1118.43"/>
    <n v="0.27200000000000002"/>
    <b v="0"/>
    <n v="9"/>
    <n v="7327.9533600000004"/>
    <n v="9267.0300000000007"/>
    <n v="-1939.0766400000002"/>
    <n v="-0.26461367106736061"/>
    <s v="Medium"/>
  </r>
  <r>
    <s v="ORD-2024-626750"/>
    <x v="203"/>
    <x v="25"/>
    <x v="10"/>
    <d v="2024-08-15T00:00:00"/>
    <d v="2024-08-15T00:00:00"/>
    <n v="3"/>
    <s v="Americas"/>
    <x v="3"/>
    <s v="Chicago"/>
    <s v="Corporate"/>
    <s v="Marketplace"/>
    <s v="D. Smith"/>
    <s v="Printers"/>
    <s v="PRN-5591"/>
    <n v="850.7"/>
    <n v="1118.56"/>
    <n v="0.18"/>
    <b v="0"/>
    <n v="19"/>
    <n v="17427.164800000002"/>
    <n v="16163.300000000001"/>
    <n v="1263.8648000000012"/>
    <n v="7.2522685962090688E-2"/>
    <s v="Medium"/>
  </r>
  <r>
    <s v="ORD-2025-246692"/>
    <x v="97"/>
    <x v="6"/>
    <x v="2"/>
    <d v="2025-04-17T00:00:00"/>
    <d v="2025-04-17T00:00:00"/>
    <n v="0"/>
    <s v="Americas"/>
    <x v="5"/>
    <s v="São Paulo"/>
    <s v="Corporate"/>
    <s v="Distributor"/>
    <s v="L. Okafor"/>
    <s v="Phones"/>
    <s v="PHN-4566"/>
    <n v="719.41"/>
    <n v="1125.99"/>
    <n v="4.1000000000000002E-2"/>
    <b v="0"/>
    <n v="21"/>
    <n v="22676.312610000001"/>
    <n v="15107.609999999999"/>
    <n v="7568.7026100000021"/>
    <n v="0.33377131194876403"/>
    <s v="Medium"/>
  </r>
  <r>
    <s v="ORD-2025-820255"/>
    <x v="259"/>
    <x v="23"/>
    <x v="2"/>
    <d v="2025-06-20T00:00:00"/>
    <d v="2025-06-20T00:00:00"/>
    <n v="22"/>
    <s v="Europe"/>
    <x v="6"/>
    <s v="Berlin"/>
    <s v="Corporate"/>
    <s v="Direct"/>
    <s v="A. Patel"/>
    <s v="Printers"/>
    <s v="PRN-9787"/>
    <n v="483.47"/>
    <n v="1135.43"/>
    <n v="0.14599999999999999"/>
    <b v="0"/>
    <n v="11"/>
    <n v="10666.229420000001"/>
    <n v="5318.17"/>
    <n v="5348.0594200000014"/>
    <n v="0.50140112399719983"/>
    <s v="Medium"/>
  </r>
  <r>
    <s v="ORD-2023-453699"/>
    <x v="152"/>
    <x v="24"/>
    <x v="7"/>
    <d v="2023-07-08T00:00:00"/>
    <d v="2023-07-08T00:00:00"/>
    <n v="7"/>
    <s v="Europe"/>
    <x v="6"/>
    <s v="Frankfurt"/>
    <s v="Small Business"/>
    <s v="Distributor"/>
    <s v="N. Brown"/>
    <s v="Laptops"/>
    <s v="LAP-4666"/>
    <n v="460.21"/>
    <n v="1139.1500000000001"/>
    <n v="0.115"/>
    <b v="0"/>
    <n v="14"/>
    <n v="14114.068500000001"/>
    <n v="6442.94"/>
    <n v="7671.1285000000016"/>
    <n v="0.54350937151821255"/>
    <s v="Medium"/>
  </r>
  <r>
    <s v="ORD-2023-239789"/>
    <x v="260"/>
    <x v="32"/>
    <x v="8"/>
    <d v="2023-12-26T00:00:00"/>
    <d v="2023-12-26T00:00:00"/>
    <n v="23"/>
    <s v="Americas"/>
    <x v="5"/>
    <s v="Rio de Janeiro"/>
    <s v="Education"/>
    <s v="Retail"/>
    <s v="O. Wang"/>
    <s v="Phones"/>
    <s v="PHN-4644"/>
    <n v="1303.1099999999999"/>
    <n v="1145.67"/>
    <n v="0.184"/>
    <b v="0"/>
    <n v="13"/>
    <n v="12153.267360000002"/>
    <n v="16940.43"/>
    <n v="-4787.1626399999986"/>
    <n v="-0.39389922875851208"/>
    <s v="Medium"/>
  </r>
  <r>
    <s v="ORD-2023-406606"/>
    <x v="141"/>
    <x v="10"/>
    <x v="8"/>
    <d v="2023-10-28T00:00:00"/>
    <d v="2023-10-28T00:00:00"/>
    <n v="3"/>
    <s v="Americas"/>
    <x v="5"/>
    <s v="Brasília"/>
    <s v="Corporate"/>
    <s v="Distributor"/>
    <s v="L. Okafor"/>
    <s v="Accessories"/>
    <s v="ACC-2867"/>
    <n v="509.31"/>
    <n v="1145.9000000000001"/>
    <n v="5.7000000000000002E-2"/>
    <b v="0"/>
    <n v="8"/>
    <n v="8644.6696000000011"/>
    <n v="4074.48"/>
    <n v="4570.1896000000015"/>
    <n v="0.52867140231709964"/>
    <s v="Medium"/>
  </r>
  <r>
    <s v="ORD-2023-181257"/>
    <x v="261"/>
    <x v="30"/>
    <x v="8"/>
    <d v="2023-12-06T00:00:00"/>
    <d v="2023-12-06T00:00:00"/>
    <n v="21"/>
    <s v="Europe"/>
    <x v="0"/>
    <s v="Manchester"/>
    <s v="Education"/>
    <s v="Direct"/>
    <s v="H. Kim"/>
    <s v="Accessories"/>
    <s v="ACC-1060"/>
    <n v="1184.99"/>
    <n v="1154.3399999999999"/>
    <n v="2.8000000000000001E-2"/>
    <b v="0"/>
    <n v="5"/>
    <n v="5610.0923999999995"/>
    <n v="5924.95"/>
    <n v="-314.85760000000028"/>
    <n v="-5.6123424990290764E-2"/>
    <s v="Medium"/>
  </r>
  <r>
    <s v="ORD-2023-933238"/>
    <x v="262"/>
    <x v="26"/>
    <x v="1"/>
    <d v="2023-04-06T00:00:00"/>
    <d v="2023-04-06T00:00:00"/>
    <n v="20"/>
    <s v="Europe"/>
    <x v="6"/>
    <s v="Munich"/>
    <s v="Consumer"/>
    <s v="Retail"/>
    <s v="O. Wang"/>
    <s v="Phones"/>
    <s v="PHN-8483"/>
    <n v="692.18"/>
    <n v="1159.3499999999999"/>
    <n v="0.112"/>
    <b v="0"/>
    <n v="2"/>
    <n v="2059.0056"/>
    <n v="1384.36"/>
    <n v="674.64560000000006"/>
    <n v="0.32765602968734037"/>
    <s v="Medium"/>
  </r>
  <r>
    <s v="ORD-2023-619570"/>
    <x v="263"/>
    <x v="30"/>
    <x v="8"/>
    <d v="2023-11-30T00:00:00"/>
    <d v="2023-11-30T00:00:00"/>
    <n v="16"/>
    <s v="Americas"/>
    <x v="5"/>
    <s v="São Paulo"/>
    <s v="Enterprise"/>
    <s v="Direct"/>
    <s v="K. Singh"/>
    <s v="Networking"/>
    <s v="NET-4104"/>
    <n v="1017.92"/>
    <n v="1175.25"/>
    <n v="7.4999999999999997E-2"/>
    <b v="0"/>
    <n v="15"/>
    <n v="16306.59375"/>
    <n v="15268.8"/>
    <n v="1037.7937500000007"/>
    <n v="6.3642583234159542E-2"/>
    <s v="Medium"/>
  </r>
  <r>
    <s v="ORD-2023-835010"/>
    <x v="264"/>
    <x v="26"/>
    <x v="1"/>
    <d v="2023-04-15T00:00:00"/>
    <d v="2023-04-15T00:00:00"/>
    <n v="23"/>
    <s v="Africa"/>
    <x v="1"/>
    <s v="Mombasa"/>
    <s v="Small Business"/>
    <s v="Retail"/>
    <s v="C. Otieno"/>
    <s v="Accessories"/>
    <s v="ACC-2988"/>
    <n v="875.36"/>
    <n v="1178.6199999999999"/>
    <n v="0.151"/>
    <b v="0"/>
    <n v="53"/>
    <n v="53034.364139999991"/>
    <n v="46394.080000000002"/>
    <n v="6640.2841399999888"/>
    <n v="0.12520719815685888"/>
    <s v="Medium"/>
  </r>
  <r>
    <s v="ORD-2024-170021"/>
    <x v="265"/>
    <x v="22"/>
    <x v="0"/>
    <d v="2024-11-08T00:00:00"/>
    <d v="2024-11-08T00:00:00"/>
    <n v="3"/>
    <s v="Americas"/>
    <x v="11"/>
    <s v="Toronto"/>
    <s v="Education"/>
    <s v="Marketplace"/>
    <s v="O. Wang"/>
    <s v="Components"/>
    <s v="CMP-2015"/>
    <n v="1020.4"/>
    <n v="1184.71"/>
    <n v="0.106"/>
    <b v="0"/>
    <n v="16"/>
    <n v="16946.091840000001"/>
    <n v="16326.4"/>
    <n v="619.69184000000132"/>
    <n v="3.6568422138328345E-2"/>
    <s v="Medium"/>
  </r>
  <r>
    <s v="ORD-2024-833375"/>
    <x v="266"/>
    <x v="31"/>
    <x v="4"/>
    <d v="2024-05-10T00:00:00"/>
    <d v="2024-05-10T00:00:00"/>
    <n v="16"/>
    <s v="Africa"/>
    <x v="1"/>
    <s v="Kisumu"/>
    <s v="Non-Profit"/>
    <s v="Online"/>
    <s v="N. Brown"/>
    <s v="Monitors"/>
    <s v="MON-6190"/>
    <n v="513.30999999999995"/>
    <n v="1186.26"/>
    <n v="9.4E-2"/>
    <b v="0"/>
    <n v="15"/>
    <n v="16121.273400000002"/>
    <n v="7699.65"/>
    <n v="8421.6234000000022"/>
    <n v="0.52239194702820446"/>
    <s v="Medium"/>
  </r>
  <r>
    <s v="ORD-2024-678110"/>
    <x v="267"/>
    <x v="29"/>
    <x v="10"/>
    <d v="2024-08-08T00:00:00"/>
    <d v="2024-08-08T00:00:00"/>
    <n v="15"/>
    <s v="Europe"/>
    <x v="2"/>
    <s v="Marseille"/>
    <s v="Enterprise"/>
    <s v="Marketplace"/>
    <s v="H. Kim"/>
    <s v="Laptops"/>
    <s v="LAP-9901"/>
    <n v="501.5"/>
    <n v="1201.47"/>
    <n v="0.126"/>
    <b v="0"/>
    <n v="5"/>
    <n v="5250.4239000000007"/>
    <n v="2507.5"/>
    <n v="2742.9239000000007"/>
    <n v="0.52241951359394057"/>
    <s v="Medium"/>
  </r>
  <r>
    <s v="ORD-2024-868223"/>
    <x v="268"/>
    <x v="3"/>
    <x v="3"/>
    <d v="2024-03-19T00:00:00"/>
    <d v="2024-03-19T00:00:00"/>
    <n v="16"/>
    <s v="Asia"/>
    <x v="10"/>
    <s v="Beijing"/>
    <s v="Consumer"/>
    <s v="Distributor"/>
    <s v="G. Dubois"/>
    <s v="Phones"/>
    <s v="PHN-4915"/>
    <n v="988.83"/>
    <n v="1206.04"/>
    <n v="6.3E-2"/>
    <b v="0"/>
    <n v="34"/>
    <n v="38422.022320000004"/>
    <n v="33620.22"/>
    <n v="4801.8023200000025"/>
    <n v="0.12497526236406606"/>
    <s v="Medium"/>
  </r>
  <r>
    <s v="ORD-2025-125517"/>
    <x v="269"/>
    <x v="14"/>
    <x v="9"/>
    <d v="2025-04-09T00:00:00"/>
    <d v="2025-04-09T00:00:00"/>
    <n v="19"/>
    <s v="Asia"/>
    <x v="7"/>
    <s v="Tokyo"/>
    <s v="Small Business"/>
    <s v="Distributor"/>
    <s v="E. Garcia"/>
    <s v="Components"/>
    <s v="CMP-7055"/>
    <n v="1055.45"/>
    <n v="1210.04"/>
    <n v="8.9999999999999993E-3"/>
    <b v="0"/>
    <n v="18"/>
    <n v="21584.693520000001"/>
    <n v="18998.100000000002"/>
    <n v="2586.5935199999985"/>
    <n v="0.1198346188053727"/>
    <s v="Medium"/>
  </r>
  <r>
    <s v="ORD-2025-680118"/>
    <x v="270"/>
    <x v="14"/>
    <x v="9"/>
    <d v="2025-03-27T00:00:00"/>
    <d v="2025-03-27T00:00:00"/>
    <n v="17"/>
    <s v="Americas"/>
    <x v="5"/>
    <s v="Rio de Janeiro"/>
    <s v="Enterprise"/>
    <s v="Direct"/>
    <s v="F. Müller"/>
    <s v="Networking"/>
    <s v="NET-6269"/>
    <n v="996.73"/>
    <n v="1217.43"/>
    <n v="7.0000000000000007E-2"/>
    <b v="0"/>
    <n v="9"/>
    <n v="10189.8891"/>
    <n v="8970.57"/>
    <n v="1219.3191000000006"/>
    <n v="0.11965970267527255"/>
    <s v="Medium"/>
  </r>
  <r>
    <s v="ORD-2024-357368"/>
    <x v="271"/>
    <x v="20"/>
    <x v="0"/>
    <d v="2024-11-24T00:00:00"/>
    <d v="2024-11-24T00:00:00"/>
    <n v="25"/>
    <s v="Asia"/>
    <x v="10"/>
    <s v="Shenzhen"/>
    <s v="Small Business"/>
    <s v="Online"/>
    <s v="E. Garcia"/>
    <s v="Components"/>
    <s v="CMP-4610"/>
    <n v="811.05"/>
    <n v="1217.71"/>
    <n v="7.1999999999999995E-2"/>
    <b v="0"/>
    <n v="5"/>
    <n v="5650.1744000000008"/>
    <n v="4055.25"/>
    <n v="1594.9244000000008"/>
    <n v="0.28227879125288602"/>
    <s v="Medium"/>
  </r>
  <r>
    <s v="ORD-2024-605629"/>
    <x v="272"/>
    <x v="29"/>
    <x v="10"/>
    <d v="2024-07-15T00:00:00"/>
    <d v="2024-07-15T00:00:00"/>
    <n v="0"/>
    <s v="Asia"/>
    <x v="7"/>
    <s v="Tokyo"/>
    <s v="Small Business"/>
    <s v="Marketplace"/>
    <s v="G. Dubois"/>
    <s v="Accessories"/>
    <s v="ACC-2735"/>
    <n v="801.77"/>
    <n v="1218.92"/>
    <n v="0.254"/>
    <b v="0"/>
    <n v="16"/>
    <n v="14549.029120000001"/>
    <n v="12828.32"/>
    <n v="1720.7091200000013"/>
    <n v="0.11826968698788344"/>
    <s v="Medium"/>
  </r>
  <r>
    <s v="ORD-2023-808024"/>
    <x v="273"/>
    <x v="32"/>
    <x v="8"/>
    <d v="2024-01-08T00:00:00"/>
    <d v="2024-01-08T00:00:00"/>
    <n v="9"/>
    <s v="Europe"/>
    <x v="2"/>
    <s v="Marseille"/>
    <s v="Consumer"/>
    <s v="Marketplace"/>
    <s v="L. Okafor"/>
    <s v="Accessories"/>
    <s v="ACC-6594"/>
    <n v="861.1"/>
    <n v="1224.72"/>
    <n v="0.17399999999999999"/>
    <b v="0"/>
    <n v="24"/>
    <n v="24278.849280000002"/>
    <n v="20666.400000000001"/>
    <n v="3612.4492800000007"/>
    <n v="0.14878997098827909"/>
    <s v="Medium"/>
  </r>
  <r>
    <s v="ORD-2024-347736"/>
    <x v="274"/>
    <x v="15"/>
    <x v="4"/>
    <d v="2024-06-06T00:00:00"/>
    <d v="2024-06-06T00:00:00"/>
    <n v="15"/>
    <s v="Asia"/>
    <x v="7"/>
    <s v="Nagoya"/>
    <s v="Corporate"/>
    <s v="Distributor"/>
    <s v="C. Otieno"/>
    <s v="Monitors"/>
    <s v="MON-6870"/>
    <n v="673.88"/>
    <n v="1228.01"/>
    <n v="0.105"/>
    <b v="0"/>
    <n v="13"/>
    <n v="14287.896349999999"/>
    <n v="8760.44"/>
    <n v="5527.4563499999986"/>
    <n v="0.38686285332689996"/>
    <s v="Medium"/>
  </r>
  <r>
    <s v="ORD-2023-752962"/>
    <x v="275"/>
    <x v="16"/>
    <x v="6"/>
    <d v="2023-04-19T00:00:00"/>
    <d v="2023-05-05T00:00:00"/>
    <n v="14"/>
    <s v="Asia"/>
    <x v="7"/>
    <s v="Nagoya"/>
    <s v="Small Business"/>
    <s v="Direct"/>
    <s v="M. Rossi"/>
    <s v="Components"/>
    <s v="CMP-8604"/>
    <n v="607.04"/>
    <n v="1229.3399999999999"/>
    <n v="0.14699999999999999"/>
    <b v="0"/>
    <n v="7"/>
    <n v="7340.3891399999993"/>
    <n v="4249.28"/>
    <n v="3091.1091399999996"/>
    <n v="0.42110970972310058"/>
    <s v="Medium"/>
  </r>
  <r>
    <s v="ORD-2024-207669"/>
    <x v="276"/>
    <x v="21"/>
    <x v="3"/>
    <d v="2024-02-04T00:00:00"/>
    <d v="2024-02-04T00:00:00"/>
    <n v="11"/>
    <s v="Europe"/>
    <x v="0"/>
    <s v="Manchester"/>
    <s v="Consumer"/>
    <s v="Retail"/>
    <s v="B. Chen"/>
    <s v="Laptops"/>
    <s v="LAP-5689"/>
    <n v="525.34"/>
    <n v="1233.79"/>
    <n v="0.14299999999999999"/>
    <b v="0"/>
    <n v="4"/>
    <n v="4229.4321199999995"/>
    <n v="2101.36"/>
    <n v="2128.0721199999994"/>
    <n v="0.50315788494082736"/>
    <s v="Medium"/>
  </r>
  <r>
    <s v="ORD-2023-548874"/>
    <x v="277"/>
    <x v="26"/>
    <x v="1"/>
    <d v="2023-04-09T00:00:00"/>
    <d v="2023-04-09T00:00:00"/>
    <n v="21"/>
    <s v="Europe"/>
    <x v="0"/>
    <s v="Manchester"/>
    <s v="Consumer"/>
    <s v="Retail"/>
    <s v="L. Okafor"/>
    <s v="Accessories"/>
    <s v="ACC-9150"/>
    <n v="1082.17"/>
    <n v="1234.0999999999999"/>
    <n v="0.189"/>
    <b v="0"/>
    <n v="16"/>
    <n v="16013.681599999998"/>
    <n v="17314.72"/>
    <n v="-1301.0384000000031"/>
    <n v="-8.124542703534228E-2"/>
    <s v="Medium"/>
  </r>
  <r>
    <s v="ORD-2025-922513"/>
    <x v="278"/>
    <x v="11"/>
    <x v="5"/>
    <d v="2025-08-26T00:00:00"/>
    <d v="2025-09-11T00:00:00"/>
    <n v="14"/>
    <s v="Africa"/>
    <x v="8"/>
    <s v="Port Harcourt"/>
    <s v="Small Business"/>
    <s v="Retail"/>
    <s v="A. Patel"/>
    <s v="Accessories"/>
    <s v="ACC-4483"/>
    <n v="521.05999999999995"/>
    <n v="1240.31"/>
    <n v="0.14599999999999999"/>
    <b v="0"/>
    <n v="18"/>
    <n v="19066.045319999997"/>
    <n v="9379.0799999999981"/>
    <n v="9686.9653199999993"/>
    <n v="0.50807417885650974"/>
    <s v="Medium"/>
  </r>
  <r>
    <s v="ORD-2024-503082"/>
    <x v="279"/>
    <x v="15"/>
    <x v="4"/>
    <d v="2024-06-08T00:00:00"/>
    <d v="2024-06-08T00:00:00"/>
    <n v="20"/>
    <s v="Americas"/>
    <x v="5"/>
    <s v="Brasília"/>
    <s v="Small Business"/>
    <s v="Retail"/>
    <s v="E. Garcia"/>
    <s v="Monitors"/>
    <s v="MON-4271"/>
    <n v="1075.9000000000001"/>
    <n v="1242.1500000000001"/>
    <n v="1.2E-2"/>
    <b v="0"/>
    <n v="7"/>
    <n v="8590.7094000000016"/>
    <n v="7531.3000000000011"/>
    <n v="1059.4094000000005"/>
    <n v="0.12332036280961853"/>
    <s v="Medium"/>
  </r>
  <r>
    <s v="ORD-2025-580047"/>
    <x v="280"/>
    <x v="2"/>
    <x v="2"/>
    <d v="2025-06-29T00:00:00"/>
    <d v="2025-06-29T00:00:00"/>
    <n v="15"/>
    <s v="Africa"/>
    <x v="8"/>
    <s v="Port Harcourt"/>
    <s v="Consumer"/>
    <s v="Marketplace"/>
    <s v="M. Rossi"/>
    <s v="Accessories"/>
    <s v="ACC-3961"/>
    <n v="730.99"/>
    <n v="1242.8399999999999"/>
    <n v="0.12"/>
    <b v="0"/>
    <n v="10"/>
    <n v="10936.992"/>
    <n v="7309.9"/>
    <n v="3627.0920000000006"/>
    <n v="0.33163524303574515"/>
    <s v="Medium"/>
  </r>
  <r>
    <s v="ORD-2025-526650"/>
    <x v="281"/>
    <x v="6"/>
    <x v="2"/>
    <d v="2025-05-25T00:00:00"/>
    <d v="2025-05-25T00:00:00"/>
    <n v="28"/>
    <s v="Europe"/>
    <x v="2"/>
    <s v="Paris"/>
    <s v="Small Business"/>
    <s v="Marketplace"/>
    <s v="I. Johnson"/>
    <s v="Phones"/>
    <s v="PHN-8350"/>
    <n v="603.45000000000005"/>
    <n v="1244.08"/>
    <n v="0.2"/>
    <b v="0"/>
    <n v="11"/>
    <n v="10947.904"/>
    <n v="6637.9500000000007"/>
    <n v="4309.9539999999997"/>
    <n v="0.39367846119220623"/>
    <s v="Medium"/>
  </r>
  <r>
    <s v="ORD-2023-431328"/>
    <x v="282"/>
    <x v="32"/>
    <x v="8"/>
    <d v="2024-01-14T00:00:00"/>
    <d v="2024-01-14T00:00:00"/>
    <n v="25"/>
    <s v="Asia"/>
    <x v="9"/>
    <s v="Mumbai"/>
    <s v="Non-Profit"/>
    <s v="Marketplace"/>
    <s v="L. Okafor"/>
    <s v="Monitors"/>
    <s v="MON-1572"/>
    <n v="1085.6099999999999"/>
    <n v="1246.4100000000001"/>
    <n v="0.113"/>
    <b v="0"/>
    <n v="7"/>
    <n v="7738.9596900000006"/>
    <n v="7599.2699999999995"/>
    <n v="139.68969000000106"/>
    <n v="1.8050189637310417E-2"/>
    <s v="Medium"/>
  </r>
  <r>
    <s v="ORD-2023-472078"/>
    <x v="1"/>
    <x v="1"/>
    <x v="1"/>
    <d v="2023-03-06T00:00:00"/>
    <d v="2023-03-06T00:00:00"/>
    <n v="6"/>
    <s v="Europe"/>
    <x v="6"/>
    <s v="Frankfurt"/>
    <s v="Small Business"/>
    <s v="Marketplace"/>
    <s v="D. Smith"/>
    <s v="Printers"/>
    <s v="PRN-9624"/>
    <n v="880.02"/>
    <n v="1251.21"/>
    <n v="0.123"/>
    <b v="0"/>
    <n v="29"/>
    <n v="31822.023930000003"/>
    <n v="25520.579999999998"/>
    <n v="6301.4439300000049"/>
    <n v="0.19802146915172672"/>
    <s v="Medium"/>
  </r>
  <r>
    <s v="ORD-2023-497686"/>
    <x v="283"/>
    <x v="24"/>
    <x v="7"/>
    <d v="2023-07-23T00:00:00"/>
    <d v="2023-07-23T00:00:00"/>
    <n v="20"/>
    <s v="Africa"/>
    <x v="4"/>
    <s v="Johannesburg"/>
    <s v="Small Business"/>
    <s v="Distributor"/>
    <s v="F. Müller"/>
    <s v="Laptops"/>
    <s v="LAP-6342"/>
    <n v="1001.96"/>
    <n v="1254.95"/>
    <n v="4.4999999999999998E-2"/>
    <b v="0"/>
    <n v="18"/>
    <n v="21572.590500000002"/>
    <n v="18035.28"/>
    <n v="3537.3105000000032"/>
    <n v="0.16397244920585699"/>
    <s v="Medium"/>
  </r>
  <r>
    <s v="ORD-2024-287210"/>
    <x v="284"/>
    <x v="3"/>
    <x v="3"/>
    <d v="2024-03-21T00:00:00"/>
    <d v="2024-03-21T00:00:00"/>
    <n v="3"/>
    <s v="Europe"/>
    <x v="6"/>
    <s v="Munich"/>
    <s v="Small Business"/>
    <s v="Online"/>
    <s v="M. Rossi"/>
    <s v="Accessories"/>
    <s v="ACC-2761"/>
    <n v="910.63"/>
    <n v="1269.4000000000001"/>
    <n v="6.8000000000000005E-2"/>
    <b v="0"/>
    <n v="9"/>
    <n v="10647.727199999999"/>
    <n v="8195.67"/>
    <n v="2452.0571999999993"/>
    <n v="0.23028925834989455"/>
    <s v="Medium"/>
  </r>
  <r>
    <s v="ORD-2024-550400"/>
    <x v="153"/>
    <x v="25"/>
    <x v="10"/>
    <d v="2024-09-02T00:00:00"/>
    <d v="2024-09-02T00:00:00"/>
    <n v="14"/>
    <s v="Americas"/>
    <x v="11"/>
    <s v="Toronto"/>
    <s v="Consumer"/>
    <s v="Distributor"/>
    <s v="C. Otieno"/>
    <s v="Printers"/>
    <s v="PRN-9793"/>
    <n v="1337.01"/>
    <n v="1269.78"/>
    <n v="0.16"/>
    <b v="0"/>
    <n v="7"/>
    <n v="7466.3063999999986"/>
    <n v="9359.07"/>
    <n v="-1892.7636000000011"/>
    <n v="-0.25350735672996244"/>
    <s v="Medium"/>
  </r>
  <r>
    <s v="ORD-2023-525643"/>
    <x v="285"/>
    <x v="9"/>
    <x v="7"/>
    <d v="2023-09-03T00:00:00"/>
    <d v="2023-09-03T00:00:00"/>
    <n v="17"/>
    <s v="Africa"/>
    <x v="4"/>
    <s v="Durban"/>
    <s v="Enterprise"/>
    <s v="Retail"/>
    <s v="A. Patel"/>
    <s v="Phones"/>
    <s v="PHN-8072"/>
    <n v="676.37"/>
    <n v="1276.67"/>
    <n v="6.6000000000000003E-2"/>
    <b v="0"/>
    <n v="10"/>
    <n v="11924.0978"/>
    <n v="6763.7"/>
    <n v="5160.3977999999997"/>
    <n v="0.4327705027712872"/>
    <s v="Medium"/>
  </r>
  <r>
    <s v="ORD-2023-594955"/>
    <x v="116"/>
    <x v="17"/>
    <x v="6"/>
    <d v="2023-07-08T00:00:00"/>
    <d v="2023-07-08T00:00:00"/>
    <n v="18"/>
    <s v="Americas"/>
    <x v="3"/>
    <s v="New York"/>
    <s v="Consumer"/>
    <s v="Marketplace"/>
    <s v="O. Wang"/>
    <s v="Networking"/>
    <s v="NET-3828"/>
    <n v="1145.53"/>
    <n v="1278.3"/>
    <n v="0.09"/>
    <b v="0"/>
    <n v="41"/>
    <n v="47693.373"/>
    <n v="46966.729999999996"/>
    <n v="726.64300000000367"/>
    <n v="1.5235722581416158E-2"/>
    <s v="Medium"/>
  </r>
  <r>
    <s v="ORD-2025-626047"/>
    <x v="109"/>
    <x v="6"/>
    <x v="2"/>
    <d v="2025-05-15T00:00:00"/>
    <d v="2025-05-15T00:00:00"/>
    <n v="17"/>
    <s v="Asia"/>
    <x v="7"/>
    <s v="Nagoya"/>
    <s v="Education"/>
    <s v="Direct"/>
    <s v="N. Brown"/>
    <s v="Networking"/>
    <s v="NET-1966"/>
    <n v="691.19"/>
    <n v="1284.3"/>
    <n v="7.3999999999999996E-2"/>
    <b v="0"/>
    <n v="7"/>
    <n v="8324.8326000000015"/>
    <n v="4838.33"/>
    <n v="3486.5026000000016"/>
    <n v="0.41880753253825198"/>
    <s v="Medium"/>
  </r>
  <r>
    <s v="ORD-2023-841426"/>
    <x v="231"/>
    <x v="32"/>
    <x v="8"/>
    <d v="2023-12-23T00:00:00"/>
    <d v="2023-12-23T00:00:00"/>
    <n v="1"/>
    <s v="Africa"/>
    <x v="4"/>
    <s v="Cape Town"/>
    <s v="Non-Profit"/>
    <s v="Marketplace"/>
    <s v="D. Smith"/>
    <s v="Components"/>
    <s v="CMP-4531"/>
    <n v="1186.18"/>
    <n v="1285.0899999999999"/>
    <n v="7.0000000000000007E-2"/>
    <b v="0"/>
    <n v="11"/>
    <n v="13146.470699999998"/>
    <n v="13047.980000000001"/>
    <n v="98.49069999999665"/>
    <n v="7.4917977796121861E-3"/>
    <s v="Medium"/>
  </r>
  <r>
    <s v="ORD-2023-588455"/>
    <x v="19"/>
    <x v="7"/>
    <x v="6"/>
    <d v="2023-05-25T00:00:00"/>
    <d v="2023-05-25T00:00:00"/>
    <n v="2"/>
    <s v="Americas"/>
    <x v="5"/>
    <s v="Rio de Janeiro"/>
    <s v="Enterprise"/>
    <s v="Retail"/>
    <s v="M. Rossi"/>
    <s v="Printers"/>
    <s v="PRN-1271"/>
    <n v="690.49"/>
    <n v="1290.29"/>
    <n v="4.2000000000000003E-2"/>
    <b v="0"/>
    <n v="22"/>
    <n v="27194.152039999997"/>
    <n v="15190.78"/>
    <n v="12003.372039999997"/>
    <n v="0.44139534199647718"/>
    <s v="Medium"/>
  </r>
  <r>
    <s v="ORD-2025-608069"/>
    <x v="286"/>
    <x v="6"/>
    <x v="2"/>
    <d v="2025-04-30T00:00:00"/>
    <d v="2025-04-30T00:00:00"/>
    <n v="18"/>
    <s v="Africa"/>
    <x v="1"/>
    <s v="Kisumu"/>
    <s v="Corporate"/>
    <s v="Marketplace"/>
    <s v="F. Müller"/>
    <s v="Networking"/>
    <s v="NET-3432"/>
    <n v="1119.04"/>
    <n v="1299.02"/>
    <n v="2.5000000000000001E-2"/>
    <b v="0"/>
    <n v="14"/>
    <n v="17731.623"/>
    <n v="15666.56"/>
    <n v="2065.0630000000001"/>
    <n v="0.11646215352085933"/>
    <s v="Medium"/>
  </r>
  <r>
    <s v="ORD-2025-762212"/>
    <x v="287"/>
    <x v="11"/>
    <x v="5"/>
    <d v="2025-09-24T00:00:00"/>
    <d v="2025-09-24T00:00:00"/>
    <n v="30"/>
    <s v="Africa"/>
    <x v="1"/>
    <s v="Nairobi"/>
    <s v="Consumer"/>
    <s v="Direct"/>
    <s v="B. Chen"/>
    <s v="Components"/>
    <s v="CMP-4970"/>
    <n v="589.14"/>
    <n v="1300.58"/>
    <n v="5.5E-2"/>
    <b v="0"/>
    <n v="11"/>
    <n v="13519.529099999998"/>
    <n v="6480.54"/>
    <n v="7038.989099999998"/>
    <n v="0.52065342275863724"/>
    <s v="Medium"/>
  </r>
  <r>
    <s v="ORD-2024-760799"/>
    <x v="10"/>
    <x v="8"/>
    <x v="3"/>
    <d v="2024-02-19T00:00:00"/>
    <d v="2024-02-19T00:00:00"/>
    <n v="16"/>
    <s v="Asia"/>
    <x v="10"/>
    <s v="Shenzhen"/>
    <s v="Small Business"/>
    <s v="Online"/>
    <s v="H. Kim"/>
    <s v="Laptops"/>
    <s v="LAP-5531"/>
    <n v="993.75"/>
    <n v="1310.29"/>
    <n v="0.215"/>
    <b v="0"/>
    <n v="19"/>
    <n v="19542.975350000001"/>
    <n v="18881.25"/>
    <n v="661.72535000000062"/>
    <n v="3.3860010471742245E-2"/>
    <s v="Medium"/>
  </r>
  <r>
    <s v="ORD-2023-580751"/>
    <x v="112"/>
    <x v="32"/>
    <x v="8"/>
    <d v="2024-01-13T00:00:00"/>
    <d v="2024-01-13T00:00:00"/>
    <n v="20"/>
    <s v="Asia"/>
    <x v="7"/>
    <s v="Nagoya"/>
    <s v="Education"/>
    <s v="Direct"/>
    <s v="B. Chen"/>
    <s v="Laptops"/>
    <s v="LAP-1946"/>
    <n v="625.37"/>
    <n v="1319.04"/>
    <n v="7.3999999999999996E-2"/>
    <b v="0"/>
    <n v="8"/>
    <n v="9771.4483199999995"/>
    <n v="5002.96"/>
    <n v="4768.4883199999995"/>
    <n v="0.48800220436513547"/>
    <s v="Medium"/>
  </r>
  <r>
    <s v="ORD-2024-921935"/>
    <x v="288"/>
    <x v="21"/>
    <x v="3"/>
    <d v="2024-01-27T00:00:00"/>
    <d v="2024-01-27T00:00:00"/>
    <n v="26"/>
    <s v="Europe"/>
    <x v="0"/>
    <s v="Manchester"/>
    <s v="Education"/>
    <s v="Distributor"/>
    <s v="D. Smith"/>
    <s v="Accessories"/>
    <s v="ACC-3103"/>
    <n v="657.45"/>
    <n v="1325.96"/>
    <n v="0.16700000000000001"/>
    <b v="0"/>
    <n v="21"/>
    <n v="23195.01828"/>
    <n v="13806.45"/>
    <n v="9388.5682799999995"/>
    <n v="0.40476658249048808"/>
    <s v="Medium"/>
  </r>
  <r>
    <s v="ORD-2024-381197"/>
    <x v="289"/>
    <x v="22"/>
    <x v="0"/>
    <d v="2024-11-12T00:00:00"/>
    <d v="2024-11-12T00:00:00"/>
    <n v="11"/>
    <s v="Europe"/>
    <x v="6"/>
    <s v="Frankfurt"/>
    <s v="Consumer"/>
    <s v="Online"/>
    <s v="B. Chen"/>
    <s v="Printers"/>
    <s v="PRN-2409"/>
    <n v="599.84"/>
    <n v="1330.85"/>
    <n v="0.115"/>
    <b v="0"/>
    <n v="11"/>
    <n v="12955.824749999998"/>
    <n v="6598.2400000000007"/>
    <n v="6357.5847499999973"/>
    <n v="0.49071246892252063"/>
    <s v="Medium"/>
  </r>
  <r>
    <s v="ORD-2024-988736"/>
    <x v="229"/>
    <x v="19"/>
    <x v="10"/>
    <d v="2024-10-01T00:00:00"/>
    <d v="2024-10-01T00:00:00"/>
    <n v="22"/>
    <s v="Asia"/>
    <x v="10"/>
    <s v="Shenzhen"/>
    <s v="Consumer"/>
    <s v="Direct"/>
    <s v="L. Okafor"/>
    <s v="Printers"/>
    <s v="PRN-3014"/>
    <n v="1166.18"/>
    <n v="1335.02"/>
    <n v="0.128"/>
    <b v="0"/>
    <n v="6"/>
    <n v="6984.8246399999998"/>
    <n v="6997.08"/>
    <n v="-12.25536000000011"/>
    <n v="-1.7545694604582242E-3"/>
    <s v="Medium"/>
  </r>
  <r>
    <s v="ORD-2025-509940"/>
    <x v="290"/>
    <x v="23"/>
    <x v="2"/>
    <d v="2025-05-27T00:00:00"/>
    <d v="2025-05-27T00:00:00"/>
    <n v="11"/>
    <s v="Asia"/>
    <x v="10"/>
    <s v="Beijing"/>
    <s v="Enterprise"/>
    <s v="Online"/>
    <s v="F. Müller"/>
    <s v="Phones"/>
    <s v="PHN-3800"/>
    <n v="918.12"/>
    <n v="1337.69"/>
    <n v="9.5000000000000001E-2"/>
    <b v="0"/>
    <n v="8"/>
    <n v="9684.8756000000012"/>
    <n v="7344.96"/>
    <n v="2339.9156000000012"/>
    <n v="0.24160512707050164"/>
    <s v="Medium"/>
  </r>
  <r>
    <s v="ORD-2024-219735"/>
    <x v="291"/>
    <x v="31"/>
    <x v="4"/>
    <d v="2024-04-07T00:00:00"/>
    <d v="2024-04-07T00:00:00"/>
    <n v="4"/>
    <s v="Americas"/>
    <x v="5"/>
    <s v="Brasília"/>
    <s v="Non-Profit"/>
    <s v="Direct"/>
    <s v="N. Brown"/>
    <s v="Phones"/>
    <s v="PHN-5445"/>
    <n v="1023.27"/>
    <n v="1343.64"/>
    <n v="0.13300000000000001"/>
    <b v="0"/>
    <n v="7"/>
    <n v="8154.5511600000009"/>
    <n v="7162.8899999999994"/>
    <n v="991.66116000000147"/>
    <n v="0.12160830688810116"/>
    <s v="Medium"/>
  </r>
  <r>
    <s v="ORD-2025-683043"/>
    <x v="292"/>
    <x v="11"/>
    <x v="5"/>
    <d v="2025-09-03T00:00:00"/>
    <d v="2025-09-03T00:00:00"/>
    <n v="21"/>
    <s v="Europe"/>
    <x v="2"/>
    <s v="Paris"/>
    <s v="Education"/>
    <s v="Retail"/>
    <s v="I. Johnson"/>
    <s v="Phones"/>
    <s v="PHN-9465"/>
    <n v="603.47"/>
    <n v="1344.05"/>
    <n v="0.20499999999999999"/>
    <b v="0"/>
    <n v="18"/>
    <n v="19233.355499999998"/>
    <n v="10862.460000000001"/>
    <n v="8370.8954999999969"/>
    <n v="0.43522803392262976"/>
    <s v="Medium"/>
  </r>
  <r>
    <s v="ORD-2023-382272"/>
    <x v="199"/>
    <x v="7"/>
    <x v="6"/>
    <d v="2023-05-18T00:00:00"/>
    <d v="2023-06-03T00:00:00"/>
    <n v="14"/>
    <s v="Africa"/>
    <x v="4"/>
    <s v="Durban"/>
    <s v="Corporate"/>
    <s v="Distributor"/>
    <s v="A. Patel"/>
    <s v="Components"/>
    <s v="CMP-5208"/>
    <n v="917.88"/>
    <n v="1347.92"/>
    <n v="0"/>
    <b v="0"/>
    <n v="5"/>
    <n v="6739.6"/>
    <n v="4589.3999999999996"/>
    <n v="2150.2000000000007"/>
    <n v="0.3190397056205117"/>
    <s v="Medium"/>
  </r>
  <r>
    <s v="ORD-2023-842488"/>
    <x v="293"/>
    <x v="10"/>
    <x v="8"/>
    <d v="2023-11-02T00:00:00"/>
    <d v="2023-11-02T00:00:00"/>
    <n v="2"/>
    <s v="Africa"/>
    <x v="1"/>
    <s v="Kisumu"/>
    <s v="Education"/>
    <s v="Retail"/>
    <s v="O. Wang"/>
    <s v="Accessories"/>
    <s v="ACC-4124"/>
    <n v="867.89"/>
    <n v="1349.94"/>
    <n v="0.184"/>
    <b v="0"/>
    <n v="10"/>
    <n v="11015.510400000003"/>
    <n v="8678.9"/>
    <n v="2336.6104000000032"/>
    <n v="0.21212003031652557"/>
    <s v="Medium"/>
  </r>
  <r>
    <s v="ORD-2024-640340"/>
    <x v="294"/>
    <x v="20"/>
    <x v="0"/>
    <d v="2024-10-29T00:00:00"/>
    <d v="2024-10-29T00:00:00"/>
    <n v="7"/>
    <s v="Africa"/>
    <x v="8"/>
    <s v="Port Harcourt"/>
    <s v="Enterprise"/>
    <s v="Distributor"/>
    <s v="M. Rossi"/>
    <s v="Monitors"/>
    <s v="MON-8758"/>
    <n v="1023.06"/>
    <n v="1355.61"/>
    <n v="0.153"/>
    <b v="0"/>
    <n v="23"/>
    <n v="26408.63841"/>
    <n v="23530.379999999997"/>
    <n v="2878.2584100000022"/>
    <n v="0.10898927711888809"/>
    <s v="Medium"/>
  </r>
  <r>
    <s v="ORD-2025-683247"/>
    <x v="270"/>
    <x v="14"/>
    <x v="9"/>
    <d v="2025-04-04T00:00:00"/>
    <d v="2025-04-04T00:00:00"/>
    <n v="25"/>
    <s v="Asia"/>
    <x v="7"/>
    <s v="Osaka"/>
    <s v="Corporate"/>
    <s v="Direct"/>
    <s v="H. Kim"/>
    <s v="Printers"/>
    <s v="PRN-9867"/>
    <n v="783.72"/>
    <n v="1355.94"/>
    <n v="0.187"/>
    <b v="0"/>
    <n v="4"/>
    <n v="4409.5168800000001"/>
    <n v="3134.88"/>
    <n v="1274.63688"/>
    <n v="0.28906497348525856"/>
    <s v="Medium"/>
  </r>
  <r>
    <s v="ORD-2024-571797"/>
    <x v="295"/>
    <x v="29"/>
    <x v="10"/>
    <d v="2024-07-31T00:00:00"/>
    <d v="2024-07-31T00:00:00"/>
    <n v="20"/>
    <s v="Asia"/>
    <x v="10"/>
    <s v="Shenzhen"/>
    <s v="Consumer"/>
    <s v="Online"/>
    <s v="G. Dubois"/>
    <s v="Phones"/>
    <s v="PHN-7815"/>
    <n v="647.26"/>
    <n v="1374.72"/>
    <n v="6.6000000000000003E-2"/>
    <b v="0"/>
    <n v="22"/>
    <n v="28247.74656"/>
    <n v="14239.72"/>
    <n v="14008.02656"/>
    <n v="0.49589890401508901"/>
    <s v="Medium"/>
  </r>
  <r>
    <s v="ORD-2023-334213"/>
    <x v="142"/>
    <x v="9"/>
    <x v="7"/>
    <d v="2023-08-23T00:00:00"/>
    <d v="2023-08-23T00:00:00"/>
    <n v="4"/>
    <s v="Africa"/>
    <x v="8"/>
    <s v="Abuja"/>
    <s v="Small Business"/>
    <s v="Online"/>
    <s v="J. Njeri"/>
    <s v="Monitors"/>
    <s v="MON-5517"/>
    <n v="790.63"/>
    <n v="1382.31"/>
    <n v="0.10100000000000001"/>
    <b v="0"/>
    <n v="7"/>
    <n v="8698.8768300000011"/>
    <n v="5534.41"/>
    <n v="3164.4668300000012"/>
    <n v="0.36377878338116448"/>
    <s v="Medium"/>
  </r>
  <r>
    <s v="ORD-2024-892173"/>
    <x v="296"/>
    <x v="21"/>
    <x v="3"/>
    <d v="2024-02-03T00:00:00"/>
    <d v="2024-02-03T00:00:00"/>
    <n v="16"/>
    <s v="Africa"/>
    <x v="4"/>
    <s v="Cape Town"/>
    <s v="Non-Profit"/>
    <s v="Distributor"/>
    <s v="L. Okafor"/>
    <s v="Printers"/>
    <s v="PRN-6660"/>
    <n v="666.23"/>
    <n v="1382.91"/>
    <n v="0.17599999999999999"/>
    <b v="0"/>
    <n v="13"/>
    <n v="14813.731920000002"/>
    <n v="8660.99"/>
    <n v="6152.7419200000022"/>
    <n v="0.41534043907553048"/>
    <s v="Medium"/>
  </r>
  <r>
    <s v="ORD-2025-779659"/>
    <x v="297"/>
    <x v="18"/>
    <x v="5"/>
    <d v="2025-07-23T00:00:00"/>
    <d v="2025-07-23T00:00:00"/>
    <n v="20"/>
    <s v="Asia"/>
    <x v="10"/>
    <s v="Beijing"/>
    <s v="Small Business"/>
    <s v="Online"/>
    <s v="M. Rossi"/>
    <s v="Components"/>
    <s v="CMP-1220"/>
    <n v="647.36"/>
    <n v="1383.6"/>
    <n v="7.3999999999999996E-2"/>
    <b v="0"/>
    <n v="12"/>
    <n v="15374.563199999999"/>
    <n v="7768.32"/>
    <n v="7606.243199999999"/>
    <n v="0.49472906000997802"/>
    <s v="Medium"/>
  </r>
  <r>
    <s v="ORD-2025-881624"/>
    <x v="298"/>
    <x v="12"/>
    <x v="9"/>
    <d v="2025-03-21T00:00:00"/>
    <d v="2025-03-21T00:00:00"/>
    <n v="28"/>
    <s v="Africa"/>
    <x v="8"/>
    <s v="Abuja"/>
    <s v="Enterprise"/>
    <s v="Marketplace"/>
    <s v="I. Johnson"/>
    <s v="Phones"/>
    <s v="PHN-5887"/>
    <n v="1437.39"/>
    <n v="1388.31"/>
    <n v="0.13800000000000001"/>
    <b v="0"/>
    <n v="18"/>
    <n v="21541.017959999997"/>
    <n v="25873.02"/>
    <n v="-4332.002040000003"/>
    <n v="-0.20110479681341872"/>
    <s v="Medium"/>
  </r>
  <r>
    <s v="ORD-2024-155337"/>
    <x v="299"/>
    <x v="15"/>
    <x v="4"/>
    <d v="2024-05-27T00:00:00"/>
    <d v="2024-05-27T00:00:00"/>
    <n v="6"/>
    <s v="Africa"/>
    <x v="4"/>
    <s v="Johannesburg"/>
    <s v="Non-Profit"/>
    <s v="Online"/>
    <s v="M. Rossi"/>
    <s v="Components"/>
    <s v="CMP-8101"/>
    <n v="1157.51"/>
    <n v="1394.3"/>
    <n v="0.27800000000000002"/>
    <b v="0"/>
    <n v="12"/>
    <n v="12080.215199999999"/>
    <n v="13890.119999999999"/>
    <n v="-1809.9048000000003"/>
    <n v="-0.14982388724333326"/>
    <s v="Medium"/>
  </r>
  <r>
    <s v="ORD-2023-304451"/>
    <x v="300"/>
    <x v="10"/>
    <x v="8"/>
    <d v="2023-10-23T00:00:00"/>
    <d v="2023-10-23T00:00:00"/>
    <n v="16"/>
    <s v="Asia"/>
    <x v="9"/>
    <s v="Hyderabad"/>
    <s v="Consumer"/>
    <s v="Retail"/>
    <s v="G. Dubois"/>
    <s v="Monitors"/>
    <s v="MON-7602"/>
    <n v="906.81"/>
    <n v="1395.56"/>
    <n v="0.185"/>
    <b v="0"/>
    <n v="6"/>
    <n v="6824.2884000000004"/>
    <n v="5440.86"/>
    <n v="1383.4284000000007"/>
    <n v="0.20272126834498974"/>
    <s v="Medium"/>
  </r>
  <r>
    <s v="ORD-2024-599522"/>
    <x v="301"/>
    <x v="31"/>
    <x v="4"/>
    <d v="2024-05-06T00:00:00"/>
    <d v="2024-05-06T00:00:00"/>
    <n v="17"/>
    <s v="Africa"/>
    <x v="8"/>
    <s v="Port Harcourt"/>
    <s v="Non-Profit"/>
    <s v="Online"/>
    <s v="A. Patel"/>
    <s v="Printers"/>
    <s v="PRN-7303"/>
    <n v="865.33"/>
    <n v="1395.64"/>
    <n v="0.17499999999999999"/>
    <b v="0"/>
    <n v="13"/>
    <n v="14968.239"/>
    <n v="11249.29"/>
    <n v="3718.9489999999987"/>
    <n v="0.24845601409758347"/>
    <s v="Medium"/>
  </r>
  <r>
    <s v="ORD-2023-308124"/>
    <x v="171"/>
    <x v="16"/>
    <x v="6"/>
    <d v="2023-04-30T00:00:00"/>
    <d v="2023-04-30T00:00:00"/>
    <n v="11"/>
    <s v="Asia"/>
    <x v="9"/>
    <s v="Delhi"/>
    <s v="Small Business"/>
    <s v="Retail"/>
    <s v="A. Patel"/>
    <s v="Networking"/>
    <s v="NET-2062"/>
    <n v="826.55"/>
    <n v="1397.05"/>
    <n v="0.16900000000000001"/>
    <b v="0"/>
    <n v="28"/>
    <n v="32506.559399999998"/>
    <n v="23143.399999999998"/>
    <n v="9363.1594000000005"/>
    <n v="0.28803907804527601"/>
    <s v="Medium"/>
  </r>
  <r>
    <s v="ORD-2023-107265"/>
    <x v="302"/>
    <x v="16"/>
    <x v="6"/>
    <d v="2023-05-14T00:00:00"/>
    <d v="2023-05-14T00:00:00"/>
    <n v="22"/>
    <s v="Asia"/>
    <x v="7"/>
    <s v="Nagoya"/>
    <s v="Enterprise"/>
    <s v="Retail"/>
    <s v="A. Patel"/>
    <s v="Accessories"/>
    <s v="ACC-7713"/>
    <n v="1209.22"/>
    <n v="1404.33"/>
    <n v="0.10299999999999999"/>
    <b v="0"/>
    <n v="11"/>
    <n v="13856.52411"/>
    <n v="13301.42"/>
    <n v="555.10411000000022"/>
    <n v="4.0060848275751328E-2"/>
    <s v="Medium"/>
  </r>
  <r>
    <s v="ORD-2023-374486"/>
    <x v="165"/>
    <x v="17"/>
    <x v="6"/>
    <d v="2023-06-23T00:00:00"/>
    <d v="2023-07-08T00:00:00"/>
    <n v="14"/>
    <s v="Americas"/>
    <x v="5"/>
    <s v="Rio de Janeiro"/>
    <s v="Non-Profit"/>
    <s v="Retail"/>
    <s v="E. Garcia"/>
    <s v="Printers"/>
    <s v="PRN-6490"/>
    <n v="804.01"/>
    <n v="1405.07"/>
    <n v="9.6000000000000002E-2"/>
    <b v="0"/>
    <n v="8"/>
    <n v="10161.46624"/>
    <n v="6432.08"/>
    <n v="3729.3862399999998"/>
    <n v="0.36701260939287439"/>
    <s v="Medium"/>
  </r>
  <r>
    <s v="ORD-2024-947056"/>
    <x v="303"/>
    <x v="29"/>
    <x v="10"/>
    <d v="2024-08-15T00:00:00"/>
    <d v="2024-08-15T00:00:00"/>
    <n v="15"/>
    <s v="Asia"/>
    <x v="7"/>
    <s v="Tokyo"/>
    <s v="Corporate"/>
    <s v="Marketplace"/>
    <s v="F. Müller"/>
    <s v="Monitors"/>
    <s v="MON-1564"/>
    <n v="1252.52"/>
    <n v="1417.24"/>
    <n v="0.192"/>
    <b v="0"/>
    <n v="5"/>
    <n v="5725.6496000000006"/>
    <n v="6262.6"/>
    <n v="-536.95039999999972"/>
    <n v="-9.3779821943696953E-2"/>
    <s v="Medium"/>
  </r>
  <r>
    <s v="ORD-2023-536542"/>
    <x v="304"/>
    <x v="17"/>
    <x v="6"/>
    <d v="2023-06-18T00:00:00"/>
    <d v="2023-06-18T00:00:00"/>
    <n v="8"/>
    <s v="Africa"/>
    <x v="1"/>
    <s v="Nakuru"/>
    <s v="Enterprise"/>
    <s v="Direct"/>
    <s v="H. Kim"/>
    <s v="Phones"/>
    <s v="PHN-2337"/>
    <n v="894.23"/>
    <n v="1421.55"/>
    <n v="0.109"/>
    <b v="0"/>
    <n v="3"/>
    <n v="3799.8031499999997"/>
    <n v="2682.69"/>
    <n v="1117.1131499999997"/>
    <n v="0.29399237431549574"/>
    <s v="Medium"/>
  </r>
  <r>
    <s v="ORD-2023-621393"/>
    <x v="305"/>
    <x v="24"/>
    <x v="7"/>
    <d v="2023-07-13T00:00:00"/>
    <d v="2023-07-13T00:00:00"/>
    <n v="6"/>
    <s v="Africa"/>
    <x v="4"/>
    <s v="Cape Town"/>
    <s v="Small Business"/>
    <s v="Marketplace"/>
    <s v="B. Chen"/>
    <s v="Accessories"/>
    <s v="ACC-9445"/>
    <n v="612.59"/>
    <n v="1424.74"/>
    <n v="4.3999999999999997E-2"/>
    <b v="0"/>
    <n v="15"/>
    <n v="20430.771599999996"/>
    <n v="9188.85"/>
    <n v="11241.921599999996"/>
    <n v="0.55024459281802152"/>
    <s v="Medium"/>
  </r>
  <r>
    <s v="ORD-2023-700699"/>
    <x v="306"/>
    <x v="13"/>
    <x v="1"/>
    <d v="2023-01-26T00:00:00"/>
    <d v="2023-01-26T00:00:00"/>
    <n v="14"/>
    <s v="Asia"/>
    <x v="10"/>
    <s v="Shenzhen"/>
    <s v="Non-Profit"/>
    <s v="Retail"/>
    <s v="M. Rossi"/>
    <s v="Printers"/>
    <s v="PRN-1641"/>
    <n v="1083.0899999999999"/>
    <n v="1425.87"/>
    <n v="0"/>
    <b v="0"/>
    <n v="8"/>
    <n v="11406.96"/>
    <n v="8664.7199999999993"/>
    <n v="2742.24"/>
    <n v="0.24040059752992909"/>
    <s v="Medium"/>
  </r>
  <r>
    <s v="ORD-2025-191328"/>
    <x v="307"/>
    <x v="23"/>
    <x v="2"/>
    <d v="2025-05-27T00:00:00"/>
    <d v="2025-05-27T00:00:00"/>
    <n v="17"/>
    <s v="Americas"/>
    <x v="11"/>
    <s v="Vancouver"/>
    <s v="Education"/>
    <s v="Direct"/>
    <s v="C. Otieno"/>
    <s v="Components"/>
    <s v="CMP-9307"/>
    <n v="862.89"/>
    <n v="1426.03"/>
    <n v="5.6000000000000001E-2"/>
    <b v="0"/>
    <n v="19"/>
    <n v="25577.274079999999"/>
    <n v="16394.91"/>
    <n v="9182.3640799999994"/>
    <n v="0.35900479665188778"/>
    <s v="Medium"/>
  </r>
  <r>
    <s v="ORD-2023-664790"/>
    <x v="159"/>
    <x v="16"/>
    <x v="6"/>
    <d v="2023-04-23T00:00:00"/>
    <d v="2023-04-23T00:00:00"/>
    <n v="7"/>
    <s v="Americas"/>
    <x v="3"/>
    <s v="Austin"/>
    <s v="Corporate"/>
    <s v="Distributor"/>
    <s v="O. Wang"/>
    <s v="Printers"/>
    <s v="PRN-9249"/>
    <n v="1099.1500000000001"/>
    <n v="1431.37"/>
    <n v="0.104"/>
    <b v="0"/>
    <n v="8"/>
    <n v="10260.060159999999"/>
    <n v="8793.2000000000007"/>
    <n v="1466.8601599999984"/>
    <n v="0.14296798821109433"/>
    <s v="Medium"/>
  </r>
  <r>
    <s v="ORD-2024-588972"/>
    <x v="308"/>
    <x v="22"/>
    <x v="0"/>
    <d v="2024-11-29T00:00:00"/>
    <d v="2024-11-29T00:00:00"/>
    <n v="27"/>
    <s v="Americas"/>
    <x v="5"/>
    <s v="Brasília"/>
    <s v="Small Business"/>
    <s v="Direct"/>
    <s v="I. Johnson"/>
    <s v="Networking"/>
    <s v="NET-8561"/>
    <n v="1363.51"/>
    <n v="1433.9"/>
    <n v="5.7000000000000002E-2"/>
    <b v="0"/>
    <n v="8"/>
    <n v="10817.3416"/>
    <n v="10908.08"/>
    <n v="-90.738400000000183"/>
    <n v="-8.3882346842037592E-3"/>
    <s v="Medium"/>
  </r>
  <r>
    <s v="ORD-2023-921939"/>
    <x v="129"/>
    <x v="17"/>
    <x v="6"/>
    <d v="2023-07-18T00:00:00"/>
    <d v="2023-07-18T00:00:00"/>
    <n v="25"/>
    <s v="Americas"/>
    <x v="11"/>
    <s v="Vancouver"/>
    <s v="Enterprise"/>
    <s v="Online"/>
    <s v="N. Brown"/>
    <s v="Phones"/>
    <s v="PHN-4677"/>
    <n v="807.02"/>
    <n v="1435.54"/>
    <n v="0"/>
    <b v="0"/>
    <n v="23"/>
    <n v="33017.42"/>
    <n v="18561.46"/>
    <n v="14455.96"/>
    <n v="0.43782827368098415"/>
    <s v="Medium"/>
  </r>
  <r>
    <s v="ORD-2024-745822"/>
    <x v="309"/>
    <x v="3"/>
    <x v="3"/>
    <d v="2024-04-17T00:00:00"/>
    <d v="2024-04-17T00:00:00"/>
    <n v="17"/>
    <s v="Europe"/>
    <x v="6"/>
    <s v="Frankfurt"/>
    <s v="Education"/>
    <s v="Direct"/>
    <s v="H. Kim"/>
    <s v="Monitors"/>
    <s v="MON-8651"/>
    <n v="1025.51"/>
    <n v="1436.54"/>
    <n v="0.13900000000000001"/>
    <b v="0"/>
    <n v="28"/>
    <n v="34632.106319999999"/>
    <n v="28714.28"/>
    <n v="5917.8263200000001"/>
    <n v="0.17087688127656453"/>
    <s v="Medium"/>
  </r>
  <r>
    <s v="ORD-2025-762301"/>
    <x v="310"/>
    <x v="23"/>
    <x v="2"/>
    <d v="2025-05-13T00:00:00"/>
    <d v="2025-05-13T00:00:00"/>
    <n v="11"/>
    <s v="Africa"/>
    <x v="1"/>
    <s v="Nakuru"/>
    <s v="Small Business"/>
    <s v="Online"/>
    <s v="A. Patel"/>
    <s v="Accessories"/>
    <s v="ACC-2252"/>
    <n v="1057.5999999999999"/>
    <n v="1437.06"/>
    <n v="0.20499999999999999"/>
    <b v="0"/>
    <n v="4"/>
    <n v="4569.8508000000002"/>
    <n v="4230.3999999999996"/>
    <n v="339.45080000000053"/>
    <n v="7.4280499485891424E-2"/>
    <s v="Medium"/>
  </r>
  <r>
    <s v="ORD-2024-890180"/>
    <x v="311"/>
    <x v="21"/>
    <x v="3"/>
    <d v="2024-02-13T00:00:00"/>
    <d v="2024-02-13T00:00:00"/>
    <n v="24"/>
    <s v="Europe"/>
    <x v="2"/>
    <s v="Marseille"/>
    <s v="Corporate"/>
    <s v="Retail"/>
    <s v="H. Kim"/>
    <s v="Printers"/>
    <s v="PRN-8392"/>
    <n v="643.53"/>
    <n v="1439.01"/>
    <n v="0"/>
    <b v="0"/>
    <n v="15"/>
    <n v="21585.15"/>
    <n v="9652.9499999999989"/>
    <n v="11932.200000000003"/>
    <n v="0.55279671440782208"/>
    <s v="Medium"/>
  </r>
  <r>
    <s v="ORD-2024-102866"/>
    <x v="312"/>
    <x v="0"/>
    <x v="0"/>
    <d v="2024-12-20T00:00:00"/>
    <d v="2024-12-20T00:00:00"/>
    <n v="8"/>
    <s v="Asia"/>
    <x v="7"/>
    <s v="Tokyo"/>
    <s v="Corporate"/>
    <s v="Retail"/>
    <s v="B. Chen"/>
    <s v="Laptops"/>
    <s v="LAP-8347"/>
    <n v="1202.47"/>
    <n v="1444.72"/>
    <n v="0.24099999999999999"/>
    <b v="0"/>
    <n v="17"/>
    <n v="18641.222160000001"/>
    <n v="20441.990000000002"/>
    <n v="-1800.7678400000004"/>
    <n v="-9.6601382921343834E-2"/>
    <s v="Medium"/>
  </r>
  <r>
    <s v="ORD-2025-332931"/>
    <x v="313"/>
    <x v="12"/>
    <x v="9"/>
    <d v="2025-03-01T00:00:00"/>
    <d v="2025-03-01T00:00:00"/>
    <n v="14"/>
    <s v="Africa"/>
    <x v="1"/>
    <s v="Mombasa"/>
    <s v="Education"/>
    <s v="Direct"/>
    <s v="L. Okafor"/>
    <s v="Accessories"/>
    <s v="ACC-5144"/>
    <n v="1162.8599999999999"/>
    <n v="1447.68"/>
    <n v="8.6999999999999994E-2"/>
    <b v="0"/>
    <n v="12"/>
    <n v="15860.782080000001"/>
    <n v="13954.32"/>
    <n v="1906.4620800000012"/>
    <n v="0.12019975247021369"/>
    <s v="Medium"/>
  </r>
  <r>
    <s v="ORD-2023-479747"/>
    <x v="314"/>
    <x v="24"/>
    <x v="7"/>
    <d v="2023-07-14T00:00:00"/>
    <d v="2023-07-14T00:00:00"/>
    <n v="0"/>
    <s v="Africa"/>
    <x v="8"/>
    <s v="Lagos"/>
    <s v="Education"/>
    <s v="Retail"/>
    <s v="I. Johnson"/>
    <s v="Accessories"/>
    <s v="ACC-5334"/>
    <n v="956.38"/>
    <n v="1454.22"/>
    <n v="3.9E-2"/>
    <b v="0"/>
    <n v="19"/>
    <n v="26552.60298"/>
    <n v="18171.22"/>
    <n v="8381.3829799999985"/>
    <n v="0.31565202802576603"/>
    <s v="Medium"/>
  </r>
  <r>
    <s v="ORD-2025-789245"/>
    <x v="170"/>
    <x v="18"/>
    <x v="5"/>
    <d v="2025-08-17T00:00:00"/>
    <d v="2025-08-17T00:00:00"/>
    <n v="25"/>
    <s v="Europe"/>
    <x v="0"/>
    <s v="Birmingham"/>
    <s v="Education"/>
    <s v="Online"/>
    <s v="I. Johnson"/>
    <s v="Printers"/>
    <s v="PRN-5876"/>
    <n v="1142.06"/>
    <n v="1455"/>
    <n v="7.8E-2"/>
    <b v="0"/>
    <n v="28"/>
    <n v="37562.28"/>
    <n v="31977.68"/>
    <n v="5584.5999999999985"/>
    <n v="0.1486757459877302"/>
    <s v="Medium"/>
  </r>
  <r>
    <s v="ORD-2024-939873"/>
    <x v="315"/>
    <x v="31"/>
    <x v="4"/>
    <d v="2024-05-07T00:00:00"/>
    <d v="2024-05-07T00:00:00"/>
    <n v="25"/>
    <s v="Africa"/>
    <x v="4"/>
    <s v="Johannesburg"/>
    <s v="Education"/>
    <s v="Distributor"/>
    <s v="A. Patel"/>
    <s v="Laptops"/>
    <s v="LAP-8489"/>
    <n v="1376.51"/>
    <n v="1455.91"/>
    <n v="0.185"/>
    <b v="0"/>
    <n v="17"/>
    <n v="20171.63305"/>
    <n v="23400.67"/>
    <n v="-3229.0369499999979"/>
    <n v="-0.1600781127634085"/>
    <s v="Medium"/>
  </r>
  <r>
    <s v="ORD-2025-289139"/>
    <x v="316"/>
    <x v="11"/>
    <x v="5"/>
    <d v="2025-08-30T00:00:00"/>
    <d v="2025-08-30T00:00:00"/>
    <n v="20"/>
    <s v="Americas"/>
    <x v="3"/>
    <s v="San Francisco"/>
    <s v="Corporate"/>
    <s v="Marketplace"/>
    <s v="K. Singh"/>
    <s v="Printers"/>
    <s v="PRN-2098"/>
    <n v="933.29"/>
    <n v="1456.81"/>
    <n v="0.123"/>
    <b v="0"/>
    <n v="13"/>
    <n v="16609.090809999998"/>
    <n v="12132.77"/>
    <n v="4476.3208099999974"/>
    <n v="0.26951028573489977"/>
    <s v="Medium"/>
  </r>
  <r>
    <s v="ORD-2023-575584"/>
    <x v="317"/>
    <x v="13"/>
    <x v="1"/>
    <d v="2023-02-21T00:00:00"/>
    <d v="2023-02-21T00:00:00"/>
    <n v="22"/>
    <s v="Europe"/>
    <x v="6"/>
    <s v="Munich"/>
    <s v="Small Business"/>
    <s v="Marketplace"/>
    <s v="G. Dubois"/>
    <s v="Networking"/>
    <s v="NET-3460"/>
    <n v="1142.8800000000001"/>
    <n v="1465.29"/>
    <n v="0.186"/>
    <b v="0"/>
    <n v="7"/>
    <n v="8349.2224200000001"/>
    <n v="8000.1600000000008"/>
    <n v="349.06241999999929"/>
    <n v="4.1807775915017401E-2"/>
    <s v="Medium"/>
  </r>
  <r>
    <s v="ORD-2024-764468"/>
    <x v="318"/>
    <x v="8"/>
    <x v="3"/>
    <d v="2024-02-21T00:00:00"/>
    <d v="2024-02-21T00:00:00"/>
    <n v="20"/>
    <s v="Europe"/>
    <x v="2"/>
    <s v="Paris"/>
    <s v="Small Business"/>
    <s v="Marketplace"/>
    <s v="A. Patel"/>
    <s v="Networking"/>
    <s v="NET-8761"/>
    <n v="656.2"/>
    <n v="1467.17"/>
    <n v="1.7999999999999999E-2"/>
    <b v="0"/>
    <n v="5"/>
    <n v="7203.8047000000006"/>
    <n v="3281"/>
    <n v="3922.8047000000006"/>
    <n v="0.54454623124360946"/>
    <s v="Medium"/>
  </r>
  <r>
    <s v="ORD-2024-389102"/>
    <x v="319"/>
    <x v="4"/>
    <x v="4"/>
    <d v="2024-07-06T00:00:00"/>
    <d v="2024-07-06T00:00:00"/>
    <n v="21"/>
    <s v="Americas"/>
    <x v="11"/>
    <s v="Toronto"/>
    <s v="Enterprise"/>
    <s v="Distributor"/>
    <s v="L. Okafor"/>
    <s v="Printers"/>
    <s v="PRN-4453"/>
    <n v="817.23"/>
    <n v="1467.17"/>
    <n v="0.245"/>
    <b v="0"/>
    <n v="9"/>
    <n v="9969.4201499999999"/>
    <n v="7355.07"/>
    <n v="2614.3501500000002"/>
    <n v="0.26223693160328893"/>
    <s v="Medium"/>
  </r>
  <r>
    <s v="ORD-2025-485946"/>
    <x v="160"/>
    <x v="2"/>
    <x v="2"/>
    <d v="2025-06-30T00:00:00"/>
    <d v="2025-06-30T00:00:00"/>
    <n v="15"/>
    <s v="Africa"/>
    <x v="4"/>
    <s v="Johannesburg"/>
    <s v="Small Business"/>
    <s v="Direct"/>
    <s v="C. Otieno"/>
    <s v="Monitors"/>
    <s v="MON-5891"/>
    <n v="1487.59"/>
    <n v="1480.83"/>
    <n v="8.9999999999999993E-3"/>
    <b v="0"/>
    <n v="11"/>
    <n v="16142.527829999999"/>
    <n v="16363.49"/>
    <n v="-220.9621700000007"/>
    <n v="-1.3688201273492908E-2"/>
    <s v="Medium"/>
  </r>
  <r>
    <s v="ORD-2024-687073"/>
    <x v="145"/>
    <x v="3"/>
    <x v="3"/>
    <d v="2024-03-29T00:00:00"/>
    <d v="2024-03-29T00:00:00"/>
    <n v="18"/>
    <s v="Americas"/>
    <x v="3"/>
    <s v="New York"/>
    <s v="Corporate"/>
    <s v="Retail"/>
    <s v="M. Rossi"/>
    <s v="Monitors"/>
    <s v="MON-7099"/>
    <n v="710.98"/>
    <n v="1481.45"/>
    <n v="0.21099999999999999"/>
    <b v="0"/>
    <n v="9"/>
    <n v="10519.776450000001"/>
    <n v="6398.82"/>
    <n v="4120.9564500000015"/>
    <n v="0.39173422264120461"/>
    <s v="Medium"/>
  </r>
  <r>
    <s v="ORD-2023-302041"/>
    <x v="320"/>
    <x v="10"/>
    <x v="8"/>
    <d v="2023-10-29T00:00:00"/>
    <d v="2023-10-29T00:00:00"/>
    <n v="25"/>
    <s v="Americas"/>
    <x v="3"/>
    <s v="San Francisco"/>
    <s v="Small Business"/>
    <s v="Distributor"/>
    <s v="O. Wang"/>
    <s v="Accessories"/>
    <s v="ACC-5079"/>
    <n v="1239.8399999999999"/>
    <n v="1482.75"/>
    <n v="6.7000000000000004E-2"/>
    <b v="0"/>
    <n v="4"/>
    <n v="5533.6230000000005"/>
    <n v="4959.3599999999997"/>
    <n v="574.26300000000083"/>
    <n v="0.10377703721413634"/>
    <s v="Medium"/>
  </r>
  <r>
    <s v="ORD-2025-831576"/>
    <x v="5"/>
    <x v="5"/>
    <x v="5"/>
    <d v="2025-09-25T00:00:00"/>
    <d v="2025-09-25T00:00:00"/>
    <n v="10"/>
    <s v="Asia"/>
    <x v="9"/>
    <s v="Delhi"/>
    <s v="Consumer"/>
    <s v="Retail"/>
    <s v="A. Patel"/>
    <s v="Phones"/>
    <s v="PHN-2859"/>
    <n v="1488.91"/>
    <n v="1483.74"/>
    <n v="0.16800000000000001"/>
    <b v="0"/>
    <n v="24"/>
    <n v="29627.320319999999"/>
    <n v="35733.840000000004"/>
    <n v="-6106.5196800000049"/>
    <n v="-0.20611110333450519"/>
    <s v="Medium"/>
  </r>
  <r>
    <s v="ORD-2024-925626"/>
    <x v="321"/>
    <x v="22"/>
    <x v="0"/>
    <d v="2024-11-05T00:00:00"/>
    <d v="2024-11-05T00:00:00"/>
    <n v="1"/>
    <s v="Europe"/>
    <x v="0"/>
    <s v="London"/>
    <s v="Corporate"/>
    <s v="Retail"/>
    <s v="M. Rossi"/>
    <s v="Printers"/>
    <s v="PRN-2293"/>
    <n v="840.68"/>
    <n v="1493.53"/>
    <n v="0"/>
    <b v="0"/>
    <n v="27"/>
    <n v="40325.31"/>
    <n v="22698.359999999997"/>
    <n v="17626.95"/>
    <n v="0.43711877230454027"/>
    <s v="Medium"/>
  </r>
  <r>
    <s v="ORD-2023-343322"/>
    <x v="142"/>
    <x v="9"/>
    <x v="7"/>
    <d v="2023-09-12T00:00:00"/>
    <d v="2023-09-12T00:00:00"/>
    <n v="24"/>
    <s v="Americas"/>
    <x v="11"/>
    <s v="Vancouver"/>
    <s v="Enterprise"/>
    <s v="Retail"/>
    <s v="I. Johnson"/>
    <s v="Printers"/>
    <s v="PRN-9669"/>
    <n v="1183.95"/>
    <n v="1503.53"/>
    <n v="0.24099999999999999"/>
    <b v="0"/>
    <n v="16"/>
    <n v="18258.868320000001"/>
    <n v="18943.2"/>
    <n v="-684.33167999999932"/>
    <n v="-3.7479413729623705E-2"/>
    <s v="Medium"/>
  </r>
  <r>
    <s v="ORD-2024-892879"/>
    <x v="232"/>
    <x v="29"/>
    <x v="10"/>
    <d v="2024-08-08T00:00:00"/>
    <d v="2024-08-08T00:00:00"/>
    <n v="30"/>
    <s v="Europe"/>
    <x v="2"/>
    <s v="Marseille"/>
    <s v="Corporate"/>
    <s v="Direct"/>
    <s v="J. Njeri"/>
    <s v="Components"/>
    <s v="CMP-5825"/>
    <n v="1062.3800000000001"/>
    <n v="1503.96"/>
    <n v="0.18"/>
    <b v="0"/>
    <n v="6"/>
    <n v="7399.4832000000006"/>
    <n v="6374.2800000000007"/>
    <n v="1025.2031999999999"/>
    <n v="0.13855064905073369"/>
    <s v="Medium"/>
  </r>
  <r>
    <s v="ORD-2024-134084"/>
    <x v="322"/>
    <x v="4"/>
    <x v="4"/>
    <d v="2024-06-16T00:00:00"/>
    <d v="2024-06-16T00:00:00"/>
    <n v="12"/>
    <s v="Asia"/>
    <x v="10"/>
    <s v="Shanghai"/>
    <s v="Corporate"/>
    <s v="Retail"/>
    <s v="J. Njeri"/>
    <s v="Printers"/>
    <s v="PRN-4097"/>
    <n v="918.42"/>
    <n v="1511.71"/>
    <n v="0.02"/>
    <b v="0"/>
    <n v="8"/>
    <n v="11851.806399999999"/>
    <n v="7347.36"/>
    <n v="4504.4463999999998"/>
    <n v="0.38006412254590999"/>
    <s v="Medium"/>
  </r>
  <r>
    <s v="ORD-2024-366010"/>
    <x v="82"/>
    <x v="21"/>
    <x v="3"/>
    <d v="2024-02-05T00:00:00"/>
    <d v="2024-02-05T00:00:00"/>
    <n v="23"/>
    <s v="Europe"/>
    <x v="6"/>
    <s v="Frankfurt"/>
    <s v="Education"/>
    <s v="Direct"/>
    <s v="B. Chen"/>
    <s v="Laptops"/>
    <s v="LAP-9931"/>
    <n v="1017.93"/>
    <n v="1529.14"/>
    <n v="0.155"/>
    <b v="0"/>
    <n v="12"/>
    <n v="15505.479600000001"/>
    <n v="12215.16"/>
    <n v="3290.3196000000007"/>
    <n v="0.21220366508366503"/>
    <s v="Medium"/>
  </r>
  <r>
    <s v="ORD-2023-855675"/>
    <x v="323"/>
    <x v="1"/>
    <x v="1"/>
    <d v="2023-02-28T00:00:00"/>
    <d v="2023-02-28T00:00:00"/>
    <n v="23"/>
    <s v="Americas"/>
    <x v="3"/>
    <s v="Austin"/>
    <s v="Non-Profit"/>
    <s v="Distributor"/>
    <s v="L. Okafor"/>
    <s v="Phones"/>
    <s v="PHN-2036"/>
    <n v="1214.49"/>
    <n v="1533.95"/>
    <n v="0"/>
    <b v="0"/>
    <n v="11"/>
    <n v="16873.45"/>
    <n v="13359.39"/>
    <n v="3514.0600000000013"/>
    <n v="0.20825972163369086"/>
    <s v="Medium"/>
  </r>
  <r>
    <s v="ORD-2024-979401"/>
    <x v="324"/>
    <x v="8"/>
    <x v="3"/>
    <d v="2024-02-09T00:00:00"/>
    <d v="2024-02-09T00:00:00"/>
    <n v="1"/>
    <s v="Africa"/>
    <x v="1"/>
    <s v="Mombasa"/>
    <s v="Corporate"/>
    <s v="Direct"/>
    <s v="F. Müller"/>
    <s v="Components"/>
    <s v="CMP-5911"/>
    <n v="1233.52"/>
    <n v="1543.76"/>
    <n v="0.126"/>
    <b v="0"/>
    <n v="13"/>
    <n v="17540.201120000002"/>
    <n v="16035.76"/>
    <n v="1504.4411200000013"/>
    <n v="8.5771030201277493E-2"/>
    <s v="Medium"/>
  </r>
  <r>
    <s v="ORD-2023-586275"/>
    <x v="325"/>
    <x v="13"/>
    <x v="1"/>
    <d v="2023-02-03T00:00:00"/>
    <d v="2023-02-03T00:00:00"/>
    <n v="14"/>
    <s v="Africa"/>
    <x v="1"/>
    <s v="Kisumu"/>
    <s v="Corporate"/>
    <s v="Retail"/>
    <s v="M. Rossi"/>
    <s v="Networking"/>
    <s v="NET-6036"/>
    <n v="884.36"/>
    <n v="1545.34"/>
    <n v="0.24299999999999999"/>
    <b v="0"/>
    <n v="41"/>
    <n v="47962.717579999997"/>
    <n v="36258.76"/>
    <n v="11703.957579999995"/>
    <n v="0.24402198562827965"/>
    <s v="Medium"/>
  </r>
  <r>
    <s v="ORD-2024-817997"/>
    <x v="326"/>
    <x v="29"/>
    <x v="10"/>
    <d v="2024-08-23T00:00:00"/>
    <d v="2024-08-23T00:00:00"/>
    <n v="26"/>
    <s v="Asia"/>
    <x v="9"/>
    <s v="Hyderabad"/>
    <s v="Corporate"/>
    <s v="Retail"/>
    <s v="J. Njeri"/>
    <s v="Networking"/>
    <s v="NET-4675"/>
    <n v="1339.24"/>
    <n v="1558.89"/>
    <n v="0.192"/>
    <b v="0"/>
    <n v="24"/>
    <n v="30229.994880000002"/>
    <n v="32141.760000000002"/>
    <n v="-1911.76512"/>
    <n v="-6.3240669659021781E-2"/>
    <s v="Medium"/>
  </r>
  <r>
    <s v="ORD-2025-149156"/>
    <x v="327"/>
    <x v="27"/>
    <x v="9"/>
    <d v="2025-02-06T00:00:00"/>
    <d v="2025-02-06T00:00:00"/>
    <n v="27"/>
    <s v="Americas"/>
    <x v="5"/>
    <s v="Brasília"/>
    <s v="Non-Profit"/>
    <s v="Retail"/>
    <s v="B. Chen"/>
    <s v="Laptops"/>
    <s v="LAP-7353"/>
    <n v="725.62"/>
    <n v="1559.19"/>
    <n v="0.19"/>
    <b v="0"/>
    <n v="12"/>
    <n v="15155.326800000001"/>
    <n v="8707.44"/>
    <n v="6447.8868000000002"/>
    <n v="0.42545349797405885"/>
    <s v="Medium"/>
  </r>
  <r>
    <s v="ORD-2024-668926"/>
    <x v="177"/>
    <x v="20"/>
    <x v="0"/>
    <d v="2024-11-14T00:00:00"/>
    <d v="2024-11-14T00:00:00"/>
    <n v="22"/>
    <s v="Asia"/>
    <x v="7"/>
    <s v="Osaka"/>
    <s v="Non-Profit"/>
    <s v="Direct"/>
    <s v="B. Chen"/>
    <s v="Phones"/>
    <s v="PHN-9789"/>
    <n v="1406.4"/>
    <n v="1564.76"/>
    <n v="0.185"/>
    <b v="0"/>
    <n v="17"/>
    <n v="21679.749799999998"/>
    <n v="23908.800000000003"/>
    <n v="-2229.0502000000051"/>
    <n v="-0.10281715520536151"/>
    <s v="Medium"/>
  </r>
  <r>
    <s v="ORD-2023-172095"/>
    <x v="328"/>
    <x v="7"/>
    <x v="6"/>
    <d v="2023-06-21T00:00:00"/>
    <d v="2023-06-21T00:00:00"/>
    <n v="28"/>
    <s v="Americas"/>
    <x v="3"/>
    <s v="Austin"/>
    <s v="Small Business"/>
    <s v="Marketplace"/>
    <s v="G. Dubois"/>
    <s v="Monitors"/>
    <s v="MON-6882"/>
    <n v="813.97"/>
    <n v="1568.83"/>
    <n v="1.7000000000000001E-2"/>
    <b v="0"/>
    <n v="15"/>
    <n v="23132.398349999996"/>
    <n v="12209.550000000001"/>
    <n v="10922.848349999995"/>
    <n v="0.4721883215364911"/>
    <s v="Medium"/>
  </r>
  <r>
    <s v="ORD-2023-545150"/>
    <x v="329"/>
    <x v="16"/>
    <x v="6"/>
    <d v="2023-04-08T00:00:00"/>
    <d v="2023-04-08T00:00:00"/>
    <n v="2"/>
    <s v="Africa"/>
    <x v="8"/>
    <s v="Abuja"/>
    <s v="Small Business"/>
    <s v="Marketplace"/>
    <s v="K. Singh"/>
    <s v="Monitors"/>
    <s v="MON-4373"/>
    <n v="720.35"/>
    <n v="1571.66"/>
    <n v="0.107"/>
    <b v="0"/>
    <n v="23"/>
    <n v="32280.32474"/>
    <n v="16568.05"/>
    <n v="15712.274740000001"/>
    <n v="0.4867446305622265"/>
    <s v="Medium"/>
  </r>
  <r>
    <s v="ORD-2024-635626"/>
    <x v="330"/>
    <x v="25"/>
    <x v="10"/>
    <d v="2024-09-19T00:00:00"/>
    <d v="2024-09-19T00:00:00"/>
    <n v="23"/>
    <s v="Europe"/>
    <x v="6"/>
    <s v="Berlin"/>
    <s v="Small Business"/>
    <s v="Direct"/>
    <s v="D. Smith"/>
    <s v="Monitors"/>
    <s v="MON-9967"/>
    <n v="1024.01"/>
    <n v="1580.97"/>
    <n v="3.6999999999999998E-2"/>
    <b v="0"/>
    <n v="27"/>
    <n v="41106.800970000004"/>
    <n v="27648.27"/>
    <n v="13458.530970000003"/>
    <n v="0.3274039976942531"/>
    <s v="Medium"/>
  </r>
  <r>
    <s v="ORD-2024-647571"/>
    <x v="331"/>
    <x v="8"/>
    <x v="3"/>
    <d v="2024-02-28T00:00:00"/>
    <d v="2024-02-28T00:00:00"/>
    <n v="22"/>
    <s v="Africa"/>
    <x v="1"/>
    <s v="Kisumu"/>
    <s v="Non-Profit"/>
    <s v="Online"/>
    <s v="K. Singh"/>
    <s v="Monitors"/>
    <s v="MON-2462"/>
    <n v="834.93"/>
    <n v="1588.53"/>
    <n v="0.126"/>
    <b v="0"/>
    <n v="6"/>
    <n v="8330.2513199999994"/>
    <n v="5009.58"/>
    <n v="3320.6713199999995"/>
    <n v="0.39862798761274343"/>
    <s v="Medium"/>
  </r>
  <r>
    <s v="ORD-2023-946143"/>
    <x v="86"/>
    <x v="26"/>
    <x v="1"/>
    <d v="2023-03-30T00:00:00"/>
    <d v="2023-03-30T00:00:00"/>
    <n v="16"/>
    <s v="Africa"/>
    <x v="4"/>
    <s v="Cape Town"/>
    <s v="Consumer"/>
    <s v="Distributor"/>
    <s v="K. Singh"/>
    <s v="Components"/>
    <s v="CMP-8230"/>
    <n v="1309.77"/>
    <n v="1589.07"/>
    <n v="0.10199999999999999"/>
    <b v="0"/>
    <n v="10"/>
    <n v="14269.848599999999"/>
    <n v="13097.7"/>
    <n v="1172.1485999999986"/>
    <n v="8.2141628328137886E-2"/>
    <s v="Medium"/>
  </r>
  <r>
    <s v="ORD-2024-993481"/>
    <x v="332"/>
    <x v="25"/>
    <x v="10"/>
    <d v="2024-09-12T00:00:00"/>
    <d v="2024-09-12T00:00:00"/>
    <n v="25"/>
    <s v="Asia"/>
    <x v="9"/>
    <s v="Mumbai"/>
    <s v="Consumer"/>
    <s v="Marketplace"/>
    <s v="C. Otieno"/>
    <s v="Phones"/>
    <s v="PHN-3077"/>
    <n v="1154.03"/>
    <n v="1590.36"/>
    <n v="0"/>
    <b v="0"/>
    <n v="18"/>
    <n v="28626.48"/>
    <n v="20772.54"/>
    <n v="7853.9399999999987"/>
    <n v="0.27435926456902837"/>
    <s v="Medium"/>
  </r>
  <r>
    <s v="ORD-2024-277241"/>
    <x v="38"/>
    <x v="21"/>
    <x v="3"/>
    <d v="2024-01-30T00:00:00"/>
    <d v="2024-01-30T00:00:00"/>
    <n v="2"/>
    <s v="Africa"/>
    <x v="4"/>
    <s v="Cape Town"/>
    <s v="Consumer"/>
    <s v="Direct"/>
    <s v="F. Müller"/>
    <s v="Accessories"/>
    <s v="ACC-6223"/>
    <n v="798.45"/>
    <n v="1592.02"/>
    <n v="6.6000000000000003E-2"/>
    <b v="0"/>
    <n v="18"/>
    <n v="26765.040239999998"/>
    <n v="14372.1"/>
    <n v="12392.940239999998"/>
    <n v="0.46302714768494585"/>
    <s v="Medium"/>
  </r>
  <r>
    <s v="ORD-2024-713332"/>
    <x v="333"/>
    <x v="4"/>
    <x v="4"/>
    <d v="2024-06-23T00:00:00"/>
    <d v="2024-06-23T00:00:00"/>
    <n v="18"/>
    <s v="Africa"/>
    <x v="1"/>
    <s v="Nairobi"/>
    <s v="Consumer"/>
    <s v="Distributor"/>
    <s v="D. Smith"/>
    <s v="Laptops"/>
    <s v="LAP-1739"/>
    <n v="1208.74"/>
    <n v="1594.78"/>
    <n v="5.8999999999999997E-2"/>
    <b v="0"/>
    <n v="39"/>
    <n v="58526.83122"/>
    <n v="47140.86"/>
    <n v="11385.971219999999"/>
    <n v="0.1945427589817838"/>
    <s v="Medium"/>
  </r>
  <r>
    <s v="ORD-2024-331408"/>
    <x v="318"/>
    <x v="8"/>
    <x v="3"/>
    <d v="2024-02-01T00:00:00"/>
    <d v="2024-02-01T00:00:00"/>
    <n v="0"/>
    <s v="Americas"/>
    <x v="3"/>
    <s v="Austin"/>
    <s v="Consumer"/>
    <s v="Distributor"/>
    <s v="H. Kim"/>
    <s v="Printers"/>
    <s v="PRN-4906"/>
    <n v="714.43"/>
    <n v="1595.52"/>
    <n v="0.19400000000000001"/>
    <b v="0"/>
    <n v="14"/>
    <n v="18003.847679999999"/>
    <n v="10002.019999999999"/>
    <n v="8001.8276800000003"/>
    <n v="0.44445097638151093"/>
    <s v="Medium"/>
  </r>
  <r>
    <s v="ORD-2024-527858"/>
    <x v="334"/>
    <x v="15"/>
    <x v="4"/>
    <d v="2024-05-12T00:00:00"/>
    <d v="2024-05-12T00:00:00"/>
    <n v="5"/>
    <s v="Africa"/>
    <x v="8"/>
    <s v="Abuja"/>
    <s v="Non-Profit"/>
    <s v="Distributor"/>
    <s v="L. Okafor"/>
    <s v="Laptops"/>
    <s v="LAP-9100"/>
    <n v="1163.99"/>
    <n v="1617.85"/>
    <n v="0.127"/>
    <b v="0"/>
    <n v="14"/>
    <n v="19773.362699999998"/>
    <n v="16295.86"/>
    <n v="3477.5026999999973"/>
    <n v="0.17586804797749436"/>
    <s v="Medium"/>
  </r>
  <r>
    <s v="ORD-2023-281890"/>
    <x v="335"/>
    <x v="26"/>
    <x v="1"/>
    <d v="2023-04-04T00:00:00"/>
    <d v="2023-04-04T00:00:00"/>
    <n v="22"/>
    <s v="Africa"/>
    <x v="4"/>
    <s v="Durban"/>
    <s v="Small Business"/>
    <s v="Retail"/>
    <s v="A. Patel"/>
    <s v="Components"/>
    <s v="CMP-2574"/>
    <n v="1113.7"/>
    <n v="1620.6"/>
    <n v="0.13900000000000001"/>
    <b v="0"/>
    <n v="11"/>
    <n v="15348.702599999999"/>
    <n v="12250.7"/>
    <n v="3098.002599999998"/>
    <n v="0.20184133348182787"/>
    <s v="Medium"/>
  </r>
  <r>
    <s v="ORD-2025-474368"/>
    <x v="281"/>
    <x v="6"/>
    <x v="2"/>
    <d v="2025-05-17T00:00:00"/>
    <d v="2025-05-17T00:00:00"/>
    <n v="20"/>
    <s v="Americas"/>
    <x v="3"/>
    <s v="Austin"/>
    <s v="Corporate"/>
    <s v="Direct"/>
    <s v="N. Brown"/>
    <s v="Phones"/>
    <s v="PHN-8776"/>
    <n v="932.26"/>
    <n v="1624.67"/>
    <n v="0.23499999999999999"/>
    <b v="0"/>
    <n v="28"/>
    <n v="34800.431400000001"/>
    <n v="26103.279999999999"/>
    <n v="8697.1514000000025"/>
    <n v="0.24991504559337163"/>
    <s v="Medium"/>
  </r>
  <r>
    <s v="ORD-2024-402240"/>
    <x v="336"/>
    <x v="15"/>
    <x v="4"/>
    <d v="2024-05-26T00:00:00"/>
    <d v="2024-05-26T00:00:00"/>
    <n v="25"/>
    <s v="Europe"/>
    <x v="6"/>
    <s v="Berlin"/>
    <s v="Non-Profit"/>
    <s v="Retail"/>
    <s v="B. Chen"/>
    <s v="Networking"/>
    <s v="NET-4228"/>
    <n v="930.71"/>
    <n v="1625.42"/>
    <n v="0.13800000000000001"/>
    <b v="0"/>
    <n v="7"/>
    <n v="9807.7842799999999"/>
    <n v="6514.97"/>
    <n v="3292.8142799999996"/>
    <n v="0.33573477821231196"/>
    <s v="Medium"/>
  </r>
  <r>
    <s v="ORD-2025-823055"/>
    <x v="337"/>
    <x v="5"/>
    <x v="5"/>
    <d v="2025-10-05T00:00:00"/>
    <d v="2025-10-05T00:00:00"/>
    <n v="27"/>
    <s v="Americas"/>
    <x v="5"/>
    <s v="Rio de Janeiro"/>
    <s v="Education"/>
    <s v="Online"/>
    <s v="C. Otieno"/>
    <s v="Monitors"/>
    <s v="MON-9274"/>
    <n v="660.78"/>
    <n v="1630.39"/>
    <n v="0.218"/>
    <b v="0"/>
    <n v="13"/>
    <n v="16574.544740000001"/>
    <n v="8590.14"/>
    <n v="7984.4047400000018"/>
    <n v="0.48172694123724097"/>
    <s v="Medium"/>
  </r>
  <r>
    <s v="ORD-2024-836421"/>
    <x v="338"/>
    <x v="0"/>
    <x v="0"/>
    <d v="2025-01-12T00:00:00"/>
    <d v="2025-01-12T00:00:00"/>
    <n v="29"/>
    <s v="Asia"/>
    <x v="10"/>
    <s v="Shenzhen"/>
    <s v="Education"/>
    <s v="Online"/>
    <s v="J. Njeri"/>
    <s v="Components"/>
    <s v="CMP-3720"/>
    <n v="1412.15"/>
    <n v="1631.04"/>
    <n v="8.9999999999999993E-3"/>
    <b v="0"/>
    <n v="6"/>
    <n v="9698.1638399999993"/>
    <n v="8472.9000000000015"/>
    <n v="1225.2638399999978"/>
    <n v="0.12633977526203535"/>
    <s v="Medium"/>
  </r>
  <r>
    <s v="ORD-2023-261081"/>
    <x v="339"/>
    <x v="24"/>
    <x v="7"/>
    <d v="2023-08-19T00:00:00"/>
    <d v="2023-08-19T00:00:00"/>
    <n v="26"/>
    <s v="Africa"/>
    <x v="1"/>
    <s v="Nairobi"/>
    <s v="Enterprise"/>
    <s v="Distributor"/>
    <s v="M. Rossi"/>
    <s v="Accessories"/>
    <s v="ACC-1238"/>
    <n v="661.45"/>
    <n v="1634.86"/>
    <n v="0"/>
    <b v="0"/>
    <n v="24"/>
    <n v="39236.639999999999"/>
    <n v="15874.800000000001"/>
    <n v="23361.839999999997"/>
    <n v="0.59540878118003981"/>
    <s v="Medium"/>
  </r>
  <r>
    <s v="ORD-2024-972999"/>
    <x v="340"/>
    <x v="19"/>
    <x v="10"/>
    <d v="2024-10-04T00:00:00"/>
    <d v="2024-10-04T00:00:00"/>
    <n v="28"/>
    <s v="Africa"/>
    <x v="4"/>
    <s v="Cape Town"/>
    <s v="Corporate"/>
    <s v="Marketplace"/>
    <s v="D. Smith"/>
    <s v="Monitors"/>
    <s v="MON-3504"/>
    <n v="1174.17"/>
    <n v="1641.61"/>
    <n v="0.122"/>
    <b v="0"/>
    <n v="9"/>
    <n v="12972.00222"/>
    <n v="10567.53"/>
    <n v="2404.4722199999997"/>
    <n v="0.18535860380079394"/>
    <s v="High"/>
  </r>
  <r>
    <s v="ORD-2023-912395"/>
    <x v="341"/>
    <x v="24"/>
    <x v="7"/>
    <d v="2023-08-25T00:00:00"/>
    <d v="2023-08-25T00:00:00"/>
    <n v="30"/>
    <s v="Americas"/>
    <x v="3"/>
    <s v="New York"/>
    <s v="Consumer"/>
    <s v="Retail"/>
    <s v="M. Rossi"/>
    <s v="Accessories"/>
    <s v="ACC-7078"/>
    <n v="1261.48"/>
    <n v="1643.18"/>
    <n v="0.151"/>
    <b v="0"/>
    <n v="23"/>
    <n v="32086.37586"/>
    <n v="29014.04"/>
    <n v="3072.3358599999992"/>
    <n v="9.5752037357079045E-2"/>
    <s v="High"/>
  </r>
  <r>
    <s v="ORD-2023-356427"/>
    <x v="24"/>
    <x v="16"/>
    <x v="6"/>
    <d v="2023-05-02T00:00:00"/>
    <d v="2023-05-02T00:00:00"/>
    <n v="19"/>
    <s v="Americas"/>
    <x v="11"/>
    <s v="Montreal"/>
    <s v="Consumer"/>
    <s v="Distributor"/>
    <s v="E. Garcia"/>
    <s v="Monitors"/>
    <s v="MON-6053"/>
    <n v="671.05"/>
    <n v="1645.48"/>
    <n v="0.13700000000000001"/>
    <b v="0"/>
    <n v="6"/>
    <n v="8520.2954399999999"/>
    <n v="4026.2999999999997"/>
    <n v="4493.9954400000006"/>
    <n v="0.52744596377517172"/>
    <s v="High"/>
  </r>
  <r>
    <s v="ORD-2024-704056"/>
    <x v="136"/>
    <x v="4"/>
    <x v="4"/>
    <d v="2024-06-25T00:00:00"/>
    <d v="2024-06-25T00:00:00"/>
    <n v="2"/>
    <s v="Europe"/>
    <x v="0"/>
    <s v="Birmingham"/>
    <s v="Small Business"/>
    <s v="Marketplace"/>
    <s v="L. Okafor"/>
    <s v="Accessories"/>
    <s v="ACC-7838"/>
    <n v="951.44"/>
    <n v="1646.43"/>
    <n v="0.11"/>
    <b v="0"/>
    <n v="24"/>
    <n v="35167.7448"/>
    <n v="22834.560000000001"/>
    <n v="12333.184799999999"/>
    <n v="0.35069592520473475"/>
    <s v="High"/>
  </r>
  <r>
    <s v="ORD-2024-499009"/>
    <x v="249"/>
    <x v="21"/>
    <x v="3"/>
    <d v="2024-01-27T00:00:00"/>
    <d v="2024-01-27T00:00:00"/>
    <n v="2"/>
    <s v="Americas"/>
    <x v="5"/>
    <s v="São Paulo"/>
    <s v="Non-Profit"/>
    <s v="Marketplace"/>
    <s v="N. Brown"/>
    <s v="Laptops"/>
    <s v="LAP-7056"/>
    <n v="1410.97"/>
    <n v="1650.75"/>
    <n v="0.13500000000000001"/>
    <b v="0"/>
    <n v="6"/>
    <n v="8567.3924999999999"/>
    <n v="8465.82"/>
    <n v="101.57250000000022"/>
    <n v="1.1855707556295596E-2"/>
    <s v="High"/>
  </r>
  <r>
    <s v="ORD-2024-553449"/>
    <x v="330"/>
    <x v="25"/>
    <x v="10"/>
    <d v="2024-09-18T00:00:00"/>
    <d v="2024-09-18T00:00:00"/>
    <n v="22"/>
    <s v="Asia"/>
    <x v="9"/>
    <s v="Delhi"/>
    <s v="Consumer"/>
    <s v="Direct"/>
    <s v="B. Chen"/>
    <s v="Components"/>
    <s v="CMP-3875"/>
    <n v="896.75"/>
    <n v="1651.14"/>
    <n v="2.5000000000000001E-2"/>
    <b v="0"/>
    <n v="15"/>
    <n v="24147.922500000001"/>
    <n v="13451.25"/>
    <n v="10696.672500000001"/>
    <n v="0.44296450346815552"/>
    <s v="High"/>
  </r>
  <r>
    <s v="ORD-2025-248586"/>
    <x v="342"/>
    <x v="5"/>
    <x v="5"/>
    <d v="2025-09-30T00:00:00"/>
    <d v="2025-09-30T00:00:00"/>
    <n v="18"/>
    <s v="Asia"/>
    <x v="7"/>
    <s v="Nagoya"/>
    <s v="Non-Profit"/>
    <s v="Marketplace"/>
    <s v="F. Müller"/>
    <s v="Monitors"/>
    <s v="MON-2998"/>
    <n v="1212.99"/>
    <n v="1653.64"/>
    <n v="0.107"/>
    <b v="0"/>
    <n v="8"/>
    <n v="11813.604160000001"/>
    <n v="9703.92"/>
    <n v="2109.6841600000007"/>
    <n v="0.17858090819931455"/>
    <s v="High"/>
  </r>
  <r>
    <s v="ORD-2024-555229"/>
    <x v="187"/>
    <x v="15"/>
    <x v="4"/>
    <d v="2024-05-22T00:00:00"/>
    <d v="2024-05-22T00:00:00"/>
    <n v="4"/>
    <s v="Africa"/>
    <x v="1"/>
    <s v="Nairobi"/>
    <s v="Corporate"/>
    <s v="Direct"/>
    <s v="H. Kim"/>
    <s v="Accessories"/>
    <s v="ACC-7354"/>
    <n v="857.42"/>
    <n v="1658.92"/>
    <n v="0.122"/>
    <b v="0"/>
    <n v="9"/>
    <n v="13108.78584"/>
    <n v="7716.78"/>
    <n v="5392.0058400000007"/>
    <n v="0.41132763215544305"/>
    <s v="High"/>
  </r>
  <r>
    <s v="ORD-2025-548982"/>
    <x v="343"/>
    <x v="6"/>
    <x v="2"/>
    <d v="2025-04-11T00:00:00"/>
    <d v="2025-04-11T00:00:00"/>
    <n v="4"/>
    <s v="Europe"/>
    <x v="2"/>
    <s v="Lyon"/>
    <s v="Education"/>
    <s v="Retail"/>
    <s v="E. Garcia"/>
    <s v="Networking"/>
    <s v="NET-9716"/>
    <n v="754.77"/>
    <n v="1666.18"/>
    <n v="0.13900000000000001"/>
    <b v="0"/>
    <n v="14"/>
    <n v="20084.133720000002"/>
    <n v="10566.779999999999"/>
    <n v="9517.3537200000028"/>
    <n v="0.47387424584424653"/>
    <s v="High"/>
  </r>
  <r>
    <s v="ORD-2024-855600"/>
    <x v="344"/>
    <x v="31"/>
    <x v="4"/>
    <d v="2024-05-19T00:00:00"/>
    <d v="2024-05-19T00:00:00"/>
    <n v="20"/>
    <s v="Europe"/>
    <x v="6"/>
    <s v="Frankfurt"/>
    <s v="Enterprise"/>
    <s v="Marketplace"/>
    <s v="C. Otieno"/>
    <s v="Laptops"/>
    <s v="LAP-5009"/>
    <n v="668.97"/>
    <n v="1667.44"/>
    <n v="3.4000000000000002E-2"/>
    <b v="0"/>
    <n v="15"/>
    <n v="24161.205600000001"/>
    <n v="10034.550000000001"/>
    <n v="14126.6556"/>
    <n v="0.58468339013679016"/>
    <s v="High"/>
  </r>
  <r>
    <s v="ORD-2023-744942"/>
    <x v="104"/>
    <x v="1"/>
    <x v="1"/>
    <d v="2023-03-18T00:00:00"/>
    <d v="2023-03-18T00:00:00"/>
    <n v="23"/>
    <s v="Asia"/>
    <x v="10"/>
    <s v="Beijing"/>
    <s v="Education"/>
    <s v="Distributor"/>
    <s v="K. Singh"/>
    <s v="Printers"/>
    <s v="PRN-1060"/>
    <n v="770.11"/>
    <n v="1667.82"/>
    <n v="6.9000000000000006E-2"/>
    <b v="0"/>
    <n v="7"/>
    <n v="10869.182940000001"/>
    <n v="5390.77"/>
    <n v="5478.4129400000002"/>
    <n v="0.50403171703355287"/>
    <s v="High"/>
  </r>
  <r>
    <s v="ORD-2024-594592"/>
    <x v="345"/>
    <x v="31"/>
    <x v="4"/>
    <d v="2024-04-25T00:00:00"/>
    <d v="2024-04-25T00:00:00"/>
    <n v="19"/>
    <s v="Asia"/>
    <x v="10"/>
    <s v="Shanghai"/>
    <s v="Corporate"/>
    <s v="Retail"/>
    <s v="K. Singh"/>
    <s v="Components"/>
    <s v="CMP-8196"/>
    <n v="1366.48"/>
    <n v="1678.14"/>
    <n v="0.154"/>
    <b v="0"/>
    <n v="10"/>
    <n v="14197.064400000001"/>
    <n v="13664.8"/>
    <n v="532.26440000000184"/>
    <n v="3.7491159087790132E-2"/>
    <s v="High"/>
  </r>
  <r>
    <s v="ORD-2023-178249"/>
    <x v="346"/>
    <x v="32"/>
    <x v="8"/>
    <d v="2024-01-20T00:00:00"/>
    <d v="2024-01-20T00:00:00"/>
    <n v="22"/>
    <s v="Africa"/>
    <x v="1"/>
    <s v="Kisumu"/>
    <s v="Corporate"/>
    <s v="Direct"/>
    <s v="L. Okafor"/>
    <s v="Phones"/>
    <s v="PHN-7924"/>
    <n v="1395.49"/>
    <n v="1679.42"/>
    <n v="0.20300000000000001"/>
    <b v="0"/>
    <n v="12"/>
    <n v="16061.972879999999"/>
    <n v="16745.88"/>
    <n v="-683.90712000000167"/>
    <n v="-4.2579272490964493E-2"/>
    <s v="High"/>
  </r>
  <r>
    <s v="ORD-2024-251426"/>
    <x v="258"/>
    <x v="3"/>
    <x v="3"/>
    <d v="2024-03-26T00:00:00"/>
    <d v="2024-03-26T00:00:00"/>
    <n v="17"/>
    <s v="Americas"/>
    <x v="3"/>
    <s v="San Francisco"/>
    <s v="Education"/>
    <s v="Direct"/>
    <s v="I. Johnson"/>
    <s v="Phones"/>
    <s v="PHN-3398"/>
    <n v="1137.4100000000001"/>
    <n v="1680.93"/>
    <n v="0.254"/>
    <b v="0"/>
    <n v="9"/>
    <n v="11285.764020000001"/>
    <n v="10236.69"/>
    <n v="1049.07402"/>
    <n v="9.2955516183121464E-2"/>
    <s v="High"/>
  </r>
  <r>
    <s v="ORD-2025-276968"/>
    <x v="347"/>
    <x v="12"/>
    <x v="9"/>
    <d v="2025-03-17T00:00:00"/>
    <d v="2025-03-17T00:00:00"/>
    <n v="20"/>
    <s v="Americas"/>
    <x v="3"/>
    <s v="San Francisco"/>
    <s v="Non-Profit"/>
    <s v="Marketplace"/>
    <s v="H. Kim"/>
    <s v="Phones"/>
    <s v="PHN-1044"/>
    <n v="1205.26"/>
    <n v="1696.35"/>
    <n v="1.9E-2"/>
    <b v="0"/>
    <n v="6"/>
    <n v="9984.7160999999978"/>
    <n v="7231.5599999999995"/>
    <n v="2753.1560999999983"/>
    <n v="0.27573704374028213"/>
    <s v="High"/>
  </r>
  <r>
    <s v="ORD-2025-705398"/>
    <x v="348"/>
    <x v="12"/>
    <x v="9"/>
    <d v="2025-02-15T00:00:00"/>
    <d v="2025-03-03T00:00:00"/>
    <n v="14"/>
    <s v="Americas"/>
    <x v="11"/>
    <s v="Toronto"/>
    <s v="Small Business"/>
    <s v="Retail"/>
    <s v="D. Smith"/>
    <s v="Components"/>
    <s v="CMP-5065"/>
    <n v="1133.47"/>
    <n v="1698.75"/>
    <n v="4.2999999999999997E-2"/>
    <b v="0"/>
    <n v="5"/>
    <n v="8128.5187499999993"/>
    <n v="5667.35"/>
    <n v="2461.1687499999989"/>
    <n v="0.30278194904821976"/>
    <s v="High"/>
  </r>
  <r>
    <s v="ORD-2023-623293"/>
    <x v="349"/>
    <x v="10"/>
    <x v="8"/>
    <d v="2023-10-29T00:00:00"/>
    <d v="2023-10-29T00:00:00"/>
    <n v="17"/>
    <s v="Asia"/>
    <x v="7"/>
    <s v="Nagoya"/>
    <s v="Non-Profit"/>
    <s v="Direct"/>
    <s v="H. Kim"/>
    <s v="Phones"/>
    <s v="PHN-8478"/>
    <n v="1102.19"/>
    <n v="1711.16"/>
    <n v="0.151"/>
    <b v="0"/>
    <n v="10"/>
    <n v="14527.748400000002"/>
    <n v="11021.900000000001"/>
    <n v="3505.8484000000008"/>
    <n v="0.24132083675127525"/>
    <s v="High"/>
  </r>
  <r>
    <s v="ORD-2025-960931"/>
    <x v="350"/>
    <x v="11"/>
    <x v="5"/>
    <d v="2025-08-26T00:00:00"/>
    <d v="2025-08-26T00:00:00"/>
    <n v="6"/>
    <s v="Americas"/>
    <x v="3"/>
    <s v="New York"/>
    <s v="Corporate"/>
    <s v="Retail"/>
    <s v="M. Rossi"/>
    <s v="Networking"/>
    <s v="NET-5196"/>
    <n v="1304.95"/>
    <n v="1712.03"/>
    <n v="0.21199999999999999"/>
    <b v="0"/>
    <n v="8"/>
    <n v="10792.637119999999"/>
    <n v="10439.6"/>
    <n v="353.03711999999905"/>
    <n v="3.2710922833287949E-2"/>
    <s v="High"/>
  </r>
  <r>
    <s v="ORD-2024-243988"/>
    <x v="351"/>
    <x v="3"/>
    <x v="3"/>
    <d v="2024-04-06T00:00:00"/>
    <d v="2024-04-06T00:00:00"/>
    <n v="24"/>
    <s v="Africa"/>
    <x v="8"/>
    <s v="Abuja"/>
    <s v="Consumer"/>
    <s v="Distributor"/>
    <s v="L. Okafor"/>
    <s v="Components"/>
    <s v="CMP-9001"/>
    <n v="1232.78"/>
    <n v="1731.75"/>
    <n v="9.2999999999999999E-2"/>
    <b v="0"/>
    <n v="16"/>
    <n v="25131.155999999999"/>
    <n v="19724.48"/>
    <n v="5406.6759999999995"/>
    <n v="0.21513837246484005"/>
    <s v="High"/>
  </r>
  <r>
    <s v="ORD-2025-718992"/>
    <x v="78"/>
    <x v="2"/>
    <x v="2"/>
    <d v="2025-07-10T00:00:00"/>
    <d v="2025-07-10T00:00:00"/>
    <n v="16"/>
    <s v="Asia"/>
    <x v="10"/>
    <s v="Shanghai"/>
    <s v="Enterprise"/>
    <s v="Direct"/>
    <s v="N. Brown"/>
    <s v="Components"/>
    <s v="CMP-8390"/>
    <n v="757.19"/>
    <n v="1735.41"/>
    <n v="0.13600000000000001"/>
    <b v="0"/>
    <n v="8"/>
    <n v="11995.153920000001"/>
    <n v="6057.52"/>
    <n v="5937.6339200000002"/>
    <n v="0.4950027285685718"/>
    <s v="High"/>
  </r>
  <r>
    <s v="ORD-2024-390951"/>
    <x v="352"/>
    <x v="0"/>
    <x v="0"/>
    <d v="2025-01-14T00:00:00"/>
    <d v="2025-01-14T00:00:00"/>
    <n v="25"/>
    <s v="Asia"/>
    <x v="9"/>
    <s v="Delhi"/>
    <s v="Small Business"/>
    <s v="Retail"/>
    <s v="M. Rossi"/>
    <s v="Printers"/>
    <s v="PRN-9378"/>
    <n v="1361.34"/>
    <n v="1737.9"/>
    <n v="7.6999999999999999E-2"/>
    <b v="0"/>
    <n v="14"/>
    <n v="22457.143800000002"/>
    <n v="19058.759999999998"/>
    <n v="3398.3838000000032"/>
    <n v="0.15132751654731813"/>
    <s v="High"/>
  </r>
  <r>
    <s v="ORD-2024-296582"/>
    <x v="353"/>
    <x v="21"/>
    <x v="3"/>
    <d v="2024-02-02T00:00:00"/>
    <d v="2024-02-02T00:00:00"/>
    <n v="22"/>
    <s v="Africa"/>
    <x v="4"/>
    <s v="Durban"/>
    <s v="Consumer"/>
    <s v="Online"/>
    <s v="K. Singh"/>
    <s v="Networking"/>
    <s v="NET-1412"/>
    <n v="1206.2"/>
    <n v="1759.79"/>
    <n v="0"/>
    <b v="0"/>
    <n v="6"/>
    <n v="10558.74"/>
    <n v="7237.2000000000007"/>
    <n v="3321.5399999999991"/>
    <n v="0.31457730751964713"/>
    <s v="High"/>
  </r>
  <r>
    <s v="ORD-2024-805860"/>
    <x v="354"/>
    <x v="19"/>
    <x v="10"/>
    <d v="2024-10-02T00:00:00"/>
    <d v="2024-10-02T00:00:00"/>
    <n v="19"/>
    <s v="Africa"/>
    <x v="1"/>
    <s v="Mombasa"/>
    <s v="Small Business"/>
    <s v="Retail"/>
    <s v="M. Rossi"/>
    <s v="Phones"/>
    <s v="PHN-8804"/>
    <n v="1338.99"/>
    <n v="1765.76"/>
    <n v="0.126"/>
    <b v="0"/>
    <n v="24"/>
    <n v="37038.581760000001"/>
    <n v="32135.760000000002"/>
    <n v="4902.8217599999989"/>
    <n v="0.1323706666677725"/>
    <s v="High"/>
  </r>
  <r>
    <s v="ORD-2023-369160"/>
    <x v="339"/>
    <x v="24"/>
    <x v="7"/>
    <d v="2023-08-13T00:00:00"/>
    <d v="2023-08-13T00:00:00"/>
    <n v="20"/>
    <s v="Americas"/>
    <x v="11"/>
    <s v="Montreal"/>
    <s v="Education"/>
    <s v="Direct"/>
    <s v="C. Otieno"/>
    <s v="Monitors"/>
    <s v="MON-3307"/>
    <n v="1082.3800000000001"/>
    <n v="1766.55"/>
    <n v="0.16400000000000001"/>
    <b v="0"/>
    <n v="20"/>
    <n v="29536.716"/>
    <n v="21647.600000000002"/>
    <n v="7889.1159999999982"/>
    <n v="0.26709523157550752"/>
    <s v="High"/>
  </r>
  <r>
    <s v="ORD-2023-159821"/>
    <x v="152"/>
    <x v="24"/>
    <x v="7"/>
    <d v="2023-07-08T00:00:00"/>
    <d v="2023-07-08T00:00:00"/>
    <n v="7"/>
    <s v="Africa"/>
    <x v="8"/>
    <s v="Port Harcourt"/>
    <s v="Corporate"/>
    <s v="Retail"/>
    <s v="A. Patel"/>
    <s v="Laptops"/>
    <s v="LAP-3904"/>
    <n v="834.26"/>
    <n v="1780.56"/>
    <n v="1.4E-2"/>
    <b v="0"/>
    <n v="47"/>
    <n v="82514.711519999997"/>
    <n v="39210.22"/>
    <n v="43304.491519999996"/>
    <n v="0.5248093427497933"/>
    <s v="High"/>
  </r>
  <r>
    <s v="ORD-2024-964950"/>
    <x v="355"/>
    <x v="20"/>
    <x v="0"/>
    <d v="2024-10-11T00:00:00"/>
    <d v="2024-10-11T00:00:00"/>
    <n v="1"/>
    <s v="Europe"/>
    <x v="0"/>
    <s v="Manchester"/>
    <s v="Non-Profit"/>
    <s v="Distributor"/>
    <s v="L. Okafor"/>
    <s v="Components"/>
    <s v="CMP-8127"/>
    <n v="1389.46"/>
    <n v="1784.7"/>
    <n v="0.14599999999999999"/>
    <b v="0"/>
    <n v="33"/>
    <n v="50296.415399999998"/>
    <n v="45852.18"/>
    <n v="4444.2353999999978"/>
    <n v="8.8360877503011831E-2"/>
    <s v="High"/>
  </r>
  <r>
    <s v="ORD-2024-442776"/>
    <x v="356"/>
    <x v="4"/>
    <x v="4"/>
    <d v="2024-07-21T00:00:00"/>
    <d v="2024-07-21T00:00:00"/>
    <n v="21"/>
    <s v="Africa"/>
    <x v="1"/>
    <s v="Kisumu"/>
    <s v="Small Business"/>
    <s v="Retail"/>
    <s v="K. Singh"/>
    <s v="Laptops"/>
    <s v="LAP-6577"/>
    <n v="753.43"/>
    <n v="1787.2"/>
    <n v="7.2999999999999995E-2"/>
    <b v="0"/>
    <n v="9"/>
    <n v="14910.609600000002"/>
    <n v="6780.87"/>
    <n v="8129.7396000000017"/>
    <n v="0.54523187301476939"/>
    <s v="High"/>
  </r>
  <r>
    <s v="ORD-2023-292714"/>
    <x v="357"/>
    <x v="24"/>
    <x v="7"/>
    <d v="2023-08-01T00:00:00"/>
    <d v="2023-08-01T00:00:00"/>
    <n v="22"/>
    <s v="Europe"/>
    <x v="2"/>
    <s v="Marseille"/>
    <s v="Consumer"/>
    <s v="Marketplace"/>
    <s v="B. Chen"/>
    <s v="Printers"/>
    <s v="PRN-1504"/>
    <n v="1303.56"/>
    <n v="1791.37"/>
    <n v="0.126"/>
    <b v="0"/>
    <n v="22"/>
    <n v="34444.462359999998"/>
    <n v="28678.32"/>
    <n v="5766.142359999998"/>
    <n v="0.16740404596055358"/>
    <s v="High"/>
  </r>
  <r>
    <s v="ORD-2025-646342"/>
    <x v="358"/>
    <x v="11"/>
    <x v="5"/>
    <d v="2025-08-08T00:00:00"/>
    <d v="2025-08-08T00:00:00"/>
    <n v="6"/>
    <s v="Asia"/>
    <x v="7"/>
    <s v="Osaka"/>
    <s v="Consumer"/>
    <s v="Direct"/>
    <s v="N. Brown"/>
    <s v="Laptops"/>
    <s v="LAP-4828"/>
    <n v="1225.94"/>
    <n v="1793.08"/>
    <n v="0.13600000000000001"/>
    <b v="0"/>
    <n v="22"/>
    <n v="34082.864639999993"/>
    <n v="26970.68"/>
    <n v="7112.1846399999922"/>
    <n v="0.20867332353434462"/>
    <s v="High"/>
  </r>
  <r>
    <s v="ORD-2023-562894"/>
    <x v="104"/>
    <x v="1"/>
    <x v="1"/>
    <d v="2023-03-25T00:00:00"/>
    <d v="2023-03-25T00:00:00"/>
    <n v="30"/>
    <s v="Americas"/>
    <x v="11"/>
    <s v="Montreal"/>
    <s v="Enterprise"/>
    <s v="Online"/>
    <s v="D. Smith"/>
    <s v="Phones"/>
    <s v="PHN-4854"/>
    <n v="1242.6600000000001"/>
    <n v="1794.07"/>
    <n v="8.8999999999999996E-2"/>
    <b v="0"/>
    <n v="16"/>
    <n v="26150.364320000001"/>
    <n v="19882.560000000001"/>
    <n v="6267.8043199999993"/>
    <n v="0.23968325042440553"/>
    <s v="High"/>
  </r>
  <r>
    <s v="ORD-2024-223618"/>
    <x v="359"/>
    <x v="4"/>
    <x v="4"/>
    <d v="2024-06-11T00:00:00"/>
    <d v="2024-06-11T00:00:00"/>
    <n v="1"/>
    <s v="Europe"/>
    <x v="0"/>
    <s v="Birmingham"/>
    <s v="Small Business"/>
    <s v="Marketplace"/>
    <s v="M. Rossi"/>
    <s v="Laptops"/>
    <s v="LAP-9230"/>
    <n v="1187.1300000000001"/>
    <n v="1795.17"/>
    <n v="1.2E-2"/>
    <b v="0"/>
    <n v="17"/>
    <n v="30151.675319999998"/>
    <n v="20181.210000000003"/>
    <n v="9970.4653199999957"/>
    <n v="0.33067699271046663"/>
    <s v="High"/>
  </r>
  <r>
    <s v="ORD-2024-907733"/>
    <x v="258"/>
    <x v="3"/>
    <x v="3"/>
    <d v="2024-03-22T00:00:00"/>
    <d v="2024-03-22T00:00:00"/>
    <n v="13"/>
    <s v="Europe"/>
    <x v="0"/>
    <s v="Manchester"/>
    <s v="Consumer"/>
    <s v="Online"/>
    <s v="E. Garcia"/>
    <s v="Laptops"/>
    <s v="LAP-8633"/>
    <n v="985.45"/>
    <n v="1802.44"/>
    <n v="8.9999999999999993E-3"/>
    <b v="0"/>
    <n v="19"/>
    <n v="33938.142760000002"/>
    <n v="18723.55"/>
    <n v="15214.592760000003"/>
    <n v="0.44830363486867486"/>
    <s v="High"/>
  </r>
  <r>
    <s v="ORD-2024-687100"/>
    <x v="360"/>
    <x v="19"/>
    <x v="10"/>
    <d v="2024-10-07T00:00:00"/>
    <d v="2024-10-07T00:00:00"/>
    <n v="27"/>
    <s v="Africa"/>
    <x v="1"/>
    <s v="Kisumu"/>
    <s v="Consumer"/>
    <s v="Retail"/>
    <s v="L. Okafor"/>
    <s v="Printers"/>
    <s v="PRN-6068"/>
    <n v="1248.3900000000001"/>
    <n v="1805.11"/>
    <n v="0.20300000000000001"/>
    <b v="0"/>
    <n v="11"/>
    <n v="15825.399369999997"/>
    <n v="13732.29"/>
    <n v="2093.1093699999965"/>
    <n v="0.13226265707820786"/>
    <s v="High"/>
  </r>
  <r>
    <s v="ORD-2025-330203"/>
    <x v="361"/>
    <x v="14"/>
    <x v="9"/>
    <d v="2025-04-17T00:00:00"/>
    <d v="2025-04-17T00:00:00"/>
    <n v="23"/>
    <s v="Europe"/>
    <x v="0"/>
    <s v="London"/>
    <s v="Consumer"/>
    <s v="Retail"/>
    <s v="H. Kim"/>
    <s v="Networking"/>
    <s v="NET-7166"/>
    <n v="1421.19"/>
    <n v="1808.26"/>
    <n v="0.104"/>
    <b v="0"/>
    <n v="13"/>
    <n v="21062.61248"/>
    <n v="18475.47"/>
    <n v="2587.1424799999986"/>
    <n v="0.12283103449093123"/>
    <s v="High"/>
  </r>
  <r>
    <s v="ORD-2024-301260"/>
    <x v="362"/>
    <x v="29"/>
    <x v="10"/>
    <d v="2024-07-31T00:00:00"/>
    <d v="2024-07-31T00:00:00"/>
    <n v="2"/>
    <s v="Americas"/>
    <x v="3"/>
    <s v="New York"/>
    <s v="Education"/>
    <s v="Marketplace"/>
    <s v="I. Johnson"/>
    <s v="Printers"/>
    <s v="PRN-2829"/>
    <n v="798.97"/>
    <n v="1814.06"/>
    <n v="0.122"/>
    <b v="0"/>
    <n v="16"/>
    <n v="25483.91488"/>
    <n v="12783.52"/>
    <n v="12700.39488"/>
    <n v="0.49836906691159061"/>
    <s v="High"/>
  </r>
  <r>
    <s v="ORD-2024-333192"/>
    <x v="363"/>
    <x v="20"/>
    <x v="0"/>
    <d v="2024-11-04T00:00:00"/>
    <d v="2024-11-04T00:00:00"/>
    <n v="6"/>
    <s v="Africa"/>
    <x v="1"/>
    <s v="Nairobi"/>
    <s v="Corporate"/>
    <s v="Distributor"/>
    <s v="M. Rossi"/>
    <s v="Printers"/>
    <s v="PRN-4893"/>
    <n v="805.81"/>
    <n v="1823.04"/>
    <n v="0"/>
    <b v="0"/>
    <n v="11"/>
    <n v="20053.439999999999"/>
    <n v="8863.91"/>
    <n v="11189.529999999999"/>
    <n v="0.55798556257679477"/>
    <s v="High"/>
  </r>
  <r>
    <s v="ORD-2024-966651"/>
    <x v="364"/>
    <x v="20"/>
    <x v="0"/>
    <d v="2024-11-08T00:00:00"/>
    <d v="2024-11-08T00:00:00"/>
    <n v="25"/>
    <s v="Africa"/>
    <x v="8"/>
    <s v="Lagos"/>
    <s v="Enterprise"/>
    <s v="Online"/>
    <s v="O. Wang"/>
    <s v="Networking"/>
    <s v="NET-5268"/>
    <n v="859.35"/>
    <n v="1825.61"/>
    <n v="0.187"/>
    <b v="0"/>
    <n v="24"/>
    <n v="35621.302319999995"/>
    <n v="20624.400000000001"/>
    <n v="14996.902319999994"/>
    <n v="0.42100937762681989"/>
    <s v="High"/>
  </r>
  <r>
    <s v="ORD-2024-766980"/>
    <x v="321"/>
    <x v="22"/>
    <x v="0"/>
    <d v="2024-11-07T00:00:00"/>
    <d v="2024-11-07T00:00:00"/>
    <n v="3"/>
    <s v="Europe"/>
    <x v="2"/>
    <s v="Lyon"/>
    <s v="Corporate"/>
    <s v="Online"/>
    <s v="O. Wang"/>
    <s v="Monitors"/>
    <s v="MON-1118"/>
    <n v="740.68"/>
    <n v="1837.19"/>
    <n v="0.19700000000000001"/>
    <b v="0"/>
    <n v="17"/>
    <n v="25079.480689999997"/>
    <n v="12591.56"/>
    <n v="12487.920689999997"/>
    <n v="0.4979337827748298"/>
    <s v="High"/>
  </r>
  <r>
    <s v="ORD-2024-331226"/>
    <x v="47"/>
    <x v="22"/>
    <x v="0"/>
    <d v="2024-12-19T00:00:00"/>
    <d v="2024-12-19T00:00:00"/>
    <n v="19"/>
    <s v="Africa"/>
    <x v="1"/>
    <s v="Kisumu"/>
    <s v="Corporate"/>
    <s v="Online"/>
    <s v="L. Okafor"/>
    <s v="Phones"/>
    <s v="PHN-1919"/>
    <n v="1195.98"/>
    <n v="1841.9"/>
    <n v="5.5E-2"/>
    <b v="0"/>
    <n v="19"/>
    <n v="33071.3145"/>
    <n v="22723.62"/>
    <n v="10347.694500000001"/>
    <n v="0.31289032977506842"/>
    <s v="High"/>
  </r>
  <r>
    <s v="ORD-2023-243704"/>
    <x v="365"/>
    <x v="9"/>
    <x v="7"/>
    <d v="2023-09-19T00:00:00"/>
    <d v="2023-09-19T00:00:00"/>
    <n v="21"/>
    <s v="Europe"/>
    <x v="2"/>
    <s v="Lyon"/>
    <s v="Small Business"/>
    <s v="Direct"/>
    <s v="B. Chen"/>
    <s v="Printers"/>
    <s v="PRN-7079"/>
    <n v="784.46"/>
    <n v="1843.51"/>
    <n v="0.13800000000000001"/>
    <b v="0"/>
    <n v="23"/>
    <n v="36549.429260000004"/>
    <n v="18042.580000000002"/>
    <n v="18506.849260000003"/>
    <n v="0.50635125184441798"/>
    <s v="High"/>
  </r>
  <r>
    <s v="ORD-2024-584090"/>
    <x v="366"/>
    <x v="4"/>
    <x v="4"/>
    <d v="2024-06-26T00:00:00"/>
    <d v="2024-06-26T00:00:00"/>
    <n v="19"/>
    <s v="Europe"/>
    <x v="6"/>
    <s v="Berlin"/>
    <s v="Non-Profit"/>
    <s v="Marketplace"/>
    <s v="M. Rossi"/>
    <s v="Components"/>
    <s v="CMP-2040"/>
    <n v="1064.32"/>
    <n v="1848.39"/>
    <n v="7.2999999999999995E-2"/>
    <b v="0"/>
    <n v="38"/>
    <n v="65111.38614000001"/>
    <n v="40444.159999999996"/>
    <n v="24667.226140000013"/>
    <n v="0.3788465827921631"/>
    <s v="High"/>
  </r>
  <r>
    <s v="ORD-2024-329104"/>
    <x v="21"/>
    <x v="15"/>
    <x v="4"/>
    <d v="2024-06-14T00:00:00"/>
    <d v="2024-06-14T00:00:00"/>
    <n v="22"/>
    <s v="Europe"/>
    <x v="2"/>
    <s v="Marseille"/>
    <s v="Small Business"/>
    <s v="Online"/>
    <s v="N. Brown"/>
    <s v="Monitors"/>
    <s v="MON-2100"/>
    <n v="1481.74"/>
    <n v="1848.97"/>
    <n v="0.254"/>
    <b v="0"/>
    <n v="9"/>
    <n v="12413.98458"/>
    <n v="13335.66"/>
    <n v="-921.67541999999958"/>
    <n v="-7.4244930309072407E-2"/>
    <s v="High"/>
  </r>
  <r>
    <s v="ORD-2024-783321"/>
    <x v="367"/>
    <x v="22"/>
    <x v="0"/>
    <d v="2024-12-15T00:00:00"/>
    <d v="2024-12-15T00:00:00"/>
    <n v="25"/>
    <s v="Europe"/>
    <x v="2"/>
    <s v="Paris"/>
    <s v="Corporate"/>
    <s v="Online"/>
    <s v="G. Dubois"/>
    <s v="Printers"/>
    <s v="PRN-4911"/>
    <n v="1203.58"/>
    <n v="1856.16"/>
    <n v="0.129"/>
    <b v="0"/>
    <n v="22"/>
    <n v="35567.737920000007"/>
    <n v="26478.76"/>
    <n v="9088.9779200000085"/>
    <n v="0.25553994860295032"/>
    <s v="High"/>
  </r>
  <r>
    <s v="ORD-2024-776337"/>
    <x v="368"/>
    <x v="22"/>
    <x v="0"/>
    <d v="2024-11-21T00:00:00"/>
    <d v="2024-11-21T00:00:00"/>
    <n v="9"/>
    <s v="Asia"/>
    <x v="9"/>
    <s v="Mumbai"/>
    <s v="Corporate"/>
    <s v="Direct"/>
    <s v="H. Kim"/>
    <s v="Laptops"/>
    <s v="LAP-5078"/>
    <n v="903.41"/>
    <n v="1860.41"/>
    <n v="0.108"/>
    <b v="0"/>
    <n v="5"/>
    <n v="8297.4286000000011"/>
    <n v="4517.05"/>
    <n v="3780.3786000000009"/>
    <n v="0.455608451996803"/>
    <s v="High"/>
  </r>
  <r>
    <s v="ORD-2024-202166"/>
    <x v="369"/>
    <x v="15"/>
    <x v="4"/>
    <d v="2024-05-18T00:00:00"/>
    <d v="2024-05-18T00:00:00"/>
    <n v="13"/>
    <s v="Europe"/>
    <x v="2"/>
    <s v="Marseille"/>
    <s v="Corporate"/>
    <s v="Marketplace"/>
    <s v="A. Patel"/>
    <s v="Components"/>
    <s v="CMP-3313"/>
    <n v="1264.04"/>
    <n v="1870.89"/>
    <n v="0"/>
    <b v="0"/>
    <n v="13"/>
    <n v="24321.57"/>
    <n v="16432.52"/>
    <n v="7889.0499999999993"/>
    <n v="0.32436433996653996"/>
    <s v="High"/>
  </r>
  <r>
    <s v="ORD-2023-809913"/>
    <x v="275"/>
    <x v="16"/>
    <x v="6"/>
    <d v="2023-05-10T00:00:00"/>
    <d v="2023-05-10T00:00:00"/>
    <n v="19"/>
    <s v="Asia"/>
    <x v="10"/>
    <s v="Shanghai"/>
    <s v="Corporate"/>
    <s v="Retail"/>
    <s v="A. Patel"/>
    <s v="Components"/>
    <s v="CMP-7371"/>
    <n v="882.33"/>
    <n v="1880.15"/>
    <n v="0.05"/>
    <b v="0"/>
    <n v="5"/>
    <n v="8930.7124999999996"/>
    <n v="4411.6500000000005"/>
    <n v="4519.0624999999991"/>
    <n v="0.50601365792482955"/>
    <s v="High"/>
  </r>
  <r>
    <s v="ORD-2024-638884"/>
    <x v="370"/>
    <x v="15"/>
    <x v="4"/>
    <d v="2024-05-26T00:00:00"/>
    <d v="2024-06-11T00:00:00"/>
    <n v="14"/>
    <s v="Africa"/>
    <x v="8"/>
    <s v="Abuja"/>
    <s v="Enterprise"/>
    <s v="Online"/>
    <s v="F. Müller"/>
    <s v="Accessories"/>
    <s v="ACC-5177"/>
    <n v="1227.08"/>
    <n v="1896.62"/>
    <n v="0"/>
    <b v="0"/>
    <n v="18"/>
    <n v="34139.159999999996"/>
    <n v="22087.439999999999"/>
    <n v="12051.719999999998"/>
    <n v="0.353017473189147"/>
    <s v="High"/>
  </r>
  <r>
    <s v="ORD-2025-532859"/>
    <x v="41"/>
    <x v="14"/>
    <x v="9"/>
    <d v="2025-03-27T00:00:00"/>
    <d v="2025-03-27T00:00:00"/>
    <n v="16"/>
    <s v="Asia"/>
    <x v="7"/>
    <s v="Tokyo"/>
    <s v="Enterprise"/>
    <s v="Distributor"/>
    <s v="B. Chen"/>
    <s v="Printers"/>
    <s v="PRN-5264"/>
    <n v="1317.58"/>
    <n v="1897.74"/>
    <n v="8.1000000000000003E-2"/>
    <b v="0"/>
    <n v="6"/>
    <n v="10464.138360000001"/>
    <n v="7905.48"/>
    <n v="2558.6583600000013"/>
    <n v="0.24451687009230266"/>
    <s v="High"/>
  </r>
  <r>
    <s v="ORD-2025-915869"/>
    <x v="371"/>
    <x v="12"/>
    <x v="9"/>
    <d v="2025-02-15T00:00:00"/>
    <d v="2025-02-15T00:00:00"/>
    <n v="9"/>
    <s v="Americas"/>
    <x v="5"/>
    <s v="São Paulo"/>
    <s v="Non-Profit"/>
    <s v="Distributor"/>
    <s v="F. Müller"/>
    <s v="Networking"/>
    <s v="NET-5482"/>
    <n v="837.39"/>
    <n v="1905.42"/>
    <n v="3.2000000000000001E-2"/>
    <b v="0"/>
    <n v="18"/>
    <n v="33200.038079999998"/>
    <n v="15073.02"/>
    <n v="18127.018079999998"/>
    <n v="0.54599389423350919"/>
    <s v="High"/>
  </r>
  <r>
    <s v="ORD-2024-906395"/>
    <x v="372"/>
    <x v="3"/>
    <x v="3"/>
    <d v="2024-04-09T00:00:00"/>
    <d v="2024-04-09T00:00:00"/>
    <n v="30"/>
    <s v="Europe"/>
    <x v="2"/>
    <s v="Lyon"/>
    <s v="Corporate"/>
    <s v="Direct"/>
    <s v="I. Johnson"/>
    <s v="Components"/>
    <s v="CMP-8002"/>
    <n v="1176.56"/>
    <n v="1911.89"/>
    <n v="0.11899999999999999"/>
    <b v="0"/>
    <n v="20"/>
    <n v="33687.501800000005"/>
    <n v="23531.199999999997"/>
    <n v="10156.301800000008"/>
    <n v="0.30148575160892477"/>
    <s v="High"/>
  </r>
  <r>
    <s v="ORD-2024-247979"/>
    <x v="308"/>
    <x v="22"/>
    <x v="0"/>
    <d v="2024-11-18T00:00:00"/>
    <d v="2024-11-18T00:00:00"/>
    <n v="16"/>
    <s v="Asia"/>
    <x v="9"/>
    <s v="Mumbai"/>
    <s v="Small Business"/>
    <s v="Distributor"/>
    <s v="O. Wang"/>
    <s v="Monitors"/>
    <s v="MON-5188"/>
    <n v="1233.58"/>
    <n v="1912.51"/>
    <n v="0.255"/>
    <b v="0"/>
    <n v="51"/>
    <n v="72665.817450000002"/>
    <n v="62912.579999999994"/>
    <n v="9753.2374500000078"/>
    <n v="0.134220432553601"/>
    <s v="High"/>
  </r>
  <r>
    <s v="ORD-2025-898843"/>
    <x v="373"/>
    <x v="12"/>
    <x v="9"/>
    <d v="2025-03-04T00:00:00"/>
    <d v="2025-03-04T00:00:00"/>
    <n v="30"/>
    <s v="Asia"/>
    <x v="7"/>
    <s v="Osaka"/>
    <s v="Education"/>
    <s v="Distributor"/>
    <s v="L. Okafor"/>
    <s v="Accessories"/>
    <s v="ACC-9591"/>
    <n v="766.59"/>
    <n v="1912.8"/>
    <n v="0.19600000000000001"/>
    <b v="0"/>
    <n v="5"/>
    <n v="7689.4560000000001"/>
    <n v="3832.9500000000003"/>
    <n v="3856.5059999999999"/>
    <n v="0.50153170783472845"/>
    <s v="High"/>
  </r>
  <r>
    <s v="ORD-2023-664749"/>
    <x v="374"/>
    <x v="9"/>
    <x v="7"/>
    <d v="2023-09-11T00:00:00"/>
    <d v="2023-09-11T00:00:00"/>
    <n v="15"/>
    <s v="Europe"/>
    <x v="0"/>
    <s v="London"/>
    <s v="Consumer"/>
    <s v="Marketplace"/>
    <s v="N. Brown"/>
    <s v="Printers"/>
    <s v="PRN-5107"/>
    <n v="943.79"/>
    <n v="1913.76"/>
    <n v="9.0999999999999998E-2"/>
    <b v="0"/>
    <n v="9"/>
    <n v="15656.47056"/>
    <n v="8494.11"/>
    <n v="7162.3605599999992"/>
    <n v="0.45746967891338081"/>
    <s v="High"/>
  </r>
  <r>
    <s v="ORD-2025-331237"/>
    <x v="18"/>
    <x v="14"/>
    <x v="9"/>
    <d v="2025-03-25T00:00:00"/>
    <d v="2025-03-25T00:00:00"/>
    <n v="1"/>
    <s v="Asia"/>
    <x v="10"/>
    <s v="Beijing"/>
    <s v="Non-Profit"/>
    <s v="Online"/>
    <s v="G. Dubois"/>
    <s v="Networking"/>
    <s v="NET-8329"/>
    <n v="1133.03"/>
    <n v="1921.51"/>
    <n v="0.10100000000000001"/>
    <b v="0"/>
    <n v="5"/>
    <n v="8637.1874499999994"/>
    <n v="5665.15"/>
    <n v="2972.0374499999998"/>
    <n v="0.3440978289755654"/>
    <s v="High"/>
  </r>
  <r>
    <s v="ORD-2023-867175"/>
    <x v="375"/>
    <x v="9"/>
    <x v="7"/>
    <d v="2023-08-15T00:00:00"/>
    <d v="2023-08-15T00:00:00"/>
    <n v="5"/>
    <s v="Americas"/>
    <x v="5"/>
    <s v="São Paulo"/>
    <s v="Education"/>
    <s v="Direct"/>
    <s v="G. Dubois"/>
    <s v="Networking"/>
    <s v="NET-2894"/>
    <n v="1307.52"/>
    <n v="1921.65"/>
    <n v="0.123"/>
    <b v="0"/>
    <n v="13"/>
    <n v="21908.731650000002"/>
    <n v="16997.759999999998"/>
    <n v="4910.9716500000031"/>
    <n v="0.22415590863289445"/>
    <s v="High"/>
  </r>
  <r>
    <s v="ORD-2025-803803"/>
    <x v="278"/>
    <x v="11"/>
    <x v="5"/>
    <d v="2025-09-05T00:00:00"/>
    <d v="2025-09-05T00:00:00"/>
    <n v="8"/>
    <s v="Africa"/>
    <x v="8"/>
    <s v="Port Harcourt"/>
    <s v="Small Business"/>
    <s v="Marketplace"/>
    <s v="E. Garcia"/>
    <s v="Laptops"/>
    <s v="LAP-7553"/>
    <n v="1271.0999999999999"/>
    <n v="1932.42"/>
    <n v="0.25"/>
    <b v="0"/>
    <n v="21"/>
    <n v="30435.614999999998"/>
    <n v="26693.1"/>
    <n v="3742.5149999999994"/>
    <n v="0.12296498690760807"/>
    <s v="High"/>
  </r>
  <r>
    <s v="ORD-2024-206311"/>
    <x v="82"/>
    <x v="21"/>
    <x v="3"/>
    <d v="2024-01-15T00:00:00"/>
    <d v="2024-01-15T00:00:00"/>
    <n v="2"/>
    <s v="Americas"/>
    <x v="3"/>
    <s v="San Francisco"/>
    <s v="Non-Profit"/>
    <s v="Direct"/>
    <s v="E. Garcia"/>
    <s v="Components"/>
    <s v="CMP-2410"/>
    <n v="1061.3699999999999"/>
    <n v="1938.33"/>
    <n v="0.17"/>
    <b v="0"/>
    <n v="4"/>
    <n v="6435.2555999999995"/>
    <n v="4245.4799999999996"/>
    <n v="2189.7755999999999"/>
    <n v="0.34027795259600879"/>
    <s v="High"/>
  </r>
  <r>
    <s v="ORD-2024-444710"/>
    <x v="376"/>
    <x v="19"/>
    <x v="10"/>
    <d v="2024-10-01T00:00:00"/>
    <d v="2024-10-01T00:00:00"/>
    <n v="9"/>
    <s v="Americas"/>
    <x v="5"/>
    <s v="São Paulo"/>
    <s v="Non-Profit"/>
    <s v="Online"/>
    <s v="K. Singh"/>
    <s v="Monitors"/>
    <s v="MON-6341"/>
    <n v="1378.8"/>
    <n v="1952.04"/>
    <n v="0.159"/>
    <b v="0"/>
    <n v="19"/>
    <n v="31191.64716"/>
    <n v="26197.200000000001"/>
    <n v="4994.4471599999997"/>
    <n v="0.16012130216723058"/>
    <s v="High"/>
  </r>
  <r>
    <s v="ORD-2025-662997"/>
    <x v="377"/>
    <x v="14"/>
    <x v="9"/>
    <d v="2025-04-04T00:00:00"/>
    <d v="2025-04-04T00:00:00"/>
    <n v="4"/>
    <s v="Africa"/>
    <x v="1"/>
    <s v="Nakuru"/>
    <s v="Corporate"/>
    <s v="Direct"/>
    <s v="C. Otieno"/>
    <s v="Laptops"/>
    <s v="LAP-7136"/>
    <n v="862.08"/>
    <n v="1952.83"/>
    <n v="0"/>
    <b v="0"/>
    <n v="7"/>
    <n v="13669.81"/>
    <n v="6034.56"/>
    <n v="7635.2499999999991"/>
    <n v="0.5585483631447693"/>
    <s v="High"/>
  </r>
  <r>
    <s v="ORD-2023-674887"/>
    <x v="378"/>
    <x v="32"/>
    <x v="8"/>
    <d v="2023-12-19T00:00:00"/>
    <d v="2023-12-19T00:00:00"/>
    <n v="3"/>
    <s v="Asia"/>
    <x v="10"/>
    <s v="Beijing"/>
    <s v="Education"/>
    <s v="Retail"/>
    <s v="A. Patel"/>
    <s v="Accessories"/>
    <s v="ACC-9644"/>
    <n v="1415.05"/>
    <n v="1972.38"/>
    <n v="0"/>
    <b v="0"/>
    <n v="12"/>
    <n v="23668.560000000001"/>
    <n v="16980.599999999999"/>
    <n v="6687.9600000000028"/>
    <n v="0.28256725377462771"/>
    <s v="High"/>
  </r>
  <r>
    <s v="ORD-2025-874124"/>
    <x v="90"/>
    <x v="23"/>
    <x v="2"/>
    <d v="2025-05-12T00:00:00"/>
    <d v="2025-05-28T00:00:00"/>
    <n v="14"/>
    <s v="Americas"/>
    <x v="11"/>
    <s v="Vancouver"/>
    <s v="Non-Profit"/>
    <s v="Distributor"/>
    <s v="F. Müller"/>
    <s v="Printers"/>
    <s v="PRN-2407"/>
    <n v="883.5"/>
    <n v="1978.91"/>
    <n v="5.3999999999999999E-2"/>
    <b v="0"/>
    <n v="27"/>
    <n v="50545.319219999998"/>
    <n v="23854.5"/>
    <n v="26690.819219999998"/>
    <n v="0.52805718970390547"/>
    <s v="High"/>
  </r>
  <r>
    <s v="ORD-2025-766923"/>
    <x v="313"/>
    <x v="12"/>
    <x v="9"/>
    <d v="2025-02-15T00:00:00"/>
    <d v="2025-02-15T00:00:00"/>
    <n v="0"/>
    <s v="Europe"/>
    <x v="6"/>
    <s v="Frankfurt"/>
    <s v="Small Business"/>
    <s v="Marketplace"/>
    <s v="L. Okafor"/>
    <s v="Accessories"/>
    <s v="ACC-3989"/>
    <n v="815.83"/>
    <n v="1982.18"/>
    <n v="0.127"/>
    <b v="0"/>
    <n v="6"/>
    <n v="10382.65884"/>
    <n v="4894.9800000000005"/>
    <n v="5487.6788399999996"/>
    <n v="0.52854272923408507"/>
    <s v="High"/>
  </r>
  <r>
    <s v="ORD-2025-944081"/>
    <x v="361"/>
    <x v="14"/>
    <x v="9"/>
    <d v="2025-03-26T00:00:00"/>
    <d v="2025-03-26T00:00:00"/>
    <n v="1"/>
    <s v="Africa"/>
    <x v="8"/>
    <s v="Lagos"/>
    <s v="Education"/>
    <s v="Distributor"/>
    <s v="G. Dubois"/>
    <s v="Accessories"/>
    <s v="ACC-9533"/>
    <n v="1450.43"/>
    <n v="1994.67"/>
    <n v="0.1"/>
    <b v="0"/>
    <n v="24"/>
    <n v="43084.872000000003"/>
    <n v="34810.32"/>
    <n v="8274.5520000000033"/>
    <n v="0.19205237513529116"/>
    <s v="High"/>
  </r>
  <r>
    <s v="ORD-2025-440093"/>
    <x v="132"/>
    <x v="6"/>
    <x v="2"/>
    <d v="2025-04-26T00:00:00"/>
    <d v="2025-04-26T00:00:00"/>
    <n v="10"/>
    <s v="Africa"/>
    <x v="8"/>
    <s v="Port Harcourt"/>
    <s v="Enterprise"/>
    <s v="Marketplace"/>
    <s v="F. Müller"/>
    <s v="Laptops"/>
    <s v="LAP-3490"/>
    <n v="1457.44"/>
    <n v="1996.81"/>
    <n v="0.126"/>
    <b v="0"/>
    <n v="23"/>
    <n v="40139.874619999995"/>
    <n v="33521.120000000003"/>
    <n v="6618.7546199999924"/>
    <n v="0.16489225944672353"/>
    <s v="High"/>
  </r>
  <r>
    <s v="ORD-2024-192263"/>
    <x v="379"/>
    <x v="22"/>
    <x v="0"/>
    <d v="2024-12-21T00:00:00"/>
    <d v="2024-12-21T00:00:00"/>
    <n v="30"/>
    <s v="Europe"/>
    <x v="2"/>
    <s v="Marseille"/>
    <s v="Small Business"/>
    <s v="Direct"/>
    <s v="I. Johnson"/>
    <s v="Monitors"/>
    <s v="MON-7943"/>
    <n v="1122.68"/>
    <n v="1997.19"/>
    <n v="0.186"/>
    <b v="0"/>
    <n v="3"/>
    <n v="4877.1379800000004"/>
    <n v="3368.04"/>
    <n v="1509.0979800000005"/>
    <n v="0.30942285951073306"/>
    <s v="High"/>
  </r>
  <r>
    <s v="ORD-2023-422918"/>
    <x v="1"/>
    <x v="1"/>
    <x v="1"/>
    <d v="2023-03-20T00:00:00"/>
    <d v="2023-03-20T00:00:00"/>
    <n v="20"/>
    <s v="Europe"/>
    <x v="6"/>
    <s v="Berlin"/>
    <s v="Small Business"/>
    <s v="Direct"/>
    <s v="H. Kim"/>
    <s v="Laptops"/>
    <s v="LAP-3679"/>
    <n v="1200.78"/>
    <n v="2001.17"/>
    <n v="0.29199999999999998"/>
    <b v="0"/>
    <n v="18"/>
    <n v="25502.910479999999"/>
    <n v="21614.04"/>
    <n v="3888.8704799999978"/>
    <n v="0.15248732034132906"/>
    <s v="High"/>
  </r>
  <r>
    <s v="ORD-2024-647473"/>
    <x v="380"/>
    <x v="8"/>
    <x v="3"/>
    <d v="2024-03-04T00:00:00"/>
    <d v="2024-03-04T00:00:00"/>
    <n v="16"/>
    <s v="Asia"/>
    <x v="9"/>
    <s v="Delhi"/>
    <s v="Small Business"/>
    <s v="Marketplace"/>
    <s v="F. Müller"/>
    <s v="Phones"/>
    <s v="PHN-1717"/>
    <n v="1231.8"/>
    <n v="2015.99"/>
    <n v="0.26100000000000001"/>
    <b v="0"/>
    <n v="6"/>
    <n v="8938.8996600000009"/>
    <n v="7390.7999999999993"/>
    <n v="1548.0996600000017"/>
    <n v="0.17318682599464391"/>
    <s v="High"/>
  </r>
  <r>
    <s v="ORD-2023-139236"/>
    <x v="381"/>
    <x v="26"/>
    <x v="1"/>
    <d v="2023-03-20T00:00:00"/>
    <d v="2023-03-20T00:00:00"/>
    <n v="17"/>
    <s v="Asia"/>
    <x v="7"/>
    <s v="Nagoya"/>
    <s v="Small Business"/>
    <s v="Online"/>
    <s v="D. Smith"/>
    <s v="Networking"/>
    <s v="NET-7349"/>
    <n v="1171.17"/>
    <n v="2030.64"/>
    <n v="0.157"/>
    <b v="0"/>
    <n v="11"/>
    <n v="18830.12472"/>
    <n v="12882.87"/>
    <n v="5947.254719999999"/>
    <n v="0.31583724528830415"/>
    <s v="High"/>
  </r>
  <r>
    <s v="ORD-2024-901115"/>
    <x v="382"/>
    <x v="29"/>
    <x v="10"/>
    <d v="2024-08-02T00:00:00"/>
    <d v="2024-08-02T00:00:00"/>
    <n v="8"/>
    <s v="Americas"/>
    <x v="11"/>
    <s v="Montreal"/>
    <s v="Consumer"/>
    <s v="Direct"/>
    <s v="J. Njeri"/>
    <s v="Accessories"/>
    <s v="ACC-6626"/>
    <n v="986.81"/>
    <n v="2050.31"/>
    <n v="0.10299999999999999"/>
    <b v="0"/>
    <n v="43"/>
    <n v="79082.507010000001"/>
    <n v="42432.829999999994"/>
    <n v="36649.677010000007"/>
    <n v="0.46343595310358138"/>
    <s v="High"/>
  </r>
  <r>
    <s v="ORD-2023-854471"/>
    <x v="383"/>
    <x v="26"/>
    <x v="1"/>
    <d v="2023-04-04T00:00:00"/>
    <d v="2023-04-04T00:00:00"/>
    <n v="29"/>
    <s v="Asia"/>
    <x v="10"/>
    <s v="Beijing"/>
    <s v="Small Business"/>
    <s v="Direct"/>
    <s v="C. Otieno"/>
    <s v="Monitors"/>
    <s v="MON-2073"/>
    <n v="1126.29"/>
    <n v="2050.87"/>
    <n v="6.4000000000000001E-2"/>
    <b v="0"/>
    <n v="7"/>
    <n v="13437.300239999999"/>
    <n v="7884.03"/>
    <n v="5553.2702399999989"/>
    <n v="0.41327276616690373"/>
    <s v="High"/>
  </r>
  <r>
    <s v="ORD-2023-884625"/>
    <x v="384"/>
    <x v="1"/>
    <x v="1"/>
    <d v="2023-03-12T00:00:00"/>
    <d v="2023-03-12T00:00:00"/>
    <n v="21"/>
    <s v="Europe"/>
    <x v="6"/>
    <s v="Berlin"/>
    <s v="Small Business"/>
    <s v="Direct"/>
    <s v="L. Okafor"/>
    <s v="Monitors"/>
    <s v="MON-6699"/>
    <n v="1234.81"/>
    <n v="2055.2399999999998"/>
    <n v="5.2999999999999999E-2"/>
    <b v="0"/>
    <n v="44"/>
    <n v="85637.740319999997"/>
    <n v="54331.64"/>
    <n v="31306.100319999998"/>
    <n v="0.36556429680441616"/>
    <s v="High"/>
  </r>
  <r>
    <s v="ORD-2023-450877"/>
    <x v="385"/>
    <x v="28"/>
    <x v="7"/>
    <d v="2023-10-10T00:00:00"/>
    <d v="2023-10-10T00:00:00"/>
    <n v="19"/>
    <s v="Asia"/>
    <x v="7"/>
    <s v="Tokyo"/>
    <s v="Education"/>
    <s v="Online"/>
    <s v="D. Smith"/>
    <s v="Components"/>
    <s v="CMP-5211"/>
    <n v="845.63"/>
    <n v="2062.12"/>
    <n v="0.13400000000000001"/>
    <b v="0"/>
    <n v="5"/>
    <n v="8928.9795999999988"/>
    <n v="4228.1499999999996"/>
    <n v="4700.8295999999991"/>
    <n v="0.52646884757133949"/>
    <s v="High"/>
  </r>
  <r>
    <s v="ORD-2025-629393"/>
    <x v="386"/>
    <x v="18"/>
    <x v="5"/>
    <d v="2025-08-07T00:00:00"/>
    <d v="2025-08-07T00:00:00"/>
    <n v="17"/>
    <s v="Africa"/>
    <x v="8"/>
    <s v="Lagos"/>
    <s v="Enterprise"/>
    <s v="Direct"/>
    <s v="M. Rossi"/>
    <s v="Accessories"/>
    <s v="ACC-8999"/>
    <n v="1204.95"/>
    <n v="2065.73"/>
    <n v="0.13600000000000001"/>
    <b v="0"/>
    <n v="10"/>
    <n v="17847.907199999998"/>
    <n v="12049.5"/>
    <n v="5798.4071999999978"/>
    <n v="0.32487882949100039"/>
    <s v="High"/>
  </r>
  <r>
    <s v="ORD-2023-244375"/>
    <x v="387"/>
    <x v="17"/>
    <x v="6"/>
    <d v="2023-07-01T00:00:00"/>
    <d v="2023-07-01T00:00:00"/>
    <n v="28"/>
    <s v="Americas"/>
    <x v="5"/>
    <s v="Brasília"/>
    <s v="Small Business"/>
    <s v="Marketplace"/>
    <s v="A. Patel"/>
    <s v="Components"/>
    <s v="CMP-1223"/>
    <n v="860.4"/>
    <n v="2066.6"/>
    <n v="0.01"/>
    <b v="0"/>
    <n v="3"/>
    <n v="6137.8019999999988"/>
    <n v="2581.1999999999998"/>
    <n v="3556.601999999999"/>
    <n v="0.57945857491004105"/>
    <s v="High"/>
  </r>
  <r>
    <s v="ORD-2023-211715"/>
    <x v="388"/>
    <x v="10"/>
    <x v="8"/>
    <d v="2023-11-14T00:00:00"/>
    <d v="2023-11-14T00:00:00"/>
    <n v="15"/>
    <s v="Asia"/>
    <x v="9"/>
    <s v="Bengaluru"/>
    <s v="Corporate"/>
    <s v="Online"/>
    <s v="F. Müller"/>
    <s v="Laptops"/>
    <s v="LAP-2378"/>
    <n v="953.46"/>
    <n v="2066.75"/>
    <n v="0.13800000000000001"/>
    <b v="0"/>
    <n v="5"/>
    <n v="8907.6924999999992"/>
    <n v="4767.3"/>
    <n v="4140.392499999999"/>
    <n v="0.46481089238318446"/>
    <s v="High"/>
  </r>
  <r>
    <s v="ORD-2023-638181"/>
    <x v="199"/>
    <x v="7"/>
    <x v="6"/>
    <d v="2023-06-07T00:00:00"/>
    <d v="2023-06-07T00:00:00"/>
    <n v="18"/>
    <s v="Africa"/>
    <x v="8"/>
    <s v="Port Harcourt"/>
    <s v="Enterprise"/>
    <s v="Distributor"/>
    <s v="E. Garcia"/>
    <s v="Components"/>
    <s v="CMP-4630"/>
    <n v="1120.06"/>
    <n v="2068.21"/>
    <n v="7.8E-2"/>
    <b v="0"/>
    <n v="12"/>
    <n v="22882.675440000003"/>
    <n v="13440.72"/>
    <n v="9441.9554400000034"/>
    <n v="0.41262462795303284"/>
    <s v="High"/>
  </r>
  <r>
    <s v="ORD-2023-594700"/>
    <x v="235"/>
    <x v="24"/>
    <x v="7"/>
    <d v="2023-07-22T00:00:00"/>
    <d v="2023-07-22T00:00:00"/>
    <n v="4"/>
    <s v="Americas"/>
    <x v="5"/>
    <s v="São Paulo"/>
    <s v="Consumer"/>
    <s v="Direct"/>
    <s v="F. Müller"/>
    <s v="Networking"/>
    <s v="NET-1699"/>
    <n v="1269.55"/>
    <n v="2071.1"/>
    <n v="0.129"/>
    <b v="0"/>
    <n v="22"/>
    <n v="39686.4182"/>
    <n v="27930.1"/>
    <n v="11756.318200000002"/>
    <n v="0.29623026549672354"/>
    <s v="High"/>
  </r>
  <r>
    <s v="ORD-2024-257550"/>
    <x v="150"/>
    <x v="0"/>
    <x v="0"/>
    <d v="2024-12-29T00:00:00"/>
    <d v="2024-12-29T00:00:00"/>
    <n v="2"/>
    <s v="Americas"/>
    <x v="11"/>
    <s v="Vancouver"/>
    <s v="Enterprise"/>
    <s v="Marketplace"/>
    <s v="C. Otieno"/>
    <s v="Accessories"/>
    <s v="ACC-8620"/>
    <n v="1146.72"/>
    <n v="2074.34"/>
    <n v="0.111"/>
    <b v="0"/>
    <n v="8"/>
    <n v="14752.706080000002"/>
    <n v="9173.76"/>
    <n v="5578.9460800000015"/>
    <n v="0.37816425337472737"/>
    <s v="High"/>
  </r>
  <r>
    <s v="ORD-2025-673091"/>
    <x v="389"/>
    <x v="23"/>
    <x v="2"/>
    <d v="2025-05-13T00:00:00"/>
    <d v="2025-05-13T00:00:00"/>
    <n v="6"/>
    <s v="Asia"/>
    <x v="9"/>
    <s v="Bengaluru"/>
    <s v="Enterprise"/>
    <s v="Direct"/>
    <s v="J. Njeri"/>
    <s v="Phones"/>
    <s v="PHN-5683"/>
    <n v="935.98"/>
    <n v="2077.69"/>
    <n v="0.17499999999999999"/>
    <b v="0"/>
    <n v="24"/>
    <n v="41138.261999999995"/>
    <n v="22463.52"/>
    <n v="18674.741999999995"/>
    <n v="0.45395067978321491"/>
    <s v="High"/>
  </r>
  <r>
    <s v="ORD-2023-271836"/>
    <x v="390"/>
    <x v="1"/>
    <x v="1"/>
    <d v="2023-02-12T00:00:00"/>
    <d v="2023-02-12T00:00:00"/>
    <n v="5"/>
    <s v="Americas"/>
    <x v="5"/>
    <s v="São Paulo"/>
    <s v="Education"/>
    <s v="Online"/>
    <s v="N. Brown"/>
    <s v="Components"/>
    <s v="CMP-2693"/>
    <n v="948.55"/>
    <n v="2089.16"/>
    <n v="7.0000000000000001E-3"/>
    <b v="0"/>
    <n v="12"/>
    <n v="24894.430559999997"/>
    <n v="11382.599999999999"/>
    <n v="13511.830559999999"/>
    <n v="0.54276519912492427"/>
    <s v="High"/>
  </r>
  <r>
    <s v="ORD-2024-451005"/>
    <x v="356"/>
    <x v="4"/>
    <x v="4"/>
    <d v="2024-06-28T00:00:00"/>
    <d v="2024-07-14T00:00:00"/>
    <n v="14"/>
    <s v="Americas"/>
    <x v="5"/>
    <s v="Rio de Janeiro"/>
    <s v="Small Business"/>
    <s v="Direct"/>
    <s v="L. Okafor"/>
    <s v="Accessories"/>
    <s v="ACC-9162"/>
    <n v="1112.98"/>
    <n v="2095.73"/>
    <n v="7.1999999999999995E-2"/>
    <b v="0"/>
    <n v="17"/>
    <n v="33062.236480000007"/>
    <n v="18920.66"/>
    <n v="14141.576480000007"/>
    <n v="0.42772594916724777"/>
    <s v="High"/>
  </r>
  <r>
    <s v="ORD-2023-780206"/>
    <x v="391"/>
    <x v="13"/>
    <x v="1"/>
    <d v="2023-02-03T00:00:00"/>
    <d v="2023-02-03T00:00:00"/>
    <n v="15"/>
    <s v="Europe"/>
    <x v="0"/>
    <s v="London"/>
    <s v="Enterprise"/>
    <s v="Distributor"/>
    <s v="G. Dubois"/>
    <s v="Accessories"/>
    <s v="ACC-3645"/>
    <n v="873.06"/>
    <n v="2101.5500000000002"/>
    <n v="6.6000000000000003E-2"/>
    <b v="0"/>
    <n v="10"/>
    <n v="19628.476999999999"/>
    <n v="8730.5999999999985"/>
    <n v="10897.877"/>
    <n v="0.55520746719167269"/>
    <s v="High"/>
  </r>
  <r>
    <s v="ORD-2023-667815"/>
    <x v="69"/>
    <x v="10"/>
    <x v="8"/>
    <d v="2023-11-09T00:00:00"/>
    <d v="2023-11-09T00:00:00"/>
    <n v="19"/>
    <s v="Europe"/>
    <x v="0"/>
    <s v="London"/>
    <s v="Non-Profit"/>
    <s v="Direct"/>
    <s v="A. Patel"/>
    <s v="Accessories"/>
    <s v="ACC-8557"/>
    <n v="1142.48"/>
    <n v="2105.5300000000002"/>
    <n v="0.20699999999999999"/>
    <b v="0"/>
    <n v="14"/>
    <n v="23375.594060000003"/>
    <n v="15994.720000000001"/>
    <n v="7380.8740600000019"/>
    <n v="0.31575129346680658"/>
    <s v="High"/>
  </r>
  <r>
    <s v="ORD-2025-929414"/>
    <x v="392"/>
    <x v="2"/>
    <x v="2"/>
    <d v="2025-07-11T00:00:00"/>
    <d v="2025-07-11T00:00:00"/>
    <n v="15"/>
    <s v="Africa"/>
    <x v="8"/>
    <s v="Port Harcourt"/>
    <s v="Small Business"/>
    <s v="Online"/>
    <s v="A. Patel"/>
    <s v="Laptops"/>
    <s v="LAP-7523"/>
    <n v="1170.1500000000001"/>
    <n v="2115.19"/>
    <n v="9.1999999999999998E-2"/>
    <b v="0"/>
    <n v="23"/>
    <n v="44173.627960000005"/>
    <n v="26913.45"/>
    <n v="17260.177960000005"/>
    <n v="0.39073489674946776"/>
    <s v="High"/>
  </r>
  <r>
    <s v="ORD-2024-915495"/>
    <x v="393"/>
    <x v="25"/>
    <x v="10"/>
    <d v="2024-08-20T00:00:00"/>
    <d v="2024-08-20T00:00:00"/>
    <n v="12"/>
    <s v="Asia"/>
    <x v="7"/>
    <s v="Osaka"/>
    <s v="Small Business"/>
    <s v="Retail"/>
    <s v="H. Kim"/>
    <s v="Networking"/>
    <s v="NET-8957"/>
    <n v="1233.3599999999999"/>
    <n v="2120.4"/>
    <n v="0.17899999999999999"/>
    <b v="0"/>
    <n v="20"/>
    <n v="34816.968000000001"/>
    <n v="24667.199999999997"/>
    <n v="10149.768000000004"/>
    <n v="0.29151785991244278"/>
    <s v="High"/>
  </r>
  <r>
    <s v="ORD-2024-851993"/>
    <x v="336"/>
    <x v="15"/>
    <x v="4"/>
    <d v="2024-05-16T00:00:00"/>
    <d v="2024-05-16T00:00:00"/>
    <n v="15"/>
    <s v="Asia"/>
    <x v="9"/>
    <s v="Bengaluru"/>
    <s v="Small Business"/>
    <s v="Retail"/>
    <s v="L. Okafor"/>
    <s v="Components"/>
    <s v="CMP-6811"/>
    <n v="901.19"/>
    <n v="2125.44"/>
    <n v="7.0999999999999994E-2"/>
    <b v="0"/>
    <n v="12"/>
    <n v="23694.405119999999"/>
    <n v="10814.28"/>
    <n v="12880.125119999999"/>
    <n v="0.54359352154100415"/>
    <s v="High"/>
  </r>
  <r>
    <s v="ORD-2023-109927"/>
    <x v="394"/>
    <x v="24"/>
    <x v="7"/>
    <d v="2023-07-21T00:00:00"/>
    <d v="2023-08-05T00:00:00"/>
    <n v="14"/>
    <s v="Asia"/>
    <x v="9"/>
    <s v="Delhi"/>
    <s v="Small Business"/>
    <s v="Distributor"/>
    <s v="E. Garcia"/>
    <s v="Printers"/>
    <s v="PRN-2301"/>
    <n v="946.99"/>
    <n v="2132.19"/>
    <n v="0.16500000000000001"/>
    <b v="0"/>
    <n v="7"/>
    <n v="12462.65055"/>
    <n v="6628.93"/>
    <n v="5833.72055"/>
    <n v="0.46809629513362228"/>
    <s v="High"/>
  </r>
  <r>
    <s v="ORD-2023-368449"/>
    <x v="208"/>
    <x v="10"/>
    <x v="8"/>
    <d v="2023-10-26T00:00:00"/>
    <d v="2023-10-26T00:00:00"/>
    <n v="17"/>
    <s v="Asia"/>
    <x v="10"/>
    <s v="Shanghai"/>
    <s v="Consumer"/>
    <s v="Marketplace"/>
    <s v="C. Otieno"/>
    <s v="Components"/>
    <s v="CMP-2096"/>
    <n v="1132.03"/>
    <n v="2137.21"/>
    <n v="0"/>
    <b v="0"/>
    <n v="35"/>
    <n v="74802.350000000006"/>
    <n v="39621.049999999996"/>
    <n v="35181.30000000001"/>
    <n v="0.47032345908918649"/>
    <s v="High"/>
  </r>
  <r>
    <s v="ORD-2024-201376"/>
    <x v="23"/>
    <x v="8"/>
    <x v="3"/>
    <d v="2024-03-04T00:00:00"/>
    <d v="2024-03-04T00:00:00"/>
    <n v="15"/>
    <s v="Africa"/>
    <x v="1"/>
    <s v="Kisumu"/>
    <s v="Education"/>
    <s v="Direct"/>
    <s v="K. Singh"/>
    <s v="Printers"/>
    <s v="PRN-7089"/>
    <n v="928.68"/>
    <n v="2145.17"/>
    <n v="0.13600000000000001"/>
    <b v="0"/>
    <n v="16"/>
    <n v="29654.83008"/>
    <n v="14858.88"/>
    <n v="14795.950080000001"/>
    <n v="0.49893896003062177"/>
    <s v="High"/>
  </r>
  <r>
    <s v="ORD-2025-745263"/>
    <x v="395"/>
    <x v="23"/>
    <x v="2"/>
    <d v="2025-05-19T00:00:00"/>
    <d v="2025-06-04T00:00:00"/>
    <n v="14"/>
    <s v="Europe"/>
    <x v="0"/>
    <s v="Birmingham"/>
    <s v="Enterprise"/>
    <s v="Online"/>
    <s v="M. Rossi"/>
    <s v="Laptops"/>
    <s v="LAP-3385"/>
    <n v="1015.16"/>
    <n v="2148.14"/>
    <n v="3.7999999999999999E-2"/>
    <b v="0"/>
    <n v="19"/>
    <n v="39263.702919999996"/>
    <n v="19288.04"/>
    <n v="19975.662919999995"/>
    <n v="0.50875647059322227"/>
    <s v="High"/>
  </r>
  <r>
    <s v="ORD-2023-715175"/>
    <x v="255"/>
    <x v="17"/>
    <x v="6"/>
    <d v="2023-06-23T00:00:00"/>
    <d v="2023-06-23T00:00:00"/>
    <n v="8"/>
    <s v="Americas"/>
    <x v="3"/>
    <s v="San Francisco"/>
    <s v="Consumer"/>
    <s v="Distributor"/>
    <s v="O. Wang"/>
    <s v="Monitors"/>
    <s v="MON-5424"/>
    <n v="1097.0899999999999"/>
    <n v="2182.31"/>
    <n v="0.112"/>
    <b v="0"/>
    <n v="9"/>
    <n v="17441.021520000002"/>
    <n v="9873.81"/>
    <n v="7567.2115200000026"/>
    <n v="0.43387432962699546"/>
    <s v="High"/>
  </r>
  <r>
    <s v="ORD-2025-795385"/>
    <x v="169"/>
    <x v="2"/>
    <x v="2"/>
    <d v="2025-06-05T00:00:00"/>
    <d v="2025-06-05T00:00:00"/>
    <n v="4"/>
    <s v="Europe"/>
    <x v="6"/>
    <s v="Munich"/>
    <s v="Enterprise"/>
    <s v="Direct"/>
    <s v="M. Rossi"/>
    <s v="Components"/>
    <s v="CMP-4159"/>
    <n v="1171.42"/>
    <n v="2187.8000000000002"/>
    <n v="0.23"/>
    <b v="0"/>
    <n v="15"/>
    <n v="25269.09"/>
    <n v="17571.300000000003"/>
    <n v="7697.7899999999972"/>
    <n v="0.30463265594447592"/>
    <s v="High"/>
  </r>
  <r>
    <s v="ORD-2023-728177"/>
    <x v="396"/>
    <x v="32"/>
    <x v="8"/>
    <d v="2024-01-14T00:00:00"/>
    <d v="2024-01-14T00:00:00"/>
    <n v="27"/>
    <s v="Asia"/>
    <x v="9"/>
    <s v="Mumbai"/>
    <s v="Consumer"/>
    <s v="Distributor"/>
    <s v="D. Smith"/>
    <s v="Networking"/>
    <s v="NET-6014"/>
    <n v="1408.3"/>
    <n v="2193.13"/>
    <n v="7.0999999999999994E-2"/>
    <b v="0"/>
    <n v="7"/>
    <n v="14261.92439"/>
    <n v="9858.1"/>
    <n v="4403.8243899999998"/>
    <n v="0.30878191957656281"/>
    <s v="High"/>
  </r>
  <r>
    <s v="ORD-2025-188059"/>
    <x v="156"/>
    <x v="2"/>
    <x v="2"/>
    <d v="2025-07-11T00:00:00"/>
    <d v="2025-07-11T00:00:00"/>
    <n v="14"/>
    <s v="Asia"/>
    <x v="10"/>
    <s v="Shanghai"/>
    <s v="Small Business"/>
    <s v="Marketplace"/>
    <s v="L. Okafor"/>
    <s v="Networking"/>
    <s v="NET-3535"/>
    <n v="1227.7"/>
    <n v="2197.23"/>
    <n v="9.9000000000000005E-2"/>
    <b v="0"/>
    <n v="22"/>
    <n v="43553.493060000001"/>
    <n v="27009.4"/>
    <n v="16544.093059999999"/>
    <n v="0.37985685871873898"/>
    <s v="High"/>
  </r>
  <r>
    <s v="ORD-2025-281062"/>
    <x v="313"/>
    <x v="12"/>
    <x v="9"/>
    <d v="2025-02-27T00:00:00"/>
    <d v="2025-02-27T00:00:00"/>
    <n v="12"/>
    <s v="Europe"/>
    <x v="2"/>
    <s v="Lyon"/>
    <s v="Non-Profit"/>
    <s v="Direct"/>
    <s v="K. Singh"/>
    <s v="Accessories"/>
    <s v="ACC-1604"/>
    <n v="1027.26"/>
    <n v="2200.41"/>
    <n v="8.7999999999999995E-2"/>
    <b v="0"/>
    <n v="6"/>
    <n v="12040.64352"/>
    <n v="6163.5599999999995"/>
    <n v="5877.0835200000001"/>
    <n v="0.48810377204822358"/>
    <s v="High"/>
  </r>
  <r>
    <s v="ORD-2024-510591"/>
    <x v="291"/>
    <x v="31"/>
    <x v="4"/>
    <d v="2024-04-21T00:00:00"/>
    <d v="2024-04-21T00:00:00"/>
    <n v="18"/>
    <s v="Americas"/>
    <x v="5"/>
    <s v="Brasília"/>
    <s v="Small Business"/>
    <s v="Distributor"/>
    <s v="B. Chen"/>
    <s v="Networking"/>
    <s v="NET-3850"/>
    <n v="1176.69"/>
    <n v="2201.54"/>
    <n v="0.17"/>
    <b v="0"/>
    <n v="27"/>
    <n v="49336.511399999996"/>
    <n v="31770.63"/>
    <n v="17565.881399999995"/>
    <n v="0.35604222717701106"/>
    <s v="High"/>
  </r>
  <r>
    <s v="ORD-2024-237478"/>
    <x v="397"/>
    <x v="20"/>
    <x v="0"/>
    <d v="2024-10-11T00:00:00"/>
    <d v="2024-10-11T00:00:00"/>
    <n v="8"/>
    <s v="Asia"/>
    <x v="10"/>
    <s v="Beijing"/>
    <s v="Enterprise"/>
    <s v="Direct"/>
    <s v="B. Chen"/>
    <s v="Phones"/>
    <s v="PHN-7488"/>
    <n v="1132.6099999999999"/>
    <n v="2206.63"/>
    <n v="6.3E-2"/>
    <b v="0"/>
    <n v="20"/>
    <n v="41352.246200000009"/>
    <n v="22652.199999999997"/>
    <n v="18700.046200000012"/>
    <n v="0.45221355351671338"/>
    <s v="High"/>
  </r>
  <r>
    <s v="ORD-2024-626925"/>
    <x v="366"/>
    <x v="4"/>
    <x v="4"/>
    <d v="2024-06-09T00:00:00"/>
    <d v="2024-06-09T00:00:00"/>
    <n v="2"/>
    <s v="Asia"/>
    <x v="10"/>
    <s v="Shanghai"/>
    <s v="Corporate"/>
    <s v="Retail"/>
    <s v="O. Wang"/>
    <s v="Monitors"/>
    <s v="MON-8688"/>
    <n v="1370.28"/>
    <n v="2209.66"/>
    <n v="0.13300000000000001"/>
    <b v="0"/>
    <n v="16"/>
    <n v="30652.403519999996"/>
    <n v="21924.48"/>
    <n v="8727.9235199999966"/>
    <n v="0.28473863442079589"/>
    <s v="High"/>
  </r>
  <r>
    <s v="ORD-2024-886939"/>
    <x v="398"/>
    <x v="4"/>
    <x v="4"/>
    <d v="2024-06-24T00:00:00"/>
    <d v="2024-06-24T00:00:00"/>
    <n v="21"/>
    <s v="Americas"/>
    <x v="11"/>
    <s v="Toronto"/>
    <s v="Small Business"/>
    <s v="Direct"/>
    <s v="G. Dubois"/>
    <s v="Monitors"/>
    <s v="MON-5386"/>
    <n v="1205.5"/>
    <n v="2210.17"/>
    <n v="0.104"/>
    <b v="0"/>
    <n v="23"/>
    <n v="45547.183360000003"/>
    <n v="27726.5"/>
    <n v="17820.683360000003"/>
    <n v="0.39125763758314652"/>
    <s v="High"/>
  </r>
  <r>
    <s v="ORD-2024-544865"/>
    <x v="399"/>
    <x v="8"/>
    <x v="3"/>
    <d v="2024-03-04T00:00:00"/>
    <d v="2024-03-04T00:00:00"/>
    <n v="17"/>
    <s v="Americas"/>
    <x v="11"/>
    <s v="Montreal"/>
    <s v="Non-Profit"/>
    <s v="Retail"/>
    <s v="D. Smith"/>
    <s v="Laptops"/>
    <s v="LAP-2774"/>
    <n v="1350.98"/>
    <n v="2210.4"/>
    <n v="0.26300000000000001"/>
    <b v="0"/>
    <n v="6"/>
    <n v="9774.3888000000006"/>
    <n v="8105.88"/>
    <n v="1668.5088000000005"/>
    <n v="0.17070211080615091"/>
    <s v="High"/>
  </r>
  <r>
    <s v="ORD-2023-184577"/>
    <x v="22"/>
    <x v="7"/>
    <x v="6"/>
    <d v="2023-06-03T00:00:00"/>
    <d v="2023-06-03T00:00:00"/>
    <n v="17"/>
    <s v="Asia"/>
    <x v="10"/>
    <s v="Beijing"/>
    <s v="Non-Profit"/>
    <s v="Distributor"/>
    <s v="M. Rossi"/>
    <s v="Printers"/>
    <s v="PRN-1923"/>
    <n v="979.59"/>
    <n v="2210.94"/>
    <n v="0.15"/>
    <b v="0"/>
    <n v="11"/>
    <n v="20672.289000000001"/>
    <n v="10775.49"/>
    <n v="9896.7990000000009"/>
    <n v="0.47874712858358359"/>
    <s v="High"/>
  </r>
  <r>
    <s v="ORD-2024-948800"/>
    <x v="400"/>
    <x v="3"/>
    <x v="3"/>
    <d v="2024-04-11T00:00:00"/>
    <d v="2024-04-11T00:00:00"/>
    <n v="15"/>
    <s v="Americas"/>
    <x v="3"/>
    <s v="San Francisco"/>
    <s v="Small Business"/>
    <s v="Direct"/>
    <s v="O. Wang"/>
    <s v="Networking"/>
    <s v="NET-5523"/>
    <n v="1338.35"/>
    <n v="2247.14"/>
    <n v="0.115"/>
    <b v="0"/>
    <n v="40"/>
    <n v="79548.755999999994"/>
    <n v="53534"/>
    <n v="26014.755999999994"/>
    <n v="0.32702907384246205"/>
    <s v="High"/>
  </r>
  <r>
    <s v="ORD-2024-286833"/>
    <x v="401"/>
    <x v="25"/>
    <x v="10"/>
    <d v="2024-09-04T00:00:00"/>
    <d v="2024-09-04T00:00:00"/>
    <n v="21"/>
    <s v="Europe"/>
    <x v="0"/>
    <s v="Manchester"/>
    <s v="Non-Profit"/>
    <s v="Online"/>
    <s v="J. Njeri"/>
    <s v="Phones"/>
    <s v="PHN-2341"/>
    <n v="1138.8"/>
    <n v="2250.81"/>
    <n v="0.123"/>
    <b v="0"/>
    <n v="12"/>
    <n v="23687.524440000001"/>
    <n v="13665.599999999999"/>
    <n v="10021.924440000003"/>
    <n v="0.42308872188756258"/>
    <s v="High"/>
  </r>
  <r>
    <s v="ORD-2023-906481"/>
    <x v="174"/>
    <x v="7"/>
    <x v="6"/>
    <d v="2023-05-18T00:00:00"/>
    <d v="2023-05-18T00:00:00"/>
    <n v="16"/>
    <s v="Asia"/>
    <x v="9"/>
    <s v="Delhi"/>
    <s v="Small Business"/>
    <s v="Marketplace"/>
    <s v="K. Singh"/>
    <s v="Monitors"/>
    <s v="MON-2266"/>
    <n v="1463.92"/>
    <n v="2252.2399999999998"/>
    <n v="0.11799999999999999"/>
    <b v="0"/>
    <n v="44"/>
    <n v="87404.929919999995"/>
    <n v="64412.480000000003"/>
    <n v="22992.449919999992"/>
    <n v="0.26305667130040061"/>
    <s v="High"/>
  </r>
  <r>
    <s v="ORD-2025-964661"/>
    <x v="163"/>
    <x v="12"/>
    <x v="9"/>
    <d v="2025-02-25T00:00:00"/>
    <d v="2025-02-25T00:00:00"/>
    <n v="21"/>
    <s v="Europe"/>
    <x v="0"/>
    <s v="Birmingham"/>
    <s v="Corporate"/>
    <s v="Marketplace"/>
    <s v="D. Smith"/>
    <s v="Monitors"/>
    <s v="MON-4959"/>
    <n v="1016.32"/>
    <n v="2253.42"/>
    <n v="5.5E-2"/>
    <b v="0"/>
    <n v="12"/>
    <n v="25553.782800000001"/>
    <n v="12195.84"/>
    <n v="13357.942800000001"/>
    <n v="0.52273837124419797"/>
    <s v="High"/>
  </r>
  <r>
    <s v="ORD-2023-825836"/>
    <x v="402"/>
    <x v="24"/>
    <x v="7"/>
    <d v="2023-07-31T00:00:00"/>
    <d v="2023-07-31T00:00:00"/>
    <n v="12"/>
    <s v="Americas"/>
    <x v="5"/>
    <s v="Rio de Janeiro"/>
    <s v="Corporate"/>
    <s v="Retail"/>
    <s v="C. Otieno"/>
    <s v="Monitors"/>
    <s v="MON-7869"/>
    <n v="1334.64"/>
    <n v="2273.42"/>
    <n v="0.11799999999999999"/>
    <b v="0"/>
    <n v="14"/>
    <n v="28072.190160000002"/>
    <n v="18684.960000000003"/>
    <n v="9387.2301599999992"/>
    <n v="0.33439607335575267"/>
    <s v="High"/>
  </r>
  <r>
    <s v="ORD-2025-700847"/>
    <x v="395"/>
    <x v="23"/>
    <x v="2"/>
    <d v="2025-05-19T00:00:00"/>
    <d v="2025-06-04T00:00:00"/>
    <n v="14"/>
    <s v="Africa"/>
    <x v="4"/>
    <s v="Johannesburg"/>
    <s v="Non-Profit"/>
    <s v="Distributor"/>
    <s v="O. Wang"/>
    <s v="Laptops"/>
    <s v="LAP-7099"/>
    <n v="1263.8399999999999"/>
    <n v="2281.7199999999998"/>
    <n v="7.8E-2"/>
    <b v="0"/>
    <n v="15"/>
    <n v="31556.187599999997"/>
    <n v="18957.599999999999"/>
    <n v="12598.587599999999"/>
    <n v="0.39924301882398494"/>
    <s v="High"/>
  </r>
  <r>
    <s v="ORD-2023-885216"/>
    <x v="81"/>
    <x v="9"/>
    <x v="7"/>
    <d v="2023-08-02T00:00:00"/>
    <d v="2023-08-17T00:00:00"/>
    <n v="14"/>
    <s v="Asia"/>
    <x v="10"/>
    <s v="Shanghai"/>
    <s v="Non-Profit"/>
    <s v="Direct"/>
    <s v="J. Njeri"/>
    <s v="Networking"/>
    <s v="NET-4735"/>
    <n v="1021.97"/>
    <n v="2296.25"/>
    <n v="0.161"/>
    <b v="0"/>
    <n v="26"/>
    <n v="50090.397499999999"/>
    <n v="26571.22"/>
    <n v="23519.177499999998"/>
    <n v="0.46953465482081669"/>
    <s v="High"/>
  </r>
  <r>
    <s v="ORD-2025-480172"/>
    <x v="403"/>
    <x v="2"/>
    <x v="2"/>
    <d v="2025-07-05T00:00:00"/>
    <d v="2025-07-05T00:00:00"/>
    <n v="18"/>
    <s v="Asia"/>
    <x v="9"/>
    <s v="Delhi"/>
    <s v="Consumer"/>
    <s v="Marketplace"/>
    <s v="L. Okafor"/>
    <s v="Laptops"/>
    <s v="LAP-1990"/>
    <n v="982.93"/>
    <n v="2299.3000000000002"/>
    <n v="0.113"/>
    <b v="0"/>
    <n v="6"/>
    <n v="12236.874600000001"/>
    <n v="5897.58"/>
    <n v="6339.2946000000011"/>
    <n v="0.51804850562087157"/>
    <s v="High"/>
  </r>
  <r>
    <s v="ORD-2025-624006"/>
    <x v="404"/>
    <x v="14"/>
    <x v="9"/>
    <d v="2025-03-29T00:00:00"/>
    <d v="2025-03-29T00:00:00"/>
    <n v="14"/>
    <s v="Asia"/>
    <x v="9"/>
    <s v="Mumbai"/>
    <s v="Enterprise"/>
    <s v="Direct"/>
    <s v="C. Otieno"/>
    <s v="Components"/>
    <s v="CMP-3259"/>
    <n v="935.83"/>
    <n v="2303.46"/>
    <n v="0.105"/>
    <b v="0"/>
    <n v="9"/>
    <n v="18554.370299999999"/>
    <n v="8422.4700000000012"/>
    <n v="10131.900299999998"/>
    <n v="0.54606543559174292"/>
    <s v="High"/>
  </r>
  <r>
    <s v="ORD-2024-594527"/>
    <x v="340"/>
    <x v="19"/>
    <x v="10"/>
    <d v="2024-09-04T00:00:00"/>
    <d v="2024-09-20T00:00:00"/>
    <n v="14"/>
    <s v="Asia"/>
    <x v="7"/>
    <s v="Osaka"/>
    <s v="Corporate"/>
    <s v="Direct"/>
    <s v="A. Patel"/>
    <s v="Laptops"/>
    <s v="LAP-4483"/>
    <n v="1368.17"/>
    <n v="2307.75"/>
    <n v="0.16300000000000001"/>
    <b v="0"/>
    <n v="21"/>
    <n v="40563.321749999996"/>
    <n v="28731.57"/>
    <n v="11831.751749999996"/>
    <n v="0.29168596750831921"/>
    <s v="High"/>
  </r>
  <r>
    <s v="ORD-2025-997421"/>
    <x v="395"/>
    <x v="23"/>
    <x v="2"/>
    <d v="2025-06-09T00:00:00"/>
    <d v="2025-06-09T00:00:00"/>
    <n v="19"/>
    <s v="Americas"/>
    <x v="5"/>
    <s v="São Paulo"/>
    <s v="Non-Profit"/>
    <s v="Online"/>
    <s v="A. Patel"/>
    <s v="Components"/>
    <s v="CMP-3731"/>
    <n v="1331.38"/>
    <n v="2309.56"/>
    <n v="0.14899999999999999"/>
    <b v="0"/>
    <n v="31"/>
    <n v="60928.502359999999"/>
    <n v="41272.780000000006"/>
    <n v="19655.722359999992"/>
    <n v="0.32260307735553528"/>
    <s v="High"/>
  </r>
  <r>
    <s v="ORD-2023-974506"/>
    <x v="405"/>
    <x v="32"/>
    <x v="8"/>
    <d v="2024-01-01T00:00:00"/>
    <d v="2024-01-01T00:00:00"/>
    <n v="4"/>
    <s v="Africa"/>
    <x v="4"/>
    <s v="Cape Town"/>
    <s v="Education"/>
    <s v="Distributor"/>
    <s v="A. Patel"/>
    <s v="Printers"/>
    <s v="PRN-1654"/>
    <n v="1141.8"/>
    <n v="2318.7399999999998"/>
    <n v="0.107"/>
    <b v="0"/>
    <n v="32"/>
    <n v="66260.314239999992"/>
    <n v="36537.599999999999"/>
    <n v="29722.714239999994"/>
    <n v="0.44857490612468304"/>
    <s v="High"/>
  </r>
  <r>
    <s v="ORD-2024-515105"/>
    <x v="406"/>
    <x v="8"/>
    <x v="3"/>
    <d v="2024-03-26T00:00:00"/>
    <d v="2024-03-26T00:00:00"/>
    <n v="28"/>
    <s v="Asia"/>
    <x v="9"/>
    <s v="Mumbai"/>
    <s v="Education"/>
    <s v="Marketplace"/>
    <s v="G. Dubois"/>
    <s v="Laptops"/>
    <s v="LAP-8469"/>
    <n v="1035.19"/>
    <n v="2322.6999999999998"/>
    <n v="0.17299999999999999"/>
    <b v="0"/>
    <n v="8"/>
    <n v="15366.983199999999"/>
    <n v="8281.52"/>
    <n v="7085.4631999999983"/>
    <n v="0.46108355217047409"/>
    <s v="High"/>
  </r>
  <r>
    <s v="ORD-2023-867285"/>
    <x v="407"/>
    <x v="16"/>
    <x v="6"/>
    <d v="2023-04-17T00:00:00"/>
    <d v="2023-04-17T00:00:00"/>
    <n v="5"/>
    <s v="Europe"/>
    <x v="2"/>
    <s v="Lyon"/>
    <s v="Enterprise"/>
    <s v="Direct"/>
    <s v="E. Garcia"/>
    <s v="Monitors"/>
    <s v="MON-3043"/>
    <n v="1087.81"/>
    <n v="2323.87"/>
    <n v="9.4E-2"/>
    <b v="0"/>
    <n v="13"/>
    <n v="27370.540859999997"/>
    <n v="14141.529999999999"/>
    <n v="13229.010859999999"/>
    <n v="0.48333026839572651"/>
    <s v="High"/>
  </r>
  <r>
    <s v="ORD-2024-580808"/>
    <x v="408"/>
    <x v="4"/>
    <x v="4"/>
    <d v="2024-07-03T00:00:00"/>
    <d v="2024-07-03T00:00:00"/>
    <n v="17"/>
    <s v="Africa"/>
    <x v="4"/>
    <s v="Johannesburg"/>
    <s v="Enterprise"/>
    <s v="Marketplace"/>
    <s v="F. Müller"/>
    <s v="Phones"/>
    <s v="PHN-6832"/>
    <n v="1173.83"/>
    <n v="2328.9"/>
    <n v="0.12"/>
    <b v="0"/>
    <n v="17"/>
    <n v="34840.344000000005"/>
    <n v="19955.11"/>
    <n v="14885.234000000004"/>
    <n v="0.42724130393201637"/>
    <s v="High"/>
  </r>
  <r>
    <s v="ORD-2023-619493"/>
    <x v="409"/>
    <x v="1"/>
    <x v="1"/>
    <d v="2023-02-26T00:00:00"/>
    <d v="2023-03-13T00:00:00"/>
    <n v="14"/>
    <s v="Americas"/>
    <x v="3"/>
    <s v="San Francisco"/>
    <s v="Non-Profit"/>
    <s v="Online"/>
    <s v="L. Okafor"/>
    <s v="Networking"/>
    <s v="NET-1282"/>
    <n v="1015.91"/>
    <n v="2331.48"/>
    <n v="0.14599999999999999"/>
    <b v="0"/>
    <n v="26"/>
    <n v="51768.181920000003"/>
    <n v="26413.66"/>
    <n v="25354.521920000003"/>
    <n v="0.48977037592669626"/>
    <s v="High"/>
  </r>
  <r>
    <s v="ORD-2024-686712"/>
    <x v="410"/>
    <x v="20"/>
    <x v="0"/>
    <d v="2024-10-23T00:00:00"/>
    <d v="2024-10-23T00:00:00"/>
    <n v="21"/>
    <s v="Africa"/>
    <x v="4"/>
    <s v="Durban"/>
    <s v="Corporate"/>
    <s v="Marketplace"/>
    <s v="A. Patel"/>
    <s v="Components"/>
    <s v="CMP-3978"/>
    <n v="1095.6099999999999"/>
    <n v="2366.5100000000002"/>
    <n v="0.152"/>
    <b v="0"/>
    <n v="9"/>
    <n v="18061.204320000004"/>
    <n v="9860.49"/>
    <n v="8200.7143200000046"/>
    <n v="0.4540513564158607"/>
    <s v="High"/>
  </r>
  <r>
    <s v="ORD-2025-843974"/>
    <x v="411"/>
    <x v="18"/>
    <x v="5"/>
    <d v="2025-08-05T00:00:00"/>
    <d v="2025-08-05T00:00:00"/>
    <n v="16"/>
    <s v="Americas"/>
    <x v="5"/>
    <s v="Brasília"/>
    <s v="Enterprise"/>
    <s v="Marketplace"/>
    <s v="G. Dubois"/>
    <s v="Accessories"/>
    <s v="ACC-8098"/>
    <n v="1068.17"/>
    <n v="2375.37"/>
    <n v="0.109"/>
    <b v="0"/>
    <n v="18"/>
    <n v="38096.18406"/>
    <n v="19227.060000000001"/>
    <n v="18869.124059999998"/>
    <n v="0.49530220744108822"/>
    <s v="High"/>
  </r>
  <r>
    <s v="ORD-2024-140633"/>
    <x v="412"/>
    <x v="0"/>
    <x v="0"/>
    <d v="2024-12-26T00:00:00"/>
    <d v="2024-12-26T00:00:00"/>
    <n v="19"/>
    <s v="Europe"/>
    <x v="0"/>
    <s v="London"/>
    <s v="Enterprise"/>
    <s v="Online"/>
    <s v="D. Smith"/>
    <s v="Networking"/>
    <s v="NET-4491"/>
    <n v="1035.24"/>
    <n v="2383.41"/>
    <n v="0.17"/>
    <b v="0"/>
    <n v="15"/>
    <n v="29673.454499999993"/>
    <n v="15528.6"/>
    <n v="14144.854499999992"/>
    <n v="0.47668378145860962"/>
    <s v="High"/>
  </r>
  <r>
    <s v="ORD-2023-961864"/>
    <x v="192"/>
    <x v="32"/>
    <x v="8"/>
    <d v="2024-01-02T00:00:00"/>
    <d v="2024-01-02T00:00:00"/>
    <n v="26"/>
    <s v="Europe"/>
    <x v="6"/>
    <s v="Frankfurt"/>
    <s v="Enterprise"/>
    <s v="Distributor"/>
    <s v="E. Garcia"/>
    <s v="Components"/>
    <s v="CMP-1940"/>
    <n v="1071.99"/>
    <n v="2397.3000000000002"/>
    <n v="6.2E-2"/>
    <b v="0"/>
    <n v="18"/>
    <n v="40476.013200000001"/>
    <n v="19295.82"/>
    <n v="21180.193200000002"/>
    <n v="0.52327765324476183"/>
    <s v="High"/>
  </r>
  <r>
    <s v="ORD-2024-438404"/>
    <x v="413"/>
    <x v="19"/>
    <x v="10"/>
    <d v="2024-10-18T00:00:00"/>
    <d v="2024-10-18T00:00:00"/>
    <n v="25"/>
    <s v="Americas"/>
    <x v="11"/>
    <s v="Vancouver"/>
    <s v="Small Business"/>
    <s v="Online"/>
    <s v="N. Brown"/>
    <s v="Phones"/>
    <s v="PHN-4568"/>
    <n v="1297"/>
    <n v="2411.52"/>
    <n v="2.1000000000000001E-2"/>
    <b v="0"/>
    <n v="18"/>
    <n v="42495.805439999996"/>
    <n v="23346"/>
    <n v="19149.805439999996"/>
    <n v="0.45062813239385913"/>
    <s v="High"/>
  </r>
  <r>
    <s v="ORD-2024-819979"/>
    <x v="370"/>
    <x v="15"/>
    <x v="4"/>
    <d v="2024-06-18T00:00:00"/>
    <d v="2024-06-18T00:00:00"/>
    <n v="21"/>
    <s v="Europe"/>
    <x v="6"/>
    <s v="Frankfurt"/>
    <s v="Small Business"/>
    <s v="Online"/>
    <s v="E. Garcia"/>
    <s v="Phones"/>
    <s v="PHN-9399"/>
    <n v="986.85"/>
    <n v="2422.1"/>
    <n v="7.5999999999999998E-2"/>
    <b v="0"/>
    <n v="10"/>
    <n v="22380.204000000002"/>
    <n v="9868.5"/>
    <n v="12511.704000000002"/>
    <n v="0.55905227673527913"/>
    <s v="High"/>
  </r>
  <r>
    <s v="ORD-2023-944052"/>
    <x v="12"/>
    <x v="9"/>
    <x v="7"/>
    <d v="2023-09-03T00:00:00"/>
    <d v="2023-09-03T00:00:00"/>
    <n v="4"/>
    <s v="Asia"/>
    <x v="9"/>
    <s v="Delhi"/>
    <s v="Small Business"/>
    <s v="Marketplace"/>
    <s v="L. Okafor"/>
    <s v="Accessories"/>
    <s v="ACC-3068"/>
    <n v="1082.25"/>
    <n v="2433.34"/>
    <n v="0.27"/>
    <b v="0"/>
    <n v="4"/>
    <n v="7105.3528000000006"/>
    <n v="4329"/>
    <n v="2776.3528000000006"/>
    <n v="0.3907410199251472"/>
    <s v="High"/>
  </r>
  <r>
    <s v="ORD-2025-949776"/>
    <x v="414"/>
    <x v="11"/>
    <x v="5"/>
    <d v="2025-09-11T00:00:00"/>
    <d v="2025-09-11T00:00:00"/>
    <n v="28"/>
    <s v="Americas"/>
    <x v="5"/>
    <s v="São Paulo"/>
    <s v="Non-Profit"/>
    <s v="Direct"/>
    <s v="F. Müller"/>
    <s v="Printers"/>
    <s v="PRN-9490"/>
    <n v="1203.02"/>
    <n v="2439.33"/>
    <n v="0"/>
    <b v="0"/>
    <n v="18"/>
    <n v="43907.94"/>
    <n v="21654.36"/>
    <n v="22253.58"/>
    <n v="0.50682359500354612"/>
    <s v="High"/>
  </r>
  <r>
    <s v="ORD-2023-390998"/>
    <x v="171"/>
    <x v="16"/>
    <x v="6"/>
    <d v="2023-04-28T00:00:00"/>
    <d v="2023-04-28T00:00:00"/>
    <n v="9"/>
    <s v="Europe"/>
    <x v="6"/>
    <s v="Berlin"/>
    <s v="Education"/>
    <s v="Online"/>
    <s v="E. Garcia"/>
    <s v="Monitors"/>
    <s v="MON-1663"/>
    <n v="1178.42"/>
    <n v="2446.56"/>
    <n v="2.9000000000000001E-2"/>
    <b v="0"/>
    <n v="11"/>
    <n v="26131.70736"/>
    <n v="12962.62"/>
    <n v="13169.08736"/>
    <n v="0.5039505141618883"/>
    <s v="High"/>
  </r>
  <r>
    <s v="ORD-2023-488227"/>
    <x v="96"/>
    <x v="28"/>
    <x v="7"/>
    <d v="2023-10-02T00:00:00"/>
    <d v="2023-10-02T00:00:00"/>
    <n v="24"/>
    <s v="Americas"/>
    <x v="11"/>
    <s v="Toronto"/>
    <s v="Education"/>
    <s v="Direct"/>
    <s v="A. Patel"/>
    <s v="Accessories"/>
    <s v="ACC-3415"/>
    <n v="1299.03"/>
    <n v="2451.2199999999998"/>
    <n v="0.20799999999999999"/>
    <b v="0"/>
    <n v="8"/>
    <n v="15530.929919999999"/>
    <n v="10392.24"/>
    <n v="5138.6899199999989"/>
    <n v="0.3308681416032041"/>
    <s v="High"/>
  </r>
  <r>
    <s v="ORD-2023-632893"/>
    <x v="217"/>
    <x v="7"/>
    <x v="6"/>
    <d v="2023-05-05T00:00:00"/>
    <d v="2023-05-21T00:00:00"/>
    <n v="14"/>
    <s v="Africa"/>
    <x v="8"/>
    <s v="Port Harcourt"/>
    <s v="Non-Profit"/>
    <s v="Marketplace"/>
    <s v="A. Patel"/>
    <s v="Components"/>
    <s v="CMP-9392"/>
    <n v="1269.6500000000001"/>
    <n v="2462.77"/>
    <n v="0.107"/>
    <b v="0"/>
    <n v="8"/>
    <n v="17594.028880000002"/>
    <n v="10157.200000000001"/>
    <n v="7436.8288800000009"/>
    <n v="0.42269050089225502"/>
    <s v="High"/>
  </r>
  <r>
    <s v="ORD-2023-868734"/>
    <x v="329"/>
    <x v="16"/>
    <x v="6"/>
    <d v="2023-04-27T00:00:00"/>
    <d v="2023-04-27T00:00:00"/>
    <n v="21"/>
    <s v="Europe"/>
    <x v="0"/>
    <s v="Manchester"/>
    <s v="Enterprise"/>
    <s v="Distributor"/>
    <s v="I. Johnson"/>
    <s v="Printers"/>
    <s v="PRN-8970"/>
    <n v="1084.79"/>
    <n v="2484.9899999999998"/>
    <n v="3.4000000000000002E-2"/>
    <b v="0"/>
    <n v="18"/>
    <n v="43209.006119999991"/>
    <n v="19526.22"/>
    <n v="23682.78611999999"/>
    <n v="0.54809837685755114"/>
    <s v="High"/>
  </r>
  <r>
    <s v="ORD-2024-500890"/>
    <x v="229"/>
    <x v="19"/>
    <x v="10"/>
    <d v="2024-10-08T00:00:00"/>
    <d v="2024-10-08T00:00:00"/>
    <n v="29"/>
    <s v="Americas"/>
    <x v="5"/>
    <s v="São Paulo"/>
    <s v="Education"/>
    <s v="Direct"/>
    <s v="J. Njeri"/>
    <s v="Components"/>
    <s v="CMP-3093"/>
    <n v="1010.33"/>
    <n v="2492.14"/>
    <n v="5.0999999999999997E-2"/>
    <b v="0"/>
    <n v="11"/>
    <n v="26015.449459999996"/>
    <n v="11113.630000000001"/>
    <n v="14901.819459999995"/>
    <n v="0.57280653493656752"/>
    <s v="High"/>
  </r>
  <r>
    <s v="ORD-2024-500511"/>
    <x v="415"/>
    <x v="20"/>
    <x v="0"/>
    <d v="2024-10-08T00:00:00"/>
    <d v="2024-10-08T00:00:00"/>
    <n v="0"/>
    <s v="Europe"/>
    <x v="0"/>
    <s v="London"/>
    <s v="Corporate"/>
    <s v="Online"/>
    <s v="E. Garcia"/>
    <s v="Monitors"/>
    <s v="MON-9733"/>
    <n v="1108.1099999999999"/>
    <n v="2503.79"/>
    <n v="0.184"/>
    <b v="0"/>
    <n v="19"/>
    <n v="38818.760160000005"/>
    <n v="21054.089999999997"/>
    <n v="17764.670160000009"/>
    <n v="0.45763105485025896"/>
    <s v="High"/>
  </r>
  <r>
    <s v="ORD-2023-732585"/>
    <x v="416"/>
    <x v="9"/>
    <x v="7"/>
    <d v="2023-09-16T00:00:00"/>
    <d v="2023-09-16T00:00:00"/>
    <n v="22"/>
    <s v="Africa"/>
    <x v="8"/>
    <s v="Abuja"/>
    <s v="Corporate"/>
    <s v="Marketplace"/>
    <s v="L. Okafor"/>
    <s v="Phones"/>
    <s v="PHN-3971"/>
    <n v="1196.83"/>
    <n v="2513.5100000000002"/>
    <n v="8.3000000000000004E-2"/>
    <b v="0"/>
    <n v="7"/>
    <n v="16134.22069"/>
    <n v="8377.81"/>
    <n v="7756.4106900000006"/>
    <n v="0.48074281609445374"/>
    <s v="High"/>
  </r>
  <r>
    <s v="ORD-2023-195665"/>
    <x v="207"/>
    <x v="32"/>
    <x v="8"/>
    <d v="2023-12-20T00:00:00"/>
    <d v="2023-12-20T00:00:00"/>
    <n v="1"/>
    <s v="Americas"/>
    <x v="5"/>
    <s v="Rio de Janeiro"/>
    <s v="Consumer"/>
    <s v="Distributor"/>
    <s v="J. Njeri"/>
    <s v="Phones"/>
    <s v="PHN-7274"/>
    <n v="1080.43"/>
    <n v="2529.15"/>
    <n v="0.14699999999999999"/>
    <b v="0"/>
    <n v="10"/>
    <n v="21573.6495"/>
    <n v="10804.300000000001"/>
    <n v="10769.349499999998"/>
    <n v="0.49918997247081437"/>
    <s v="High"/>
  </r>
  <r>
    <s v="ORD-2024-589570"/>
    <x v="417"/>
    <x v="15"/>
    <x v="4"/>
    <d v="2024-05-29T00:00:00"/>
    <d v="2024-05-29T00:00:00"/>
    <n v="25"/>
    <s v="Africa"/>
    <x v="8"/>
    <s v="Abuja"/>
    <s v="Non-Profit"/>
    <s v="Marketplace"/>
    <s v="O. Wang"/>
    <s v="Monitors"/>
    <s v="MON-6892"/>
    <n v="1295.3399999999999"/>
    <n v="2530.81"/>
    <n v="3.1E-2"/>
    <b v="0"/>
    <n v="6"/>
    <n v="14714.12934"/>
    <n v="7772.0399999999991"/>
    <n v="6942.0893400000004"/>
    <n v="0.4717974933880798"/>
    <s v="High"/>
  </r>
  <r>
    <s v="ORD-2023-569862"/>
    <x v="418"/>
    <x v="24"/>
    <x v="7"/>
    <d v="2023-08-13T00:00:00"/>
    <d v="2023-08-13T00:00:00"/>
    <n v="28"/>
    <s v="Europe"/>
    <x v="0"/>
    <s v="Manchester"/>
    <s v="Non-Profit"/>
    <s v="Online"/>
    <s v="J. Njeri"/>
    <s v="Laptops"/>
    <s v="LAP-1178"/>
    <n v="1039.03"/>
    <n v="2545.81"/>
    <n v="0.216"/>
    <b v="0"/>
    <n v="21"/>
    <n v="41914.215840000004"/>
    <n v="21819.63"/>
    <n v="20094.585840000003"/>
    <n v="0.47942172929364774"/>
    <s v="High"/>
  </r>
  <r>
    <s v="ORD-2025-418232"/>
    <x v="419"/>
    <x v="11"/>
    <x v="5"/>
    <d v="2025-08-21T00:00:00"/>
    <d v="2025-08-21T00:00:00"/>
    <n v="20"/>
    <s v="Asia"/>
    <x v="10"/>
    <s v="Shanghai"/>
    <s v="Corporate"/>
    <s v="Direct"/>
    <s v="I. Johnson"/>
    <s v="Phones"/>
    <s v="PHN-9234"/>
    <n v="1220.4100000000001"/>
    <n v="2552.2199999999998"/>
    <n v="0.18099999999999999"/>
    <b v="0"/>
    <n v="14"/>
    <n v="29263.754519999995"/>
    <n v="17085.740000000002"/>
    <n v="12178.014519999993"/>
    <n v="0.41614668793360271"/>
    <s v="High"/>
  </r>
  <r>
    <s v="ORD-2024-500109"/>
    <x v="187"/>
    <x v="15"/>
    <x v="4"/>
    <d v="2024-05-23T00:00:00"/>
    <d v="2024-05-23T00:00:00"/>
    <n v="5"/>
    <s v="Americas"/>
    <x v="3"/>
    <s v="Chicago"/>
    <s v="Enterprise"/>
    <s v="Retail"/>
    <s v="H. Kim"/>
    <s v="Laptops"/>
    <s v="LAP-4987"/>
    <n v="1274.5899999999999"/>
    <n v="2553.69"/>
    <n v="0.01"/>
    <b v="0"/>
    <n v="8"/>
    <n v="20225.2248"/>
    <n v="10196.719999999999"/>
    <n v="10028.504800000001"/>
    <n v="0.49584145042481803"/>
    <s v="High"/>
  </r>
  <r>
    <s v="ORD-2023-474313"/>
    <x v="420"/>
    <x v="10"/>
    <x v="8"/>
    <d v="2023-10-06T00:00:00"/>
    <d v="2023-10-06T00:00:00"/>
    <n v="1"/>
    <s v="Asia"/>
    <x v="9"/>
    <s v="Bengaluru"/>
    <s v="Non-Profit"/>
    <s v="Online"/>
    <s v="I. Johnson"/>
    <s v="Components"/>
    <s v="CMP-4807"/>
    <n v="1470.26"/>
    <n v="2562.5500000000002"/>
    <n v="0.17299999999999999"/>
    <b v="0"/>
    <n v="9"/>
    <n v="19073.059649999999"/>
    <n v="13232.34"/>
    <n v="5840.7196499999991"/>
    <n v="0.30622877279157462"/>
    <s v="High"/>
  </r>
  <r>
    <s v="ORD-2025-146850"/>
    <x v="62"/>
    <x v="27"/>
    <x v="9"/>
    <d v="2025-02-14T00:00:00"/>
    <d v="2025-02-14T00:00:00"/>
    <n v="24"/>
    <s v="Africa"/>
    <x v="1"/>
    <s v="Nairobi"/>
    <s v="Small Business"/>
    <s v="Retail"/>
    <s v="J. Njeri"/>
    <s v="Accessories"/>
    <s v="ACC-1659"/>
    <n v="1030.44"/>
    <n v="2562.84"/>
    <n v="0.14799999999999999"/>
    <b v="0"/>
    <n v="13"/>
    <n v="28386.015839999996"/>
    <n v="13395.720000000001"/>
    <n v="14990.295839999995"/>
    <n v="0.52808734852027039"/>
    <s v="High"/>
  </r>
  <r>
    <s v="ORD-2024-862371"/>
    <x v="49"/>
    <x v="19"/>
    <x v="10"/>
    <d v="2024-09-07T00:00:00"/>
    <d v="2024-09-07T00:00:00"/>
    <n v="0"/>
    <s v="Asia"/>
    <x v="9"/>
    <s v="Mumbai"/>
    <s v="Education"/>
    <s v="Distributor"/>
    <s v="B. Chen"/>
    <s v="Networking"/>
    <s v="NET-9835"/>
    <n v="1066.6500000000001"/>
    <n v="2569.77"/>
    <n v="0.13400000000000001"/>
    <b v="0"/>
    <n v="9"/>
    <n v="20028.787380000002"/>
    <n v="9599.85"/>
    <n v="10428.937380000001"/>
    <n v="0.52069739331368348"/>
    <s v="High"/>
  </r>
  <r>
    <s v="ORD-2023-521280"/>
    <x v="421"/>
    <x v="7"/>
    <x v="6"/>
    <d v="2023-06-19T00:00:00"/>
    <d v="2023-06-19T00:00:00"/>
    <n v="23"/>
    <s v="Europe"/>
    <x v="6"/>
    <s v="Berlin"/>
    <s v="Education"/>
    <s v="Retail"/>
    <s v="O. Wang"/>
    <s v="Accessories"/>
    <s v="ACC-1882"/>
    <n v="1471.58"/>
    <n v="2576.65"/>
    <n v="4.0000000000000001E-3"/>
    <b v="0"/>
    <n v="7"/>
    <n v="17964.4038"/>
    <n v="10301.06"/>
    <n v="7663.3438000000006"/>
    <n v="0.4265849223451546"/>
    <s v="High"/>
  </r>
  <r>
    <s v="ORD-2023-957692"/>
    <x v="217"/>
    <x v="7"/>
    <x v="6"/>
    <d v="2023-05-20T00:00:00"/>
    <d v="2023-05-20T00:00:00"/>
    <n v="13"/>
    <s v="Asia"/>
    <x v="9"/>
    <s v="Mumbai"/>
    <s v="Enterprise"/>
    <s v="Retail"/>
    <s v="D. Smith"/>
    <s v="Accessories"/>
    <s v="ACC-9283"/>
    <n v="1443.28"/>
    <n v="2580.5700000000002"/>
    <n v="0"/>
    <b v="0"/>
    <n v="18"/>
    <n v="46450.26"/>
    <n v="25979.040000000001"/>
    <n v="20471.22"/>
    <n v="0.4407127107577008"/>
    <s v="High"/>
  </r>
  <r>
    <s v="ORD-2024-215294"/>
    <x v="356"/>
    <x v="4"/>
    <x v="4"/>
    <d v="2024-07-14T00:00:00"/>
    <d v="2024-07-14T00:00:00"/>
    <n v="14"/>
    <s v="Americas"/>
    <x v="5"/>
    <s v="Brasília"/>
    <s v="Education"/>
    <s v="Retail"/>
    <s v="C. Otieno"/>
    <s v="Accessories"/>
    <s v="ACC-8683"/>
    <n v="1491.85"/>
    <n v="2583.02"/>
    <n v="0.16800000000000001"/>
    <b v="0"/>
    <n v="4"/>
    <n v="8596.2905599999995"/>
    <n v="5967.4"/>
    <n v="2628.8905599999998"/>
    <n v="0.30581685689321325"/>
    <s v="High"/>
  </r>
  <r>
    <s v="ORD-2025-779574"/>
    <x v="251"/>
    <x v="5"/>
    <x v="5"/>
    <d v="2025-09-12T00:00:00"/>
    <d v="2025-09-12T00:00:00"/>
    <n v="2"/>
    <s v="Asia"/>
    <x v="7"/>
    <s v="Tokyo"/>
    <s v="Consumer"/>
    <s v="Online"/>
    <s v="O. Wang"/>
    <s v="Components"/>
    <s v="CMP-6971"/>
    <n v="1470.15"/>
    <n v="2593.7800000000002"/>
    <n v="0.11"/>
    <b v="0"/>
    <n v="12"/>
    <n v="27701.570400000001"/>
    <n v="17641.800000000003"/>
    <n v="10059.770399999998"/>
    <n v="0.36314801849645306"/>
    <s v="High"/>
  </r>
  <r>
    <s v="ORD-2024-732543"/>
    <x v="422"/>
    <x v="20"/>
    <x v="0"/>
    <d v="2024-10-28T00:00:00"/>
    <d v="2024-10-28T00:00:00"/>
    <n v="4"/>
    <s v="Asia"/>
    <x v="10"/>
    <s v="Shanghai"/>
    <s v="Small Business"/>
    <s v="Distributor"/>
    <s v="I. Johnson"/>
    <s v="Networking"/>
    <s v="NET-3728"/>
    <n v="1331.77"/>
    <n v="2606.11"/>
    <n v="0.02"/>
    <b v="0"/>
    <n v="6"/>
    <n v="15323.926799999999"/>
    <n v="7990.62"/>
    <n v="7333.3067999999994"/>
    <n v="0.47855271665745619"/>
    <s v="High"/>
  </r>
  <r>
    <s v="ORD-2024-468501"/>
    <x v="423"/>
    <x v="22"/>
    <x v="0"/>
    <d v="2024-11-22T00:00:00"/>
    <d v="2024-11-22T00:00:00"/>
    <n v="16"/>
    <s v="Americas"/>
    <x v="11"/>
    <s v="Toronto"/>
    <s v="Non-Profit"/>
    <s v="Distributor"/>
    <s v="D. Smith"/>
    <s v="Accessories"/>
    <s v="ACC-6348"/>
    <n v="1454.11"/>
    <n v="2629.75"/>
    <n v="0.29199999999999998"/>
    <b v="0"/>
    <n v="8"/>
    <n v="14894.903999999999"/>
    <n v="11632.88"/>
    <n v="3262.0239999999994"/>
    <n v="0.21900268709351867"/>
    <s v="High"/>
  </r>
  <r>
    <s v="ORD-2025-474710"/>
    <x v="424"/>
    <x v="18"/>
    <x v="5"/>
    <d v="2025-08-06T00:00:00"/>
    <d v="2025-08-06T00:00:00"/>
    <n v="13"/>
    <s v="Africa"/>
    <x v="4"/>
    <s v="Johannesburg"/>
    <s v="Education"/>
    <s v="Marketplace"/>
    <s v="D. Smith"/>
    <s v="Networking"/>
    <s v="NET-7966"/>
    <n v="1463.9"/>
    <n v="2633.02"/>
    <n v="8.4000000000000005E-2"/>
    <b v="0"/>
    <n v="4"/>
    <n v="9647.3852800000004"/>
    <n v="5855.6"/>
    <n v="3791.7852800000001"/>
    <n v="0.39303761277791527"/>
    <s v="High"/>
  </r>
  <r>
    <s v="ORD-2023-561823"/>
    <x v="425"/>
    <x v="30"/>
    <x v="8"/>
    <d v="2023-12-12T00:00:00"/>
    <d v="2023-12-12T00:00:00"/>
    <n v="23"/>
    <s v="Asia"/>
    <x v="9"/>
    <s v="Delhi"/>
    <s v="Small Business"/>
    <s v="Direct"/>
    <s v="C. Otieno"/>
    <s v="Networking"/>
    <s v="NET-2460"/>
    <n v="1349.04"/>
    <n v="2636.6"/>
    <n v="0.114"/>
    <b v="0"/>
    <n v="14"/>
    <n v="32704.386400000003"/>
    <n v="18886.559999999998"/>
    <n v="13817.826400000005"/>
    <n v="0.42250682312143928"/>
    <s v="High"/>
  </r>
  <r>
    <s v="ORD-2023-701153"/>
    <x v="101"/>
    <x v="16"/>
    <x v="6"/>
    <d v="2023-05-13T00:00:00"/>
    <d v="2023-05-13T00:00:00"/>
    <n v="29"/>
    <s v="Europe"/>
    <x v="6"/>
    <s v="Frankfurt"/>
    <s v="Consumer"/>
    <s v="Direct"/>
    <s v="J. Njeri"/>
    <s v="Printers"/>
    <s v="PRN-7019"/>
    <n v="1320.33"/>
    <n v="2645.23"/>
    <n v="0.155"/>
    <b v="0"/>
    <n v="25"/>
    <n v="55880.483749999999"/>
    <n v="33008.25"/>
    <n v="22872.233749999999"/>
    <n v="0.40930629470436536"/>
    <s v="High"/>
  </r>
  <r>
    <s v="ORD-2024-353078"/>
    <x v="426"/>
    <x v="25"/>
    <x v="10"/>
    <d v="2024-08-26T00:00:00"/>
    <d v="2024-08-26T00:00:00"/>
    <n v="10"/>
    <s v="Americas"/>
    <x v="3"/>
    <s v="Chicago"/>
    <s v="Corporate"/>
    <s v="Distributor"/>
    <s v="L. Okafor"/>
    <s v="Laptops"/>
    <s v="LAP-5763"/>
    <n v="1291.7"/>
    <n v="2657.84"/>
    <n v="8.6999999999999994E-2"/>
    <b v="0"/>
    <n v="21"/>
    <n v="50958.766320000002"/>
    <n v="27125.7"/>
    <n v="23833.066320000002"/>
    <n v="0.46769315745083367"/>
    <s v="High"/>
  </r>
  <r>
    <s v="ORD-2024-508213"/>
    <x v="427"/>
    <x v="22"/>
    <x v="0"/>
    <d v="2024-12-15T00:00:00"/>
    <d v="2024-12-15T00:00:00"/>
    <n v="23"/>
    <s v="Africa"/>
    <x v="1"/>
    <s v="Mombasa"/>
    <s v="Non-Profit"/>
    <s v="Distributor"/>
    <s v="C. Otieno"/>
    <s v="Components"/>
    <s v="CMP-3938"/>
    <n v="1335.76"/>
    <n v="2665.91"/>
    <n v="0.21099999999999999"/>
    <b v="0"/>
    <n v="40"/>
    <n v="84136.119600000005"/>
    <n v="53430.400000000001"/>
    <n v="30705.719600000004"/>
    <n v="0.36495288522909253"/>
    <s v="High"/>
  </r>
  <r>
    <s v="ORD-2025-564184"/>
    <x v="428"/>
    <x v="27"/>
    <x v="9"/>
    <d v="2025-02-06T00:00:00"/>
    <d v="2025-02-06T00:00:00"/>
    <n v="8"/>
    <s v="Africa"/>
    <x v="1"/>
    <s v="Kisumu"/>
    <s v="Education"/>
    <s v="Retail"/>
    <s v="B. Chen"/>
    <s v="Phones"/>
    <s v="PHN-1671"/>
    <n v="1445.27"/>
    <n v="2691.45"/>
    <n v="0"/>
    <b v="0"/>
    <n v="9"/>
    <n v="24223.05"/>
    <n v="13007.43"/>
    <n v="11215.619999999999"/>
    <n v="0.46301436028906351"/>
    <s v="High"/>
  </r>
  <r>
    <s v="ORD-2023-290237"/>
    <x v="429"/>
    <x v="24"/>
    <x v="7"/>
    <d v="2023-08-07T00:00:00"/>
    <d v="2023-08-07T00:00:00"/>
    <n v="8"/>
    <s v="Asia"/>
    <x v="7"/>
    <s v="Nagoya"/>
    <s v="Education"/>
    <s v="Marketplace"/>
    <s v="A. Patel"/>
    <s v="Networking"/>
    <s v="NET-1645"/>
    <n v="1352.44"/>
    <n v="2698.01"/>
    <n v="0.13100000000000001"/>
    <b v="0"/>
    <n v="13"/>
    <n v="30479.418970000002"/>
    <n v="17581.72"/>
    <n v="12897.698970000001"/>
    <n v="0.42316091992090887"/>
    <s v="High"/>
  </r>
  <r>
    <s v="ORD-2025-233883"/>
    <x v="337"/>
    <x v="5"/>
    <x v="5"/>
    <d v="2025-09-16T00:00:00"/>
    <d v="2025-09-16T00:00:00"/>
    <n v="8"/>
    <s v="Asia"/>
    <x v="7"/>
    <s v="Osaka"/>
    <s v="Corporate"/>
    <s v="Distributor"/>
    <s v="C. Otieno"/>
    <s v="Phones"/>
    <s v="PHN-1197"/>
    <n v="1225.57"/>
    <n v="2705.57"/>
    <n v="0.183"/>
    <b v="0"/>
    <n v="16"/>
    <n v="35367.211040000002"/>
    <n v="19609.12"/>
    <n v="15758.091040000003"/>
    <n v="0.44555650775453404"/>
    <s v="High"/>
  </r>
  <r>
    <s v="ORD-2023-987081"/>
    <x v="365"/>
    <x v="9"/>
    <x v="7"/>
    <d v="2023-09-13T00:00:00"/>
    <d v="2023-09-13T00:00:00"/>
    <n v="15"/>
    <s v="Americas"/>
    <x v="11"/>
    <s v="Vancouver"/>
    <s v="Small Business"/>
    <s v="Marketplace"/>
    <s v="O. Wang"/>
    <s v="Printers"/>
    <s v="PRN-9975"/>
    <n v="1287.6400000000001"/>
    <n v="2717.15"/>
    <n v="3.2000000000000001E-2"/>
    <b v="0"/>
    <n v="7"/>
    <n v="18411.4084"/>
    <n v="9013.4800000000014"/>
    <n v="9397.9283999999989"/>
    <n v="0.51044049405802105"/>
    <s v="High"/>
  </r>
  <r>
    <s v="ORD-2025-685236"/>
    <x v="430"/>
    <x v="14"/>
    <x v="9"/>
    <d v="2025-03-29T00:00:00"/>
    <d v="2025-03-29T00:00:00"/>
    <n v="15"/>
    <s v="Asia"/>
    <x v="7"/>
    <s v="Tokyo"/>
    <s v="Non-Profit"/>
    <s v="Direct"/>
    <s v="H. Kim"/>
    <s v="Networking"/>
    <s v="NET-8430"/>
    <n v="1106.96"/>
    <n v="2726.62"/>
    <n v="0"/>
    <b v="0"/>
    <n v="7"/>
    <n v="19086.34"/>
    <n v="7748.72"/>
    <n v="11337.619999999999"/>
    <n v="0.59401750152203092"/>
    <s v="High"/>
  </r>
  <r>
    <s v="ORD-2024-105586"/>
    <x v="100"/>
    <x v="21"/>
    <x v="3"/>
    <d v="2024-01-15T00:00:00"/>
    <d v="2024-01-15T00:00:00"/>
    <n v="13"/>
    <s v="Asia"/>
    <x v="7"/>
    <s v="Nagoya"/>
    <s v="Small Business"/>
    <s v="Marketplace"/>
    <s v="G. Dubois"/>
    <s v="Networking"/>
    <s v="NET-1893"/>
    <n v="1219.06"/>
    <n v="2738.69"/>
    <n v="7.5999999999999998E-2"/>
    <b v="0"/>
    <n v="16"/>
    <n v="40488.792960000006"/>
    <n v="19504.96"/>
    <n v="20983.832960000007"/>
    <n v="0.51826274447673737"/>
    <s v="High"/>
  </r>
  <r>
    <s v="ORD-2023-576840"/>
    <x v="425"/>
    <x v="30"/>
    <x v="8"/>
    <d v="2023-12-13T00:00:00"/>
    <d v="2023-12-13T00:00:00"/>
    <n v="24"/>
    <s v="Europe"/>
    <x v="2"/>
    <s v="Lyon"/>
    <s v="Non-Profit"/>
    <s v="Direct"/>
    <s v="H. Kim"/>
    <s v="Monitors"/>
    <s v="MON-3745"/>
    <n v="1297.42"/>
    <n v="2742.97"/>
    <n v="6.9000000000000006E-2"/>
    <b v="0"/>
    <n v="9"/>
    <n v="22983.34563"/>
    <n v="11676.78"/>
    <n v="11306.565629999999"/>
    <n v="0.49194602961727291"/>
    <s v="High"/>
  </r>
  <r>
    <s v="ORD-2024-332076"/>
    <x v="431"/>
    <x v="31"/>
    <x v="4"/>
    <d v="2024-04-18T00:00:00"/>
    <d v="2024-04-18T00:00:00"/>
    <n v="9"/>
    <s v="Europe"/>
    <x v="2"/>
    <s v="Lyon"/>
    <s v="Consumer"/>
    <s v="Online"/>
    <s v="E. Garcia"/>
    <s v="Printers"/>
    <s v="PRN-1086"/>
    <n v="1288.8499999999999"/>
    <n v="2751.84"/>
    <n v="0.158"/>
    <b v="0"/>
    <n v="7"/>
    <n v="16219.34496"/>
    <n v="9021.9499999999989"/>
    <n v="7197.3949600000014"/>
    <n v="0.44375373837538756"/>
    <s v="High"/>
  </r>
  <r>
    <s v="ORD-2025-752192"/>
    <x v="290"/>
    <x v="23"/>
    <x v="2"/>
    <d v="2025-05-18T00:00:00"/>
    <d v="2025-05-18T00:00:00"/>
    <n v="2"/>
    <s v="Asia"/>
    <x v="7"/>
    <s v="Tokyo"/>
    <s v="Enterprise"/>
    <s v="Retail"/>
    <s v="J. Njeri"/>
    <s v="Printers"/>
    <s v="PRN-6131"/>
    <n v="1144.3800000000001"/>
    <n v="2755.04"/>
    <n v="0.15"/>
    <b v="0"/>
    <n v="17"/>
    <n v="39810.328000000001"/>
    <n v="19454.460000000003"/>
    <n v="20355.867999999999"/>
    <n v="0.51132128326096682"/>
    <s v="High"/>
  </r>
  <r>
    <s v="ORD-2025-132174"/>
    <x v="432"/>
    <x v="18"/>
    <x v="5"/>
    <d v="2025-07-23T00:00:00"/>
    <d v="2025-07-23T00:00:00"/>
    <n v="6"/>
    <s v="Americas"/>
    <x v="11"/>
    <s v="Vancouver"/>
    <s v="Consumer"/>
    <s v="Online"/>
    <s v="H. Kim"/>
    <s v="Components"/>
    <s v="CMP-8851"/>
    <n v="1364.89"/>
    <n v="2757.54"/>
    <n v="0.17199999999999999"/>
    <b v="0"/>
    <n v="61"/>
    <n v="139277.83032000001"/>
    <n v="83258.290000000008"/>
    <n v="56019.54032"/>
    <n v="0.4022143379983118"/>
    <s v="High"/>
  </r>
  <r>
    <s v="ORD-2023-159379"/>
    <x v="433"/>
    <x v="1"/>
    <x v="1"/>
    <d v="2023-02-11T00:00:00"/>
    <d v="2023-02-11T00:00:00"/>
    <n v="3"/>
    <s v="Africa"/>
    <x v="4"/>
    <s v="Cape Town"/>
    <s v="Corporate"/>
    <s v="Direct"/>
    <s v="M. Rossi"/>
    <s v="Networking"/>
    <s v="NET-5018"/>
    <n v="1410.05"/>
    <n v="2763.95"/>
    <n v="0.161"/>
    <b v="0"/>
    <n v="26"/>
    <n v="60292.805299999993"/>
    <n v="36661.299999999996"/>
    <n v="23631.505299999997"/>
    <n v="0.39194569206750779"/>
    <s v="High"/>
  </r>
  <r>
    <s v="ORD-2024-651852"/>
    <x v="434"/>
    <x v="0"/>
    <x v="0"/>
    <d v="2025-01-08T00:00:00"/>
    <d v="2025-01-08T00:00:00"/>
    <n v="11"/>
    <s v="Asia"/>
    <x v="10"/>
    <s v="Shenzhen"/>
    <s v="Enterprise"/>
    <s v="Online"/>
    <s v="K. Singh"/>
    <s v="Laptops"/>
    <s v="LAP-8825"/>
    <n v="1201.31"/>
    <n v="2764.65"/>
    <n v="0"/>
    <b v="0"/>
    <n v="21"/>
    <n v="58057.65"/>
    <n v="25227.51"/>
    <n v="32830.14"/>
    <n v="0.56547483406579491"/>
    <s v="High"/>
  </r>
  <r>
    <s v="ORD-2025-417336"/>
    <x v="220"/>
    <x v="11"/>
    <x v="5"/>
    <d v="2025-09-03T00:00:00"/>
    <d v="2025-09-03T00:00:00"/>
    <n v="4"/>
    <s v="Europe"/>
    <x v="2"/>
    <s v="Marseille"/>
    <s v="Small Business"/>
    <s v="Marketplace"/>
    <s v="J. Njeri"/>
    <s v="Laptops"/>
    <s v="LAP-3220"/>
    <n v="1286.56"/>
    <n v="2777.35"/>
    <n v="0.13200000000000001"/>
    <b v="0"/>
    <n v="15"/>
    <n v="36161.097000000002"/>
    <n v="19298.399999999998"/>
    <n v="16862.697000000004"/>
    <n v="0.46632150014696744"/>
    <s v="High"/>
  </r>
  <r>
    <s v="ORD-2025-254721"/>
    <x v="435"/>
    <x v="23"/>
    <x v="2"/>
    <d v="2025-06-05T00:00:00"/>
    <d v="2025-06-05T00:00:00"/>
    <n v="21"/>
    <s v="Asia"/>
    <x v="7"/>
    <s v="Osaka"/>
    <s v="Enterprise"/>
    <s v="Direct"/>
    <s v="H. Kim"/>
    <s v="Phones"/>
    <s v="PHN-6480"/>
    <n v="1466.5"/>
    <n v="2778.74"/>
    <n v="0.13500000000000001"/>
    <b v="0"/>
    <n v="4"/>
    <n v="9614.4403999999995"/>
    <n v="5866"/>
    <n v="3748.4403999999995"/>
    <n v="0.38987608680792279"/>
    <s v="High"/>
  </r>
  <r>
    <s v="ORD-2023-573146"/>
    <x v="436"/>
    <x v="32"/>
    <x v="8"/>
    <d v="2023-12-18T00:00:00"/>
    <d v="2023-12-18T00:00:00"/>
    <n v="17"/>
    <s v="Asia"/>
    <x v="7"/>
    <s v="Nagoya"/>
    <s v="Small Business"/>
    <s v="Direct"/>
    <s v="N. Brown"/>
    <s v="Laptops"/>
    <s v="LAP-3604"/>
    <n v="1495.79"/>
    <n v="2783.12"/>
    <n v="0.02"/>
    <b v="0"/>
    <n v="5"/>
    <n v="13637.287999999999"/>
    <n v="7478.95"/>
    <n v="6158.3379999999988"/>
    <n v="0.45158084217331185"/>
    <s v="High"/>
  </r>
  <r>
    <s v="ORD-2023-451931"/>
    <x v="429"/>
    <x v="24"/>
    <x v="7"/>
    <d v="2023-08-19T00:00:00"/>
    <d v="2023-08-19T00:00:00"/>
    <n v="20"/>
    <s v="Europe"/>
    <x v="2"/>
    <s v="Paris"/>
    <s v="Enterprise"/>
    <s v="Marketplace"/>
    <s v="G. Dubois"/>
    <s v="Networking"/>
    <s v="NET-5423"/>
    <n v="1418.51"/>
    <n v="2789.61"/>
    <n v="0.17100000000000001"/>
    <b v="0"/>
    <n v="8"/>
    <n v="18500.693520000001"/>
    <n v="11348.08"/>
    <n v="7152.6135200000008"/>
    <n v="0.38661326464695689"/>
    <s v="High"/>
  </r>
  <r>
    <s v="ORD-2025-931538"/>
    <x v="437"/>
    <x v="12"/>
    <x v="9"/>
    <d v="2025-03-01T00:00:00"/>
    <d v="2025-03-01T00:00:00"/>
    <n v="20"/>
    <s v="Americas"/>
    <x v="5"/>
    <s v="São Paulo"/>
    <s v="Corporate"/>
    <s v="Distributor"/>
    <s v="B. Chen"/>
    <s v="Laptops"/>
    <s v="LAP-6989"/>
    <n v="1154.6400000000001"/>
    <n v="2794.13"/>
    <n v="3.5000000000000003E-2"/>
    <b v="0"/>
    <n v="11"/>
    <n v="29659.68995"/>
    <n v="12701.04"/>
    <n v="16958.649949999999"/>
    <n v="0.57177435025749479"/>
    <s v="High"/>
  </r>
  <r>
    <s v="ORD-2023-286720"/>
    <x v="438"/>
    <x v="24"/>
    <x v="7"/>
    <d v="2023-07-09T00:00:00"/>
    <d v="2023-07-09T00:00:00"/>
    <n v="1"/>
    <s v="Africa"/>
    <x v="1"/>
    <s v="Nairobi"/>
    <s v="Consumer"/>
    <s v="Online"/>
    <s v="D. Smith"/>
    <s v="Laptops"/>
    <s v="LAP-1989"/>
    <n v="1258.72"/>
    <n v="2797.41"/>
    <n v="0"/>
    <b v="0"/>
    <n v="7"/>
    <n v="19581.87"/>
    <n v="8811.0400000000009"/>
    <n v="10770.829999999998"/>
    <n v="0.55004093071805704"/>
    <s v="High"/>
  </r>
  <r>
    <s v="ORD-2025-312803"/>
    <x v="78"/>
    <x v="2"/>
    <x v="2"/>
    <d v="2025-07-14T00:00:00"/>
    <d v="2025-07-14T00:00:00"/>
    <n v="20"/>
    <s v="Africa"/>
    <x v="4"/>
    <s v="Johannesburg"/>
    <s v="Enterprise"/>
    <s v="Marketplace"/>
    <s v="J. Njeri"/>
    <s v="Laptops"/>
    <s v="LAP-1308"/>
    <n v="1151.06"/>
    <n v="2821.36"/>
    <n v="0.248"/>
    <b v="0"/>
    <n v="20"/>
    <n v="42433.254400000005"/>
    <n v="23021.199999999997"/>
    <n v="19412.054400000008"/>
    <n v="0.45747267501594235"/>
    <s v="High"/>
  </r>
  <r>
    <s v="ORD-2024-437164"/>
    <x v="439"/>
    <x v="8"/>
    <x v="3"/>
    <d v="2024-02-20T00:00:00"/>
    <d v="2024-02-20T00:00:00"/>
    <n v="0"/>
    <s v="Americas"/>
    <x v="3"/>
    <s v="New York"/>
    <s v="Enterprise"/>
    <s v="Online"/>
    <s v="C. Otieno"/>
    <s v="Networking"/>
    <s v="NET-9177"/>
    <n v="1407.05"/>
    <n v="2858.93"/>
    <n v="0"/>
    <b v="0"/>
    <n v="12"/>
    <n v="34307.159999999996"/>
    <n v="16884.599999999999"/>
    <n v="17422.559999999998"/>
    <n v="0.50784034586366222"/>
    <s v="High"/>
  </r>
  <r>
    <s v="ORD-2025-588029"/>
    <x v="202"/>
    <x v="5"/>
    <x v="5"/>
    <d v="2025-09-23T00:00:00"/>
    <d v="2025-09-23T00:00:00"/>
    <n v="9"/>
    <s v="Africa"/>
    <x v="4"/>
    <s v="Durban"/>
    <s v="Non-Profit"/>
    <s v="Online"/>
    <s v="D. Smith"/>
    <s v="Components"/>
    <s v="CMP-6898"/>
    <n v="1310.3"/>
    <n v="2875.8"/>
    <n v="8.3000000000000004E-2"/>
    <b v="0"/>
    <n v="5"/>
    <n v="13185.543"/>
    <n v="6551.5"/>
    <n v="6634.0429999999997"/>
    <n v="0.50313005691157353"/>
    <s v="High"/>
  </r>
  <r>
    <s v="ORD-2023-867836"/>
    <x v="9"/>
    <x v="7"/>
    <x v="6"/>
    <d v="2023-05-28T00:00:00"/>
    <d v="2023-05-28T00:00:00"/>
    <n v="17"/>
    <s v="Asia"/>
    <x v="10"/>
    <s v="Shenzhen"/>
    <s v="Enterprise"/>
    <s v="Marketplace"/>
    <s v="E. Garcia"/>
    <s v="Networking"/>
    <s v="NET-3255"/>
    <n v="1331.19"/>
    <n v="2903.09"/>
    <n v="0.14299999999999999"/>
    <b v="0"/>
    <n v="8"/>
    <n v="19903.585040000002"/>
    <n v="10649.52"/>
    <n v="9254.0650400000013"/>
    <n v="0.46494463290920784"/>
    <s v="High"/>
  </r>
  <r>
    <s v="ORD-2023-927385"/>
    <x v="440"/>
    <x v="7"/>
    <x v="6"/>
    <d v="2023-06-20T00:00:00"/>
    <d v="2023-06-20T00:00:00"/>
    <n v="22"/>
    <s v="Europe"/>
    <x v="0"/>
    <s v="London"/>
    <s v="Small Business"/>
    <s v="Direct"/>
    <s v="K. Singh"/>
    <s v="Components"/>
    <s v="CMP-8545"/>
    <n v="1295.3900000000001"/>
    <n v="2905.06"/>
    <n v="0.14799999999999999"/>
    <b v="0"/>
    <n v="8"/>
    <n v="19800.88896"/>
    <n v="10363.120000000001"/>
    <n v="9437.7689599999994"/>
    <n v="0.47663359857556614"/>
    <s v="High"/>
  </r>
  <r>
    <s v="ORD-2025-678688"/>
    <x v="441"/>
    <x v="18"/>
    <x v="5"/>
    <d v="2025-07-17T00:00:00"/>
    <d v="2025-07-17T00:00:00"/>
    <n v="1"/>
    <s v="Africa"/>
    <x v="4"/>
    <s v="Durban"/>
    <s v="Small Business"/>
    <s v="Distributor"/>
    <s v="B. Chen"/>
    <s v="Networking"/>
    <s v="NET-1612"/>
    <n v="1198.9000000000001"/>
    <n v="2941.2"/>
    <n v="5.0999999999999997E-2"/>
    <b v="0"/>
    <n v="24"/>
    <n v="66988.771199999988"/>
    <n v="28773.600000000002"/>
    <n v="38215.171199999982"/>
    <n v="0.57047129713583977"/>
    <s v="High"/>
  </r>
  <r>
    <s v="ORD-2024-536442"/>
    <x v="442"/>
    <x v="25"/>
    <x v="10"/>
    <d v="2024-09-26T00:00:00"/>
    <d v="2024-09-26T00:00:00"/>
    <n v="26"/>
    <s v="Asia"/>
    <x v="7"/>
    <s v="Tokyo"/>
    <s v="Education"/>
    <s v="Online"/>
    <s v="I. Johnson"/>
    <s v="Phones"/>
    <s v="PHN-6111"/>
    <n v="1189.03"/>
    <n v="2949.62"/>
    <n v="0.125"/>
    <b v="0"/>
    <n v="13"/>
    <n v="33551.927499999998"/>
    <n v="15457.39"/>
    <n v="18094.537499999999"/>
    <n v="0.53929949330034765"/>
    <s v="High"/>
  </r>
  <r>
    <s v="ORD-2024-771210"/>
    <x v="443"/>
    <x v="19"/>
    <x v="10"/>
    <d v="2024-10-05T00:00:00"/>
    <d v="2024-10-05T00:00:00"/>
    <n v="21"/>
    <s v="Asia"/>
    <x v="10"/>
    <s v="Shanghai"/>
    <s v="Small Business"/>
    <s v="Online"/>
    <s v="H. Kim"/>
    <s v="Laptops"/>
    <s v="LAP-5150"/>
    <n v="1405.56"/>
    <n v="2968.87"/>
    <n v="0.16900000000000001"/>
    <b v="0"/>
    <n v="5"/>
    <n v="12335.654849999999"/>
    <n v="7027.7999999999993"/>
    <n v="5307.8548499999997"/>
    <n v="0.4302856163327235"/>
    <s v="High"/>
  </r>
  <r>
    <s v="ORD-2023-434071"/>
    <x v="116"/>
    <x v="17"/>
    <x v="6"/>
    <d v="2023-07-04T00:00:00"/>
    <d v="2023-07-04T00:00:00"/>
    <n v="14"/>
    <s v="Americas"/>
    <x v="5"/>
    <s v="Brasília"/>
    <s v="Non-Profit"/>
    <s v="Direct"/>
    <s v="C. Otieno"/>
    <s v="Networking"/>
    <s v="NET-1228"/>
    <n v="1292.8599999999999"/>
    <n v="2981.01"/>
    <n v="0.14199999999999999"/>
    <b v="0"/>
    <n v="12"/>
    <n v="30692.47896"/>
    <n v="15514.32"/>
    <n v="15178.158960000001"/>
    <n v="0.49452372288927687"/>
    <s v="High"/>
  </r>
  <r>
    <s v="ORD-2024-819778"/>
    <x v="85"/>
    <x v="4"/>
    <x v="4"/>
    <d v="2024-06-15T00:00:00"/>
    <d v="2024-06-15T00:00:00"/>
    <n v="13"/>
    <s v="Africa"/>
    <x v="1"/>
    <s v="Mombasa"/>
    <s v="Education"/>
    <s v="Online"/>
    <s v="O. Wang"/>
    <s v="Phones"/>
    <s v="PHN-6866"/>
    <n v="1295.18"/>
    <n v="3024.03"/>
    <n v="0.192"/>
    <b v="0"/>
    <n v="8"/>
    <n v="19547.329920000004"/>
    <n v="10361.44"/>
    <n v="9185.8899200000033"/>
    <n v="0.46993067378483178"/>
    <s v="High"/>
  </r>
  <r>
    <s v="ORD-2025-137394"/>
    <x v="444"/>
    <x v="27"/>
    <x v="9"/>
    <d v="2025-01-05T00:00:00"/>
    <d v="2025-01-05T00:00:00"/>
    <n v="1"/>
    <s v="Asia"/>
    <x v="9"/>
    <s v="Delhi"/>
    <s v="Education"/>
    <s v="Retail"/>
    <s v="I. Johnson"/>
    <s v="Components"/>
    <s v="CMP-1156"/>
    <n v="1428.33"/>
    <n v="3028.05"/>
    <n v="0"/>
    <b v="0"/>
    <n v="11"/>
    <n v="33308.550000000003"/>
    <n v="15711.63"/>
    <n v="17596.920000000006"/>
    <n v="0.52830039134096207"/>
    <s v="High"/>
  </r>
  <r>
    <s v="ORD-2024-167215"/>
    <x v="445"/>
    <x v="25"/>
    <x v="10"/>
    <d v="2024-08-21T00:00:00"/>
    <d v="2024-09-06T00:00:00"/>
    <n v="14"/>
    <s v="Africa"/>
    <x v="4"/>
    <s v="Johannesburg"/>
    <s v="Education"/>
    <s v="Retail"/>
    <s v="E. Garcia"/>
    <s v="Components"/>
    <s v="CMP-1559"/>
    <n v="1432.52"/>
    <n v="3036.87"/>
    <n v="0"/>
    <b v="0"/>
    <n v="9"/>
    <n v="27331.829999999998"/>
    <n v="12892.68"/>
    <n v="14439.149999999998"/>
    <n v="0.52829064135112791"/>
    <s v="High"/>
  </r>
  <r>
    <s v="ORD-2024-572312"/>
    <x v="408"/>
    <x v="4"/>
    <x v="4"/>
    <d v="2024-06-21T00:00:00"/>
    <d v="2024-06-21T00:00:00"/>
    <n v="5"/>
    <s v="Asia"/>
    <x v="7"/>
    <s v="Tokyo"/>
    <s v="Small Business"/>
    <s v="Distributor"/>
    <s v="F. Müller"/>
    <s v="Phones"/>
    <s v="PHN-9677"/>
    <n v="1367.13"/>
    <n v="3062.01"/>
    <n v="0.10299999999999999"/>
    <b v="0"/>
    <n v="25"/>
    <n v="68665.574250000005"/>
    <n v="34178.25"/>
    <n v="34487.324250000005"/>
    <n v="0.50225057645971705"/>
    <s v="High"/>
  </r>
  <r>
    <s v="ORD-2023-132101"/>
    <x v="60"/>
    <x v="28"/>
    <x v="7"/>
    <d v="2023-10-09T00:00:00"/>
    <d v="2023-10-09T00:00:00"/>
    <n v="14"/>
    <s v="Americas"/>
    <x v="3"/>
    <s v="New York"/>
    <s v="Small Business"/>
    <s v="Marketplace"/>
    <s v="J. Njeri"/>
    <s v="Laptops"/>
    <s v="LAP-6750"/>
    <n v="1279.56"/>
    <n v="3083.8"/>
    <n v="0.106"/>
    <b v="0"/>
    <n v="5"/>
    <n v="13784.586000000001"/>
    <n v="6397.7999999999993"/>
    <n v="7386.7860000000019"/>
    <n v="0.53587289455047848"/>
    <s v="High"/>
  </r>
  <r>
    <s v="ORD-2024-465898"/>
    <x v="446"/>
    <x v="4"/>
    <x v="4"/>
    <d v="2024-06-24T00:00:00"/>
    <d v="2024-06-24T00:00:00"/>
    <n v="18"/>
    <s v="Asia"/>
    <x v="9"/>
    <s v="Bengaluru"/>
    <s v="Small Business"/>
    <s v="Direct"/>
    <s v="H. Kim"/>
    <s v="Networking"/>
    <s v="NET-6578"/>
    <n v="1253.25"/>
    <n v="3087.13"/>
    <n v="7.1999999999999995E-2"/>
    <b v="0"/>
    <n v="11"/>
    <n v="31513.423040000001"/>
    <n v="13785.75"/>
    <n v="17727.673040000001"/>
    <n v="0.562543555408064"/>
    <s v="High"/>
  </r>
  <r>
    <s v="ORD-2023-472050"/>
    <x v="189"/>
    <x v="7"/>
    <x v="6"/>
    <d v="2023-05-27T00:00:00"/>
    <d v="2023-05-27T00:00:00"/>
    <n v="17"/>
    <s v="Asia"/>
    <x v="9"/>
    <s v="Mumbai"/>
    <s v="Consumer"/>
    <s v="Retail"/>
    <s v="M. Rossi"/>
    <s v="Laptops"/>
    <s v="LAP-6499"/>
    <n v="1286.1600000000001"/>
    <n v="3101.11"/>
    <n v="0.1"/>
    <b v="0"/>
    <n v="23"/>
    <n v="64192.976999999999"/>
    <n v="29581.68"/>
    <n v="34611.296999999999"/>
    <n v="0.53917575749758417"/>
    <s v="High"/>
  </r>
  <r>
    <s v="ORD-2025-328504"/>
    <x v="447"/>
    <x v="27"/>
    <x v="9"/>
    <d v="2025-02-15T00:00:00"/>
    <d v="2025-02-15T00:00:00"/>
    <n v="19"/>
    <s v="Asia"/>
    <x v="10"/>
    <s v="Shenzhen"/>
    <s v="Non-Profit"/>
    <s v="Direct"/>
    <s v="L. Okafor"/>
    <s v="Phones"/>
    <s v="PHN-8368"/>
    <n v="1253.22"/>
    <n v="3104.71"/>
    <n v="0"/>
    <b v="0"/>
    <n v="17"/>
    <n v="52780.07"/>
    <n v="21304.74"/>
    <n v="31475.329999999998"/>
    <n v="0.59634877331538205"/>
    <s v="High"/>
  </r>
  <r>
    <s v="ORD-2025-677880"/>
    <x v="95"/>
    <x v="11"/>
    <x v="5"/>
    <d v="2025-09-14T00:00:00"/>
    <d v="2025-09-14T00:00:00"/>
    <n v="24"/>
    <s v="Europe"/>
    <x v="6"/>
    <s v="Berlin"/>
    <s v="Non-Profit"/>
    <s v="Online"/>
    <s v="A. Patel"/>
    <s v="Monitors"/>
    <s v="MON-9662"/>
    <n v="1397.67"/>
    <n v="3131.37"/>
    <n v="0.10299999999999999"/>
    <b v="0"/>
    <n v="20"/>
    <n v="56176.777799999996"/>
    <n v="27953.4"/>
    <n v="28223.377799999995"/>
    <n v="0.50240293062874808"/>
    <s v="High"/>
  </r>
  <r>
    <s v="ORD-2023-888245"/>
    <x v="1"/>
    <x v="1"/>
    <x v="1"/>
    <d v="2023-02-27T00:00:00"/>
    <d v="2023-03-14T00:00:00"/>
    <n v="14"/>
    <s v="Europe"/>
    <x v="2"/>
    <s v="Marseille"/>
    <s v="Corporate"/>
    <s v="Retail"/>
    <s v="K. Singh"/>
    <s v="Networking"/>
    <s v="NET-5195"/>
    <n v="1299.81"/>
    <n v="3149.13"/>
    <n v="0.10299999999999999"/>
    <b v="0"/>
    <n v="14"/>
    <n v="39546.774539999999"/>
    <n v="18197.34"/>
    <n v="21349.434539999998"/>
    <n v="0.53985273864511729"/>
    <s v="High"/>
  </r>
  <r>
    <s v="ORD-2024-165942"/>
    <x v="448"/>
    <x v="0"/>
    <x v="0"/>
    <d v="2025-01-12T00:00:00"/>
    <d v="2025-01-12T00:00:00"/>
    <n v="14"/>
    <s v="Europe"/>
    <x v="0"/>
    <s v="Manchester"/>
    <s v="Corporate"/>
    <s v="Direct"/>
    <s v="B. Chen"/>
    <s v="Monitors"/>
    <s v="MON-6310"/>
    <n v="1399.72"/>
    <n v="3149.21"/>
    <n v="0.185"/>
    <b v="0"/>
    <n v="12"/>
    <n v="30799.273800000003"/>
    <n v="16796.64"/>
    <n v="14002.633800000003"/>
    <n v="0.45464168703873797"/>
    <s v="High"/>
  </r>
  <r>
    <s v="ORD-2023-163610"/>
    <x v="449"/>
    <x v="10"/>
    <x v="8"/>
    <d v="2023-11-16T00:00:00"/>
    <d v="2023-11-16T00:00:00"/>
    <n v="25"/>
    <s v="Americas"/>
    <x v="11"/>
    <s v="Toronto"/>
    <s v="Small Business"/>
    <s v="Marketplace"/>
    <s v="I. Johnson"/>
    <s v="Laptops"/>
    <s v="LAP-9024"/>
    <n v="1373.31"/>
    <n v="3154.14"/>
    <n v="0.2"/>
    <b v="0"/>
    <n v="11"/>
    <n v="27756.432000000001"/>
    <n v="15106.41"/>
    <n v="12650.022000000001"/>
    <n v="0.45575101295440279"/>
    <s v="High"/>
  </r>
  <r>
    <s v="ORD-2024-468655"/>
    <x v="450"/>
    <x v="8"/>
    <x v="3"/>
    <d v="2024-03-06T00:00:00"/>
    <d v="2024-03-06T00:00:00"/>
    <n v="16"/>
    <s v="Asia"/>
    <x v="10"/>
    <s v="Beijing"/>
    <s v="Education"/>
    <s v="Marketplace"/>
    <s v="O. Wang"/>
    <s v="Printers"/>
    <s v="PRN-6308"/>
    <n v="1477.84"/>
    <n v="3197.47"/>
    <n v="0.24299999999999999"/>
    <b v="0"/>
    <n v="24"/>
    <n v="58091.634960000003"/>
    <n v="35468.159999999996"/>
    <n v="22623.474960000007"/>
    <n v="0.38944462443823091"/>
    <s v="High"/>
  </r>
  <r>
    <s v="ORD-2024-998320"/>
    <x v="120"/>
    <x v="20"/>
    <x v="0"/>
    <d v="2024-11-14T00:00:00"/>
    <d v="2024-11-14T00:00:00"/>
    <n v="20"/>
    <s v="Africa"/>
    <x v="1"/>
    <s v="Mombasa"/>
    <s v="Corporate"/>
    <s v="Direct"/>
    <s v="H. Kim"/>
    <s v="Printers"/>
    <s v="PRN-3143"/>
    <n v="1396.48"/>
    <n v="3204.5"/>
    <n v="0"/>
    <b v="0"/>
    <n v="14"/>
    <n v="44863"/>
    <n v="19550.72"/>
    <n v="25312.28"/>
    <n v="0.56421282571383991"/>
    <s v="High"/>
  </r>
  <r>
    <s v="ORD-2024-341535"/>
    <x v="451"/>
    <x v="4"/>
    <x v="4"/>
    <d v="2024-06-30T00:00:00"/>
    <d v="2024-06-30T00:00:00"/>
    <n v="5"/>
    <s v="Africa"/>
    <x v="1"/>
    <s v="Kisumu"/>
    <s v="Education"/>
    <s v="Direct"/>
    <s v="M. Rossi"/>
    <s v="Networking"/>
    <s v="NET-5987"/>
    <n v="1323.55"/>
    <n v="3230.35"/>
    <n v="2.1999999999999999E-2"/>
    <b v="0"/>
    <n v="26"/>
    <n v="82141.339799999987"/>
    <n v="34412.299999999996"/>
    <n v="47729.039799999991"/>
    <n v="0.58105991351263542"/>
    <s v="High"/>
  </r>
  <r>
    <s v="ORD-2025-845715"/>
    <x v="452"/>
    <x v="6"/>
    <x v="2"/>
    <d v="2025-05-04T00:00:00"/>
    <d v="2025-05-04T00:00:00"/>
    <n v="20"/>
    <s v="Europe"/>
    <x v="0"/>
    <s v="Birmingham"/>
    <s v="Enterprise"/>
    <s v="Marketplace"/>
    <s v="K. Singh"/>
    <s v="Monitors"/>
    <s v="MON-6962"/>
    <n v="1413.87"/>
    <n v="3275"/>
    <n v="0.255"/>
    <b v="0"/>
    <n v="38"/>
    <n v="92715.25"/>
    <n v="53727.06"/>
    <n v="38988.19"/>
    <n v="0.42051539525590453"/>
    <s v="High"/>
  </r>
  <r>
    <s v="ORD-2025-398335"/>
    <x v="169"/>
    <x v="2"/>
    <x v="2"/>
    <d v="2025-06-27T00:00:00"/>
    <d v="2025-06-27T00:00:00"/>
    <n v="26"/>
    <s v="Europe"/>
    <x v="6"/>
    <s v="Munich"/>
    <s v="Consumer"/>
    <s v="Distributor"/>
    <s v="E. Garcia"/>
    <s v="Laptops"/>
    <s v="LAP-1619"/>
    <n v="1362.31"/>
    <n v="3294.57"/>
    <n v="0.113"/>
    <b v="0"/>
    <n v="7"/>
    <n v="20455.985130000001"/>
    <n v="9536.17"/>
    <n v="10919.815130000001"/>
    <n v="0.5338200561157721"/>
    <s v="High"/>
  </r>
  <r>
    <s v="ORD-2023-640022"/>
    <x v="453"/>
    <x v="9"/>
    <x v="7"/>
    <d v="2023-09-20T00:00:00"/>
    <d v="2023-09-20T00:00:00"/>
    <n v="27"/>
    <s v="Africa"/>
    <x v="4"/>
    <s v="Durban"/>
    <s v="Small Business"/>
    <s v="Marketplace"/>
    <s v="M. Rossi"/>
    <s v="Printers"/>
    <s v="PRN-4732"/>
    <n v="1399.64"/>
    <n v="3342.11"/>
    <n v="0"/>
    <b v="0"/>
    <n v="10"/>
    <n v="33421.1"/>
    <n v="13996.400000000001"/>
    <n v="19424.699999999997"/>
    <n v="0.58121067229983447"/>
    <s v="High"/>
  </r>
  <r>
    <s v="ORD-2023-869884"/>
    <x v="454"/>
    <x v="26"/>
    <x v="1"/>
    <d v="2023-03-05T00:00:00"/>
    <d v="2023-03-05T00:00:00"/>
    <n v="3"/>
    <s v="Americas"/>
    <x v="5"/>
    <s v="Brasília"/>
    <s v="Enterprise"/>
    <s v="Direct"/>
    <s v="G. Dubois"/>
    <s v="Monitors"/>
    <s v="MON-2828"/>
    <n v="1473.58"/>
    <n v="3436.52"/>
    <n v="0.108"/>
    <b v="0"/>
    <n v="8"/>
    <n v="24523.006720000001"/>
    <n v="11788.64"/>
    <n v="12734.366720000002"/>
    <n v="0.51928243813652564"/>
    <s v="High"/>
  </r>
  <r>
    <s v="ORD-2024-474999"/>
    <x v="150"/>
    <x v="0"/>
    <x v="0"/>
    <d v="2025-01-02T00:00:00"/>
    <d v="2025-01-02T00:00:00"/>
    <n v="6"/>
    <s v="Europe"/>
    <x v="6"/>
    <s v="Frankfurt"/>
    <s v="Education"/>
    <s v="Direct"/>
    <s v="F. Müller"/>
    <s v="Laptops"/>
    <s v="LAP-8214"/>
    <n v="1391.99"/>
    <n v="3469.7"/>
    <n v="0.184"/>
    <b v="0"/>
    <n v="23"/>
    <n v="65119.329599999997"/>
    <n v="32015.77"/>
    <n v="33103.559599999993"/>
    <n v="0.50835227886006973"/>
    <s v="High"/>
  </r>
  <r>
    <s v="ORD-2024-690270"/>
    <x v="455"/>
    <x v="15"/>
    <x v="4"/>
    <d v="2024-05-27T00:00:00"/>
    <d v="2024-05-27T00:00:00"/>
    <n v="10"/>
    <s v="Americas"/>
    <x v="3"/>
    <s v="Austin"/>
    <s v="Non-Profit"/>
    <s v="Online"/>
    <s v="C. Otieno"/>
    <s v="Phones"/>
    <s v="PHN-7974"/>
    <n v="1484.23"/>
    <n v="3472.81"/>
    <n v="0.25600000000000001"/>
    <b v="0"/>
    <n v="12"/>
    <n v="31005.24768"/>
    <n v="17810.760000000002"/>
    <n v="13194.487679999998"/>
    <n v="0.42555659661803413"/>
    <s v="High"/>
  </r>
  <r>
    <s v="ORD-2024-548345"/>
    <x v="456"/>
    <x v="15"/>
    <x v="4"/>
    <d v="2024-05-28T00:00:00"/>
    <d v="2024-05-28T00:00:00"/>
    <n v="14"/>
    <s v="Europe"/>
    <x v="0"/>
    <s v="Birmingham"/>
    <s v="Consumer"/>
    <s v="Retail"/>
    <s v="B. Chen"/>
    <s v="Networking"/>
    <s v="NET-2365"/>
    <n v="1421.14"/>
    <n v="3524"/>
    <n v="0"/>
    <b v="0"/>
    <n v="31"/>
    <n v="109244"/>
    <n v="44055.340000000004"/>
    <n v="65188.659999999996"/>
    <n v="0.59672531214528945"/>
    <s v="High"/>
  </r>
  <r>
    <s v="ORD-2024-798002"/>
    <x v="382"/>
    <x v="29"/>
    <x v="10"/>
    <d v="2024-07-24T00:00:00"/>
    <d v="2024-08-08T00:00:00"/>
    <n v="14"/>
    <s v="Africa"/>
    <x v="1"/>
    <s v="Mombasa"/>
    <s v="Non-Profit"/>
    <s v="Direct"/>
    <s v="J. Njeri"/>
    <s v="Laptops"/>
    <s v="LAP-9815"/>
    <n v="1494.4"/>
    <n v="3661.07"/>
    <n v="7.1999999999999995E-2"/>
    <b v="0"/>
    <n v="7"/>
    <n v="23782.310720000001"/>
    <n v="10460.800000000001"/>
    <n v="13321.51072"/>
    <n v="0.56014366630897339"/>
    <s v="Hig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s v="ORD-2024-930679"/>
    <d v="2024-12-17T00:00:00"/>
    <s v="Dec-2024"/>
    <s v="Q4-2024"/>
    <d v="2025-01-16T00:00:00"/>
    <d v="2025-01-16T00:00:00"/>
    <x v="0"/>
    <x v="0"/>
    <x v="0"/>
    <s v="Manchester"/>
    <x v="0"/>
    <x v="0"/>
    <x v="0"/>
    <x v="0"/>
    <x v="0"/>
    <n v="722.87"/>
    <n v="649.13726000000008"/>
    <n v="0.10199999999999999"/>
    <b v="0"/>
    <n v="28"/>
    <n v="16321.907265440001"/>
    <n v="20240.36"/>
    <n v="-3918.45273456"/>
    <n v="-0.24007321392254999"/>
    <s v="Low"/>
  </r>
  <r>
    <s v="ORD-2023-373538"/>
    <d v="2023-02-28T00:00:00"/>
    <s v="Feb-2023"/>
    <s v="Q1-2023"/>
    <d v="2023-03-25T00:00:00"/>
    <d v="2023-03-25T00:00:00"/>
    <x v="1"/>
    <x v="1"/>
    <x v="1"/>
    <s v="Nairobi"/>
    <x v="0"/>
    <x v="0"/>
    <x v="1"/>
    <x v="1"/>
    <x v="1"/>
    <n v="1460.76"/>
    <n v="1269.4004399999999"/>
    <n v="0.13100000000000001"/>
    <b v="0"/>
    <n v="12"/>
    <n v="13237.307788319999"/>
    <n v="17529.12"/>
    <n v="-4291.8122116800005"/>
    <n v="-0.32422092772269762"/>
    <s v="Medium"/>
  </r>
  <r>
    <s v="ORD-2025-639542"/>
    <d v="2025-06-09T00:00:00"/>
    <s v="Jun-2025"/>
    <s v="Q2-2025"/>
    <d v="2025-06-18T00:00:00"/>
    <d v="2025-06-18T00:00:00"/>
    <x v="2"/>
    <x v="0"/>
    <x v="2"/>
    <s v="Marseille"/>
    <x v="1"/>
    <x v="1"/>
    <x v="2"/>
    <x v="2"/>
    <x v="2"/>
    <n v="1225.5"/>
    <n v="1133.5875000000001"/>
    <n v="7.4999999999999997E-2"/>
    <b v="0"/>
    <n v="56"/>
    <n v="58719.832500000011"/>
    <n v="68628"/>
    <n v="-9908.1674999999886"/>
    <n v="-0.16873630387143879"/>
    <s v="Medium"/>
  </r>
  <r>
    <s v="ORD-2024-207096"/>
    <d v="2024-03-26T00:00:00"/>
    <s v="Mar-2024"/>
    <s v="Q1-2024"/>
    <d v="2024-04-05T00:00:00"/>
    <d v="2024-04-05T00:00:00"/>
    <x v="3"/>
    <x v="2"/>
    <x v="3"/>
    <s v="Austin"/>
    <x v="2"/>
    <x v="2"/>
    <x v="3"/>
    <x v="0"/>
    <x v="3"/>
    <n v="5.66"/>
    <n v="4.22"/>
    <n v="0.11899999999999999"/>
    <b v="0"/>
    <n v="18"/>
    <n v="66.920760000000001"/>
    <n v="101.88"/>
    <n v="-34.959239999999994"/>
    <n v="-0.52239753403876454"/>
    <s v="Low"/>
  </r>
  <r>
    <s v="ORD-2024-919471"/>
    <d v="2024-06-29T00:00:00"/>
    <s v="Jun-2024"/>
    <s v="Q2-2024"/>
    <d v="2024-07-26T00:00:00"/>
    <d v="2024-07-26T00:00:00"/>
    <x v="4"/>
    <x v="1"/>
    <x v="4"/>
    <s v="Durban"/>
    <x v="3"/>
    <x v="3"/>
    <x v="4"/>
    <x v="1"/>
    <x v="4"/>
    <n v="5.36"/>
    <n v="4.37"/>
    <n v="0.11799999999999999"/>
    <b v="0"/>
    <n v="9"/>
    <n v="34.689059999999998"/>
    <n v="48.24"/>
    <n v="-13.550940000000004"/>
    <n v="-0.39064016148030545"/>
    <s v="Low"/>
  </r>
  <r>
    <s v="ORD-2025-667201"/>
    <d v="2025-09-15T00:00:00"/>
    <s v="Sep-2025"/>
    <s v="Q3-2025"/>
    <d v="2025-09-18T00:00:00"/>
    <d v="2025-09-18T00:00:00"/>
    <x v="5"/>
    <x v="2"/>
    <x v="5"/>
    <s v="Rio de Janeiro"/>
    <x v="4"/>
    <x v="2"/>
    <x v="5"/>
    <x v="2"/>
    <x v="5"/>
    <n v="5.5"/>
    <n v="5.92"/>
    <n v="0.21199999999999999"/>
    <b v="0"/>
    <n v="4"/>
    <n v="18.659839999999999"/>
    <n v="22"/>
    <n v="-3.3401600000000009"/>
    <n v="-0.17900260666758133"/>
    <s v="Low"/>
  </r>
  <r>
    <s v="ORD-2025-541048"/>
    <d v="2025-04-04T00:00:00"/>
    <s v="Apr-2025"/>
    <s v="Q2-2025"/>
    <d v="2025-04-13T00:00:00"/>
    <d v="2025-04-13T00:00:00"/>
    <x v="2"/>
    <x v="0"/>
    <x v="6"/>
    <s v="Munich"/>
    <x v="2"/>
    <x v="1"/>
    <x v="6"/>
    <x v="3"/>
    <x v="6"/>
    <n v="7.02"/>
    <n v="6.28"/>
    <n v="0.13400000000000001"/>
    <b v="0"/>
    <n v="14"/>
    <n v="76.138720000000006"/>
    <n v="98.28"/>
    <n v="-22.141279999999995"/>
    <n v="-0.29080184169106066"/>
    <s v="Low"/>
  </r>
  <r>
    <s v="ORD-2023-286994"/>
    <d v="2023-02-24T00:00:00"/>
    <s v="Feb-2023"/>
    <s v="Q1-2023"/>
    <d v="2023-03-09T00:00:00"/>
    <d v="2023-03-09T00:00:00"/>
    <x v="6"/>
    <x v="2"/>
    <x v="3"/>
    <s v="New York"/>
    <x v="3"/>
    <x v="4"/>
    <x v="7"/>
    <x v="4"/>
    <x v="7"/>
    <n v="6.85"/>
    <n v="10.18"/>
    <n v="4.7E-2"/>
    <b v="0"/>
    <n v="10"/>
    <n v="97.0154"/>
    <n v="68.5"/>
    <n v="28.5154"/>
    <n v="0.2939265312517394"/>
    <s v="Low"/>
  </r>
  <r>
    <s v="ORD-2024-516704"/>
    <d v="2024-03-01T00:00:00"/>
    <s v="Mar-2024"/>
    <s v="Q1-2024"/>
    <d v="2024-02-29T00:00:00"/>
    <d v="2024-03-15T00:00:00"/>
    <x v="7"/>
    <x v="2"/>
    <x v="5"/>
    <s v="São Paulo"/>
    <x v="4"/>
    <x v="2"/>
    <x v="1"/>
    <x v="3"/>
    <x v="8"/>
    <n v="5.34"/>
    <n v="12.69"/>
    <n v="0.13200000000000001"/>
    <b v="0"/>
    <n v="10"/>
    <n v="110.14919999999999"/>
    <n v="53.4"/>
    <n v="56.749199999999995"/>
    <n v="0.51520301554618642"/>
    <s v="Low"/>
  </r>
  <r>
    <s v="ORD-2023-251563"/>
    <d v="2023-05-11T00:00:00"/>
    <s v="May-2023"/>
    <s v="Q2-2023"/>
    <d v="2023-06-07T00:00:00"/>
    <d v="2023-06-07T00:00:00"/>
    <x v="4"/>
    <x v="1"/>
    <x v="1"/>
    <s v="Mombasa"/>
    <x v="0"/>
    <x v="4"/>
    <x v="3"/>
    <x v="3"/>
    <x v="9"/>
    <n v="12.85"/>
    <n v="15.41"/>
    <n v="0.13700000000000001"/>
    <b v="0"/>
    <n v="39"/>
    <n v="518.65436999999997"/>
    <n v="501.15"/>
    <n v="17.504369999999994"/>
    <n v="3.3749585489851353E-2"/>
    <s v="Low"/>
  </r>
  <r>
    <s v="ORD-2024-960952"/>
    <d v="2024-02-03T00:00:00"/>
    <s v="Feb-2024"/>
    <s v="Q1-2024"/>
    <d v="2024-02-21T00:00:00"/>
    <d v="2024-02-21T00:00:00"/>
    <x v="8"/>
    <x v="0"/>
    <x v="6"/>
    <s v="Frankfurt"/>
    <x v="0"/>
    <x v="0"/>
    <x v="2"/>
    <x v="4"/>
    <x v="10"/>
    <n v="39.229999999999997"/>
    <n v="30.09"/>
    <n v="0.17699999999999999"/>
    <b v="0"/>
    <n v="13"/>
    <n v="321.93290999999999"/>
    <n v="509.98999999999995"/>
    <n v="-188.05708999999996"/>
    <n v="-0.58414993981199359"/>
    <s v="Low"/>
  </r>
  <r>
    <s v="ORD-2025-946490"/>
    <d v="2025-04-22T00:00:00"/>
    <s v="Apr-2025"/>
    <s v="Q2-2025"/>
    <d v="2025-05-02T00:00:00"/>
    <d v="2025-05-02T00:00:00"/>
    <x v="3"/>
    <x v="0"/>
    <x v="6"/>
    <s v="Berlin"/>
    <x v="0"/>
    <x v="1"/>
    <x v="8"/>
    <x v="0"/>
    <x v="11"/>
    <n v="20.149999999999999"/>
    <n v="39.74"/>
    <n v="0.151"/>
    <b v="0"/>
    <n v="18"/>
    <n v="607.30668000000003"/>
    <n v="362.7"/>
    <n v="244.60668000000004"/>
    <n v="0.4027729120318585"/>
    <s v="Low"/>
  </r>
  <r>
    <s v="ORD-2023-235230"/>
    <d v="2023-08-30T00:00:00"/>
    <s v="Aug-2023"/>
    <s v="Q3-2023"/>
    <d v="2023-09-01T00:00:00"/>
    <d v="2023-09-01T00:00:00"/>
    <x v="9"/>
    <x v="0"/>
    <x v="6"/>
    <s v="Munich"/>
    <x v="0"/>
    <x v="2"/>
    <x v="9"/>
    <x v="1"/>
    <x v="12"/>
    <n v="44.42"/>
    <n v="41.9"/>
    <n v="0.14399999999999999"/>
    <b v="0"/>
    <n v="6"/>
    <n v="215.19839999999996"/>
    <n v="266.52"/>
    <n v="-51.321600000000018"/>
    <n v="-0.23848504449847224"/>
    <s v="Low"/>
  </r>
  <r>
    <s v="ORD-2023-835226"/>
    <d v="2023-10-26T00:00:00"/>
    <s v="Oct-2023"/>
    <s v="Q4-2023"/>
    <d v="2023-11-05T00:00:00"/>
    <d v="2023-11-05T00:00:00"/>
    <x v="3"/>
    <x v="1"/>
    <x v="4"/>
    <s v="Cape Town"/>
    <x v="4"/>
    <x v="4"/>
    <x v="1"/>
    <x v="5"/>
    <x v="13"/>
    <n v="20.38"/>
    <n v="42.56"/>
    <n v="7.1999999999999995E-2"/>
    <b v="0"/>
    <n v="11"/>
    <n v="434.45248000000004"/>
    <n v="224.17999999999998"/>
    <n v="210.27248000000006"/>
    <n v="0.48399419885921713"/>
    <s v="Low"/>
  </r>
  <r>
    <s v="ORD-2025-488349"/>
    <d v="2025-04-23T00:00:00"/>
    <s v="Apr-2025"/>
    <s v="Q2-2025"/>
    <d v="2025-04-22T00:00:00"/>
    <d v="2025-05-07T00:00:00"/>
    <x v="7"/>
    <x v="2"/>
    <x v="3"/>
    <s v="San Francisco"/>
    <x v="4"/>
    <x v="3"/>
    <x v="0"/>
    <x v="0"/>
    <x v="14"/>
    <n v="23.24"/>
    <n v="44.57"/>
    <n v="0.215"/>
    <b v="0"/>
    <n v="15"/>
    <n v="524.81174999999996"/>
    <n v="348.59999999999997"/>
    <n v="176.21174999999999"/>
    <n v="0.33576182316802167"/>
    <s v="Low"/>
  </r>
  <r>
    <s v="ORD-2025-537785"/>
    <d v="2025-08-05T00:00:00"/>
    <s v="Aug-2025"/>
    <s v="Q3-2025"/>
    <d v="2025-08-14T00:00:00"/>
    <d v="2025-08-14T00:00:00"/>
    <x v="2"/>
    <x v="0"/>
    <x v="0"/>
    <s v="London"/>
    <x v="4"/>
    <x v="2"/>
    <x v="10"/>
    <x v="4"/>
    <x v="15"/>
    <n v="41.76"/>
    <n v="45.19"/>
    <n v="0.17899999999999999"/>
    <b v="0"/>
    <n v="23"/>
    <n v="853.32276999999988"/>
    <n v="960.4799999999999"/>
    <n v="-107.15723000000003"/>
    <n v="-0.12557643340514638"/>
    <s v="Low"/>
  </r>
  <r>
    <s v="ORD-2025-728935"/>
    <d v="2025-02-28T00:00:00"/>
    <s v="Feb-2025"/>
    <s v="Q1-2025"/>
    <d v="2025-03-10T00:00:00"/>
    <d v="2025-03-10T00:00:00"/>
    <x v="3"/>
    <x v="3"/>
    <x v="7"/>
    <s v="Osaka"/>
    <x v="5"/>
    <x v="3"/>
    <x v="9"/>
    <x v="5"/>
    <x v="16"/>
    <n v="51.86"/>
    <n v="45.98"/>
    <n v="0.17299999999999999"/>
    <b v="0"/>
    <n v="7"/>
    <n v="266.17821999999995"/>
    <n v="363.02"/>
    <n v="-96.841780000000028"/>
    <n v="-0.3638230806412337"/>
    <s v="Low"/>
  </r>
  <r>
    <s v="ORD-2023-112666"/>
    <d v="2023-01-15T00:00:00"/>
    <s v="Jan-2023"/>
    <s v="Q1-2023"/>
    <d v="2023-01-13T00:00:00"/>
    <d v="2023-01-29T00:00:00"/>
    <x v="7"/>
    <x v="1"/>
    <x v="8"/>
    <s v="Abuja"/>
    <x v="5"/>
    <x v="4"/>
    <x v="11"/>
    <x v="6"/>
    <x v="17"/>
    <n v="28.38"/>
    <n v="47.22"/>
    <n v="0.19400000000000001"/>
    <b v="0"/>
    <n v="18"/>
    <n v="685.06776000000002"/>
    <n v="510.84"/>
    <n v="174.22776000000005"/>
    <n v="0.25432193743871417"/>
    <s v="Low"/>
  </r>
  <r>
    <s v="ORD-2025-177994"/>
    <d v="2025-03-24T00:00:00"/>
    <s v="Mar-2025"/>
    <s v="Q1-2025"/>
    <d v="2025-04-04T00:00:00"/>
    <d v="2025-04-04T00:00:00"/>
    <x v="10"/>
    <x v="3"/>
    <x v="9"/>
    <s v="Mumbai"/>
    <x v="5"/>
    <x v="1"/>
    <x v="3"/>
    <x v="3"/>
    <x v="18"/>
    <n v="23.83"/>
    <n v="47.29"/>
    <n v="6.4000000000000001E-2"/>
    <b v="0"/>
    <n v="19"/>
    <n v="841.00536"/>
    <n v="452.77"/>
    <n v="388.23536000000001"/>
    <n v="0.46163244429262618"/>
    <s v="Low"/>
  </r>
  <r>
    <s v="ORD-2023-603650"/>
    <d v="2023-05-23T00:00:00"/>
    <s v="May-2023"/>
    <s v="Q2-2023"/>
    <d v="2023-06-10T00:00:00"/>
    <d v="2023-06-10T00:00:00"/>
    <x v="8"/>
    <x v="3"/>
    <x v="10"/>
    <s v="Shanghai"/>
    <x v="0"/>
    <x v="3"/>
    <x v="10"/>
    <x v="4"/>
    <x v="19"/>
    <n v="54.62"/>
    <n v="48.94"/>
    <n v="0.14799999999999999"/>
    <b v="0"/>
    <n v="16"/>
    <n v="667.15008"/>
    <n v="873.92"/>
    <n v="-206.76991999999996"/>
    <n v="-0.3099301434543783"/>
    <s v="Low"/>
  </r>
  <r>
    <s v="ORD-2025-698069"/>
    <d v="2025-06-03T00:00:00"/>
    <s v="Jun-2025"/>
    <s v="Q2-2025"/>
    <d v="2025-06-10T00:00:00"/>
    <d v="2025-06-10T00:00:00"/>
    <x v="11"/>
    <x v="2"/>
    <x v="11"/>
    <s v="Toronto"/>
    <x v="2"/>
    <x v="3"/>
    <x v="11"/>
    <x v="6"/>
    <x v="20"/>
    <n v="75.180000000000007"/>
    <n v="53.45"/>
    <n v="0.157"/>
    <b v="0"/>
    <n v="17"/>
    <n v="765.99195000000009"/>
    <n v="1278.0600000000002"/>
    <n v="-512.06805000000008"/>
    <n v="-0.66850317421743144"/>
    <s v="Low"/>
  </r>
  <r>
    <s v="ORD-2024-403664"/>
    <d v="2024-05-23T00:00:00"/>
    <s v="May-2024"/>
    <s v="Q2-2024"/>
    <d v="2024-06-06T00:00:00"/>
    <d v="2024-06-06T00:00:00"/>
    <x v="7"/>
    <x v="2"/>
    <x v="5"/>
    <s v="Rio de Janeiro"/>
    <x v="4"/>
    <x v="4"/>
    <x v="1"/>
    <x v="1"/>
    <x v="21"/>
    <n v="51.13"/>
    <n v="57.53"/>
    <n v="4.4999999999999998E-2"/>
    <b v="0"/>
    <n v="16"/>
    <n v="879.05840000000001"/>
    <n v="818.08"/>
    <n v="60.978399999999965"/>
    <n v="6.9367859973808302E-2"/>
    <s v="Low"/>
  </r>
  <r>
    <s v="ORD-2023-704111"/>
    <d v="2023-05-17T00:00:00"/>
    <s v="May-2023"/>
    <s v="Q2-2023"/>
    <d v="2023-06-15T00:00:00"/>
    <d v="2023-06-15T00:00:00"/>
    <x v="12"/>
    <x v="1"/>
    <x v="4"/>
    <s v="Durban"/>
    <x v="3"/>
    <x v="0"/>
    <x v="12"/>
    <x v="2"/>
    <x v="22"/>
    <n v="40.89"/>
    <n v="62.82"/>
    <n v="0.129"/>
    <b v="0"/>
    <n v="17"/>
    <n v="930.17574000000002"/>
    <n v="695.13"/>
    <n v="235.04574000000002"/>
    <n v="0.25268960465470752"/>
    <s v="Low"/>
  </r>
  <r>
    <s v="ORD-2024-206121"/>
    <d v="2024-02-18T00:00:00"/>
    <s v="Feb-2024"/>
    <s v="Q1-2024"/>
    <d v="2024-03-11T00:00:00"/>
    <d v="2024-03-11T00:00:00"/>
    <x v="13"/>
    <x v="2"/>
    <x v="5"/>
    <s v="São Paulo"/>
    <x v="2"/>
    <x v="4"/>
    <x v="13"/>
    <x v="4"/>
    <x v="23"/>
    <n v="80.48"/>
    <n v="65.650000000000006"/>
    <n v="0.17599999999999999"/>
    <b v="0"/>
    <n v="13"/>
    <n v="703.2428000000001"/>
    <n v="1046.24"/>
    <n v="-342.99719999999991"/>
    <n v="-0.48773652570634191"/>
    <s v="Low"/>
  </r>
  <r>
    <s v="ORD-2025-778145"/>
    <d v="2025-04-22T00:00:00"/>
    <s v="Apr-2025"/>
    <s v="Q2-2025"/>
    <d v="2025-05-12T00:00:00"/>
    <d v="2025-05-12T00:00:00"/>
    <x v="14"/>
    <x v="0"/>
    <x v="2"/>
    <s v="Lyon"/>
    <x v="3"/>
    <x v="1"/>
    <x v="12"/>
    <x v="0"/>
    <x v="24"/>
    <n v="59.51"/>
    <n v="67.040000000000006"/>
    <n v="0.114"/>
    <b v="0"/>
    <n v="9"/>
    <n v="534.57695999999999"/>
    <n v="535.59"/>
    <n v="-1.0130400000000463"/>
    <n v="-1.8950311663264469E-3"/>
    <s v="Low"/>
  </r>
  <r>
    <s v="ORD-2023-766015"/>
    <d v="2023-04-13T00:00:00"/>
    <s v="Apr-2023"/>
    <s v="Q2-2023"/>
    <d v="2023-04-11T00:00:00"/>
    <d v="2023-04-27T00:00:00"/>
    <x v="7"/>
    <x v="2"/>
    <x v="3"/>
    <s v="San Francisco"/>
    <x v="5"/>
    <x v="1"/>
    <x v="14"/>
    <x v="1"/>
    <x v="25"/>
    <n v="32.1"/>
    <n v="70.599999999999994"/>
    <n v="0.28199999999999997"/>
    <b v="0"/>
    <n v="22"/>
    <n v="1115.1975999999997"/>
    <n v="706.2"/>
    <n v="408.99759999999969"/>
    <n v="0.36674899587301818"/>
    <s v="Low"/>
  </r>
  <r>
    <s v="ORD-2023-258768"/>
    <d v="2023-06-29T00:00:00"/>
    <s v="Jun-2023"/>
    <s v="Q2-2023"/>
    <d v="2023-07-02T00:00:00"/>
    <d v="2023-07-02T00:00:00"/>
    <x v="5"/>
    <x v="3"/>
    <x v="7"/>
    <s v="Nagoya"/>
    <x v="5"/>
    <x v="1"/>
    <x v="6"/>
    <x v="0"/>
    <x v="26"/>
    <n v="55.65"/>
    <n v="83.57"/>
    <n v="6.6000000000000003E-2"/>
    <b v="0"/>
    <n v="8"/>
    <n v="624.43503999999996"/>
    <n v="445.2"/>
    <n v="179.23503999999997"/>
    <n v="0.2870355257449998"/>
    <s v="Low"/>
  </r>
  <r>
    <s v="ORD-2024-232632"/>
    <d v="2024-02-14T00:00:00"/>
    <s v="Feb-2024"/>
    <s v="Q1-2024"/>
    <d v="2024-02-14T00:00:00"/>
    <d v="2024-02-14T00:00:00"/>
    <x v="15"/>
    <x v="3"/>
    <x v="10"/>
    <s v="Beijing"/>
    <x v="0"/>
    <x v="3"/>
    <x v="5"/>
    <x v="2"/>
    <x v="27"/>
    <n v="65.930000000000007"/>
    <n v="84.9"/>
    <n v="0.25900000000000001"/>
    <b v="0"/>
    <n v="23"/>
    <n v="1446.9507000000001"/>
    <n v="1516.39"/>
    <n v="-69.439300000000003"/>
    <n v="-4.7990093926489688E-2"/>
    <s v="Low"/>
  </r>
  <r>
    <s v="ORD-2023-856322"/>
    <d v="2023-01-29T00:00:00"/>
    <s v="Jan-2023"/>
    <s v="Q1-2023"/>
    <d v="2023-02-06T00:00:00"/>
    <d v="2023-02-06T00:00:00"/>
    <x v="16"/>
    <x v="2"/>
    <x v="5"/>
    <s v="Brasília"/>
    <x v="0"/>
    <x v="1"/>
    <x v="0"/>
    <x v="0"/>
    <x v="28"/>
    <n v="41.84"/>
    <n v="86.2"/>
    <n v="0.22600000000000001"/>
    <b v="0"/>
    <n v="27"/>
    <n v="1801.4076000000002"/>
    <n v="1129.68"/>
    <n v="671.72760000000017"/>
    <n v="0.37289039970742882"/>
    <s v="Low"/>
  </r>
  <r>
    <s v="ORD-2025-956101"/>
    <d v="2025-07-09T00:00:00"/>
    <s v="Jul-2025"/>
    <s v="Q3-2025"/>
    <d v="2025-07-18T00:00:00"/>
    <d v="2025-07-18T00:00:00"/>
    <x v="2"/>
    <x v="2"/>
    <x v="11"/>
    <s v="Vancouver"/>
    <x v="5"/>
    <x v="3"/>
    <x v="1"/>
    <x v="5"/>
    <x v="29"/>
    <n v="57.96"/>
    <n v="88.51"/>
    <n v="4.2999999999999997E-2"/>
    <b v="0"/>
    <n v="7"/>
    <n v="592.92849000000001"/>
    <n v="405.72"/>
    <n v="187.20848999999998"/>
    <n v="0.3157353595877978"/>
    <s v="Low"/>
  </r>
  <r>
    <s v="ORD-2024-207792"/>
    <d v="2024-09-03T00:00:00"/>
    <s v="Sep-2024"/>
    <s v="Q3-2024"/>
    <d v="2024-09-07T00:00:00"/>
    <d v="2024-09-07T00:00:00"/>
    <x v="17"/>
    <x v="3"/>
    <x v="7"/>
    <s v="Tokyo"/>
    <x v="1"/>
    <x v="3"/>
    <x v="9"/>
    <x v="6"/>
    <x v="30"/>
    <n v="43.23"/>
    <n v="94.78"/>
    <n v="9.0999999999999998E-2"/>
    <b v="0"/>
    <n v="55"/>
    <n v="4738.5261"/>
    <n v="2377.6499999999996"/>
    <n v="2360.8761000000004"/>
    <n v="0.49823005090127082"/>
    <s v="Low"/>
  </r>
  <r>
    <s v="ORD-2025-908258"/>
    <d v="2025-06-21T00:00:00"/>
    <s v="Jun-2025"/>
    <s v="Q2-2025"/>
    <d v="2025-06-27T00:00:00"/>
    <d v="2025-06-27T00:00:00"/>
    <x v="18"/>
    <x v="1"/>
    <x v="4"/>
    <s v="Durban"/>
    <x v="3"/>
    <x v="3"/>
    <x v="9"/>
    <x v="3"/>
    <x v="31"/>
    <n v="93.91"/>
    <n v="99.04"/>
    <n v="5.7000000000000002E-2"/>
    <b v="0"/>
    <n v="6"/>
    <n v="560.36831999999993"/>
    <n v="563.46"/>
    <n v="-3.0916800000001103"/>
    <n v="-5.5172283829323376E-3"/>
    <s v="Low"/>
  </r>
  <r>
    <s v="ORD-2024-260775"/>
    <d v="2024-10-17T00:00:00"/>
    <s v="Oct-2024"/>
    <s v="Q4-2024"/>
    <d v="2024-11-06T00:00:00"/>
    <d v="2024-11-06T00:00:00"/>
    <x v="14"/>
    <x v="3"/>
    <x v="9"/>
    <s v="Bengaluru"/>
    <x v="3"/>
    <x v="3"/>
    <x v="11"/>
    <x v="0"/>
    <x v="32"/>
    <n v="72.94"/>
    <n v="106.3"/>
    <n v="0.29499999999999998"/>
    <b v="0"/>
    <n v="8"/>
    <n v="599.53200000000004"/>
    <n v="583.52"/>
    <n v="16.012000000000057"/>
    <n v="2.6707498515508857E-2"/>
    <s v="Low"/>
  </r>
  <r>
    <s v="ORD-2023-274037"/>
    <d v="2023-08-15T00:00:00"/>
    <s v="Aug-2023"/>
    <s v="Q3-2023"/>
    <d v="2023-08-25T00:00:00"/>
    <d v="2023-08-25T00:00:00"/>
    <x v="3"/>
    <x v="1"/>
    <x v="1"/>
    <s v="Nairobi"/>
    <x v="1"/>
    <x v="0"/>
    <x v="9"/>
    <x v="3"/>
    <x v="33"/>
    <n v="91.85"/>
    <n v="111.29"/>
    <n v="0"/>
    <b v="0"/>
    <n v="6"/>
    <n v="667.74"/>
    <n v="551.09999999999991"/>
    <n v="116.6400000000001"/>
    <n v="0.17467876718483258"/>
    <s v="Low"/>
  </r>
  <r>
    <s v="ORD-2023-340056"/>
    <d v="2023-04-26T00:00:00"/>
    <s v="Apr-2023"/>
    <s v="Q2-2023"/>
    <d v="2023-04-26T00:00:00"/>
    <d v="2023-04-26T00:00:00"/>
    <x v="15"/>
    <x v="0"/>
    <x v="2"/>
    <s v="Marseille"/>
    <x v="2"/>
    <x v="2"/>
    <x v="7"/>
    <x v="4"/>
    <x v="34"/>
    <n v="81.489999999999995"/>
    <n v="113.08"/>
    <n v="0.121"/>
    <b v="0"/>
    <n v="5"/>
    <n v="496.98660000000001"/>
    <n v="407.45"/>
    <n v="89.536600000000021"/>
    <n v="0.18015898215364362"/>
    <s v="Low"/>
  </r>
  <r>
    <s v="ORD-2025-460466"/>
    <d v="2025-02-07T00:00:00"/>
    <s v="Feb-2025"/>
    <s v="Q1-2025"/>
    <d v="2025-02-16T00:00:00"/>
    <d v="2025-02-16T00:00:00"/>
    <x v="2"/>
    <x v="1"/>
    <x v="8"/>
    <s v="Lagos"/>
    <x v="1"/>
    <x v="3"/>
    <x v="8"/>
    <x v="6"/>
    <x v="35"/>
    <n v="90.68"/>
    <n v="118.17"/>
    <n v="0.13500000000000001"/>
    <b v="0"/>
    <n v="21"/>
    <n v="2146.5580500000001"/>
    <n v="1904.2800000000002"/>
    <n v="242.27804999999989"/>
    <n v="0.11286815653552899"/>
    <s v="Low"/>
  </r>
  <r>
    <s v="ORD-2025-752845"/>
    <d v="2025-03-30T00:00:00"/>
    <s v="Mar-2025"/>
    <s v="Q1-2025"/>
    <d v="2025-04-07T00:00:00"/>
    <d v="2025-04-07T00:00:00"/>
    <x v="16"/>
    <x v="2"/>
    <x v="5"/>
    <s v="São Paulo"/>
    <x v="4"/>
    <x v="2"/>
    <x v="5"/>
    <x v="6"/>
    <x v="36"/>
    <n v="71.62"/>
    <n v="118.37"/>
    <n v="0.156"/>
    <b v="0"/>
    <n v="11"/>
    <n v="1098.9470800000001"/>
    <n v="787.82"/>
    <n v="311.12708000000009"/>
    <n v="0.28311379652603474"/>
    <s v="Low"/>
  </r>
  <r>
    <s v="ORD-2024-866535"/>
    <d v="2024-12-04T00:00:00"/>
    <s v="Dec-2024"/>
    <s v="Q4-2024"/>
    <d v="2024-12-12T00:00:00"/>
    <d v="2024-12-12T00:00:00"/>
    <x v="16"/>
    <x v="0"/>
    <x v="6"/>
    <s v="Frankfurt"/>
    <x v="3"/>
    <x v="1"/>
    <x v="4"/>
    <x v="6"/>
    <x v="37"/>
    <n v="72.06"/>
    <n v="122.74"/>
    <n v="0.23799999999999999"/>
    <b v="0"/>
    <n v="8"/>
    <n v="748.22303999999997"/>
    <n v="576.48"/>
    <n v="171.74303999999995"/>
    <n v="0.22953455162246802"/>
    <s v="Low"/>
  </r>
  <r>
    <s v="ORD-2023-378676"/>
    <d v="2023-05-03T00:00:00"/>
    <s v="May-2023"/>
    <s v="Q2-2023"/>
    <d v="2023-05-16T00:00:00"/>
    <d v="2023-05-16T00:00:00"/>
    <x v="6"/>
    <x v="2"/>
    <x v="3"/>
    <s v="New York"/>
    <x v="0"/>
    <x v="1"/>
    <x v="5"/>
    <x v="3"/>
    <x v="38"/>
    <n v="64.5"/>
    <n v="123.62"/>
    <n v="0"/>
    <b v="0"/>
    <n v="3"/>
    <n v="370.86"/>
    <n v="193.5"/>
    <n v="177.36"/>
    <n v="0.47823976702798904"/>
    <s v="Low"/>
  </r>
  <r>
    <s v="ORD-2024-838925"/>
    <d v="2024-01-28T00:00:00"/>
    <s v="Jan-2024"/>
    <s v="Q1-2024"/>
    <d v="2024-01-27T00:00:00"/>
    <d v="2024-02-11T00:00:00"/>
    <x v="7"/>
    <x v="1"/>
    <x v="4"/>
    <s v="Cape Town"/>
    <x v="3"/>
    <x v="2"/>
    <x v="11"/>
    <x v="4"/>
    <x v="39"/>
    <n v="109.75"/>
    <n v="124.25"/>
    <n v="0.12"/>
    <b v="0"/>
    <n v="19"/>
    <n v="2077.46"/>
    <n v="2085.25"/>
    <n v="-7.7899999999999636"/>
    <n v="-3.7497713554051405E-3"/>
    <s v="Low"/>
  </r>
  <r>
    <s v="ORD-2024-225829"/>
    <d v="2024-11-07T00:00:00"/>
    <s v="Nov-2024"/>
    <s v="Q4-2024"/>
    <d v="2024-11-26T00:00:00"/>
    <d v="2024-11-26T00:00:00"/>
    <x v="19"/>
    <x v="2"/>
    <x v="5"/>
    <s v="Rio de Janeiro"/>
    <x v="4"/>
    <x v="3"/>
    <x v="3"/>
    <x v="6"/>
    <x v="40"/>
    <n v="55.35"/>
    <n v="128.68"/>
    <n v="0.128"/>
    <b v="0"/>
    <n v="10"/>
    <n v="1122.0896000000002"/>
    <n v="553.5"/>
    <n v="568.58960000000025"/>
    <n v="0.50672388372550647"/>
    <s v="Low"/>
  </r>
  <r>
    <s v="ORD-2025-586799"/>
    <d v="2025-07-14T00:00:00"/>
    <s v="Jul-2025"/>
    <s v="Q3-2025"/>
    <d v="2025-08-04T00:00:00"/>
    <d v="2025-08-04T00:00:00"/>
    <x v="20"/>
    <x v="2"/>
    <x v="11"/>
    <s v="Montreal"/>
    <x v="2"/>
    <x v="4"/>
    <x v="2"/>
    <x v="0"/>
    <x v="41"/>
    <n v="90.3"/>
    <n v="131.76"/>
    <n v="0.10199999999999999"/>
    <b v="0"/>
    <n v="15"/>
    <n v="1774.8072"/>
    <n v="1354.5"/>
    <n v="420.30719999999997"/>
    <n v="0.23681851189244668"/>
    <s v="Low"/>
  </r>
  <r>
    <s v="ORD-2025-926547"/>
    <d v="2025-03-11T00:00:00"/>
    <s v="Mar-2025"/>
    <s v="Q1-2025"/>
    <d v="2025-03-26T00:00:00"/>
    <d v="2025-03-26T00:00:00"/>
    <x v="21"/>
    <x v="0"/>
    <x v="6"/>
    <s v="Berlin"/>
    <x v="1"/>
    <x v="4"/>
    <x v="1"/>
    <x v="3"/>
    <x v="42"/>
    <n v="116.97"/>
    <n v="140.82"/>
    <n v="0.122"/>
    <b v="0"/>
    <n v="5"/>
    <n v="618.19979999999987"/>
    <n v="584.85"/>
    <n v="33.349799999999846"/>
    <n v="5.3946636669891926E-2"/>
    <s v="Low"/>
  </r>
  <r>
    <s v="ORD-2025-828263"/>
    <d v="2025-05-17T00:00:00"/>
    <s v="May-2025"/>
    <s v="Q2-2025"/>
    <d v="2025-05-30T00:00:00"/>
    <d v="2025-05-30T00:00:00"/>
    <x v="6"/>
    <x v="1"/>
    <x v="8"/>
    <s v="Lagos"/>
    <x v="2"/>
    <x v="3"/>
    <x v="6"/>
    <x v="2"/>
    <x v="43"/>
    <n v="66.400000000000006"/>
    <n v="141.43"/>
    <n v="0.107"/>
    <b v="0"/>
    <n v="8"/>
    <n v="1010.3759200000001"/>
    <n v="531.20000000000005"/>
    <n v="479.17592000000002"/>
    <n v="0.47425508715607551"/>
    <s v="Low"/>
  </r>
  <r>
    <s v="ORD-2023-898009"/>
    <d v="2023-05-04T00:00:00"/>
    <s v="May-2023"/>
    <s v="Q2-2023"/>
    <d v="2023-05-16T00:00:00"/>
    <d v="2023-05-16T00:00:00"/>
    <x v="22"/>
    <x v="1"/>
    <x v="8"/>
    <s v="Abuja"/>
    <x v="1"/>
    <x v="1"/>
    <x v="3"/>
    <x v="3"/>
    <x v="44"/>
    <n v="77.739999999999995"/>
    <n v="147.12"/>
    <n v="0"/>
    <b v="0"/>
    <n v="15"/>
    <n v="2206.8000000000002"/>
    <n v="1166.0999999999999"/>
    <n v="1040.7000000000003"/>
    <n v="0.47158781946710177"/>
    <s v="Low"/>
  </r>
  <r>
    <s v="ORD-2024-853298"/>
    <d v="2024-03-06T00:00:00"/>
    <s v="Mar-2024"/>
    <s v="Q1-2024"/>
    <d v="2024-03-26T00:00:00"/>
    <d v="2024-03-26T00:00:00"/>
    <x v="14"/>
    <x v="1"/>
    <x v="8"/>
    <s v="Port Harcourt"/>
    <x v="2"/>
    <x v="1"/>
    <x v="1"/>
    <x v="3"/>
    <x v="45"/>
    <n v="65.64"/>
    <n v="151.88"/>
    <n v="0.16700000000000001"/>
    <b v="0"/>
    <n v="23"/>
    <n v="2909.8689199999999"/>
    <n v="1509.72"/>
    <n v="1400.1489199999999"/>
    <n v="0.48117250587356353"/>
    <s v="Low"/>
  </r>
  <r>
    <s v="ORD-2024-792558"/>
    <d v="2024-10-16T00:00:00"/>
    <s v="Oct-2024"/>
    <s v="Q4-2024"/>
    <d v="2024-11-08T00:00:00"/>
    <d v="2024-11-08T00:00:00"/>
    <x v="23"/>
    <x v="3"/>
    <x v="7"/>
    <s v="Osaka"/>
    <x v="1"/>
    <x v="0"/>
    <x v="3"/>
    <x v="1"/>
    <x v="46"/>
    <n v="82.14"/>
    <n v="166.04"/>
    <n v="0"/>
    <b v="0"/>
    <n v="10"/>
    <n v="1660.3999999999999"/>
    <n v="821.4"/>
    <n v="838.99999999999989"/>
    <n v="0.50529992772825827"/>
    <s v="Low"/>
  </r>
  <r>
    <s v="ORD-2024-973420"/>
    <d v="2024-05-12T00:00:00"/>
    <s v="May-2024"/>
    <s v="Q2-2024"/>
    <d v="2024-05-24T00:00:00"/>
    <d v="2024-05-24T00:00:00"/>
    <x v="22"/>
    <x v="0"/>
    <x v="0"/>
    <s v="Manchester"/>
    <x v="5"/>
    <x v="1"/>
    <x v="12"/>
    <x v="6"/>
    <x v="47"/>
    <n v="111.02"/>
    <n v="172.88"/>
    <n v="0.19700000000000001"/>
    <b v="0"/>
    <n v="29"/>
    <n v="4025.8565599999993"/>
    <n v="3219.58"/>
    <n v="806.27655999999934"/>
    <n v="0.20027453735212053"/>
    <s v="Low"/>
  </r>
  <r>
    <s v="ORD-2024-788105"/>
    <d v="2024-11-30T00:00:00"/>
    <s v="Nov-2024"/>
    <s v="Q4-2024"/>
    <d v="2024-12-30T00:00:00"/>
    <d v="2024-12-30T00:00:00"/>
    <x v="0"/>
    <x v="0"/>
    <x v="2"/>
    <s v="Marseille"/>
    <x v="2"/>
    <x v="1"/>
    <x v="6"/>
    <x v="6"/>
    <x v="48"/>
    <n v="117.64"/>
    <n v="175.67"/>
    <n v="0"/>
    <b v="0"/>
    <n v="10"/>
    <n v="1756.6999999999998"/>
    <n v="1176.4000000000001"/>
    <n v="580.29999999999973"/>
    <n v="0.33033528775545046"/>
    <s v="Low"/>
  </r>
  <r>
    <s v="ORD-2023-920483"/>
    <d v="2023-07-02T00:00:00"/>
    <s v="Jul-2023"/>
    <s v="Q3-2023"/>
    <d v="2023-08-01T00:00:00"/>
    <d v="2023-08-01T00:00:00"/>
    <x v="0"/>
    <x v="0"/>
    <x v="0"/>
    <s v="Birmingham"/>
    <x v="1"/>
    <x v="0"/>
    <x v="4"/>
    <x v="4"/>
    <x v="49"/>
    <n v="137.46"/>
    <n v="188.3"/>
    <n v="3.7999999999999999E-2"/>
    <b v="0"/>
    <n v="37"/>
    <n v="6702.3501999999999"/>
    <n v="5086.0200000000004"/>
    <n v="1616.3301999999994"/>
    <n v="0.24115872071262398"/>
    <s v="Low"/>
  </r>
  <r>
    <s v="ORD-2024-581530"/>
    <d v="2024-09-07T00:00:00"/>
    <s v="Sep-2024"/>
    <s v="Q3-2024"/>
    <d v="2024-09-18T00:00:00"/>
    <d v="2024-09-18T00:00:00"/>
    <x v="10"/>
    <x v="3"/>
    <x v="10"/>
    <s v="Beijing"/>
    <x v="2"/>
    <x v="3"/>
    <x v="11"/>
    <x v="1"/>
    <x v="50"/>
    <n v="181.74"/>
    <n v="190.84"/>
    <n v="0.214"/>
    <b v="0"/>
    <n v="13"/>
    <n v="1950.0031200000001"/>
    <n v="2362.62"/>
    <n v="-412.61687999999981"/>
    <n v="-0.21159806144310159"/>
    <s v="Low"/>
  </r>
  <r>
    <s v="ORD-2024-745424"/>
    <d v="2024-08-22T00:00:00"/>
    <s v="Aug-2024"/>
    <s v="Q3-2024"/>
    <d v="2024-09-04T00:00:00"/>
    <d v="2024-09-04T00:00:00"/>
    <x v="6"/>
    <x v="0"/>
    <x v="6"/>
    <s v="Frankfurt"/>
    <x v="4"/>
    <x v="0"/>
    <x v="5"/>
    <x v="6"/>
    <x v="51"/>
    <n v="90.04"/>
    <n v="194.62"/>
    <n v="4.2999999999999997E-2"/>
    <b v="0"/>
    <n v="32"/>
    <n v="5960.04288"/>
    <n v="2881.28"/>
    <n v="3078.7628799999998"/>
    <n v="0.51656723650954672"/>
    <s v="Low"/>
  </r>
  <r>
    <s v="ORD-2023-864121"/>
    <d v="2023-03-27T00:00:00"/>
    <s v="Mar-2023"/>
    <s v="Q1-2023"/>
    <d v="2023-04-22T00:00:00"/>
    <d v="2023-04-22T00:00:00"/>
    <x v="24"/>
    <x v="3"/>
    <x v="9"/>
    <s v="Delhi"/>
    <x v="4"/>
    <x v="1"/>
    <x v="3"/>
    <x v="6"/>
    <x v="52"/>
    <n v="178.53"/>
    <n v="199.37"/>
    <n v="0.10100000000000001"/>
    <b v="0"/>
    <n v="37"/>
    <n v="6631.6443100000006"/>
    <n v="6605.61"/>
    <n v="26.034310000000914"/>
    <n v="3.9257699573457538E-3"/>
    <s v="Low"/>
  </r>
  <r>
    <s v="ORD-2023-539967"/>
    <d v="2023-07-09T00:00:00"/>
    <s v="Jul-2023"/>
    <s v="Q3-2023"/>
    <d v="2023-07-19T00:00:00"/>
    <d v="2023-07-19T00:00:00"/>
    <x v="3"/>
    <x v="3"/>
    <x v="7"/>
    <s v="Tokyo"/>
    <x v="3"/>
    <x v="3"/>
    <x v="9"/>
    <x v="4"/>
    <x v="53"/>
    <n v="141.26"/>
    <n v="206.88"/>
    <n v="0.107"/>
    <b v="0"/>
    <n v="9"/>
    <n v="1662.6945600000001"/>
    <n v="1271.3399999999999"/>
    <n v="391.35456000000022"/>
    <n v="0.23537369365062469"/>
    <s v="Low"/>
  </r>
  <r>
    <s v="ORD-2025-419532"/>
    <d v="2025-08-06T00:00:00"/>
    <s v="Aug-2025"/>
    <s v="Q3-2025"/>
    <d v="2025-08-23T00:00:00"/>
    <d v="2025-08-23T00:00:00"/>
    <x v="25"/>
    <x v="2"/>
    <x v="5"/>
    <s v="Brasília"/>
    <x v="2"/>
    <x v="3"/>
    <x v="13"/>
    <x v="0"/>
    <x v="54"/>
    <n v="86.64"/>
    <n v="213.06"/>
    <n v="0.21199999999999999"/>
    <b v="0"/>
    <n v="11"/>
    <n v="1846.8040799999999"/>
    <n v="953.04"/>
    <n v="893.76407999999992"/>
    <n v="0.48395175735154322"/>
    <s v="Low"/>
  </r>
  <r>
    <s v="ORD-2025-138578"/>
    <d v="2025-04-09T00:00:00"/>
    <s v="Apr-2025"/>
    <s v="Q2-2025"/>
    <d v="2025-04-12T00:00:00"/>
    <d v="2025-04-12T00:00:00"/>
    <x v="5"/>
    <x v="0"/>
    <x v="2"/>
    <s v="Lyon"/>
    <x v="1"/>
    <x v="3"/>
    <x v="2"/>
    <x v="0"/>
    <x v="55"/>
    <n v="86.68"/>
    <n v="213.32"/>
    <n v="3.7999999999999999E-2"/>
    <b v="0"/>
    <n v="8"/>
    <n v="1641.7107199999998"/>
    <n v="693.44"/>
    <n v="948.27071999999976"/>
    <n v="0.57761133459614611"/>
    <s v="Low"/>
  </r>
  <r>
    <s v="ORD-2025-649239"/>
    <d v="2025-01-17T00:00:00"/>
    <s v="Jan-2025"/>
    <s v="Q1-2025"/>
    <d v="2025-01-24T00:00:00"/>
    <d v="2025-01-24T00:00:00"/>
    <x v="11"/>
    <x v="2"/>
    <x v="3"/>
    <s v="Austin"/>
    <x v="3"/>
    <x v="4"/>
    <x v="14"/>
    <x v="2"/>
    <x v="56"/>
    <n v="142.09"/>
    <n v="218.5"/>
    <n v="0.11899999999999999"/>
    <b v="0"/>
    <n v="11"/>
    <n v="2117.4834999999998"/>
    <n v="1562.99"/>
    <n v="554.49349999999981"/>
    <n v="0.26186437816398561"/>
    <s v="Low"/>
  </r>
  <r>
    <s v="ORD-2024-641220"/>
    <d v="2024-05-10T00:00:00"/>
    <s v="May-2024"/>
    <s v="Q2-2024"/>
    <d v="2024-05-16T00:00:00"/>
    <d v="2024-05-16T00:00:00"/>
    <x v="18"/>
    <x v="0"/>
    <x v="0"/>
    <s v="Birmingham"/>
    <x v="4"/>
    <x v="2"/>
    <x v="14"/>
    <x v="5"/>
    <x v="57"/>
    <n v="210.76"/>
    <n v="221.58"/>
    <n v="8.8999999999999996E-2"/>
    <b v="0"/>
    <n v="5"/>
    <n v="1009.2969000000002"/>
    <n v="1053.8"/>
    <n v="-44.50309999999979"/>
    <n v="-4.4093170205912434E-2"/>
    <s v="Low"/>
  </r>
  <r>
    <s v="ORD-2025-415018"/>
    <d v="2025-01-22T00:00:00"/>
    <s v="Jan-2025"/>
    <s v="Q1-2025"/>
    <d v="2025-02-04T00:00:00"/>
    <d v="2025-02-04T00:00:00"/>
    <x v="6"/>
    <x v="3"/>
    <x v="7"/>
    <s v="Tokyo"/>
    <x v="1"/>
    <x v="3"/>
    <x v="5"/>
    <x v="6"/>
    <x v="58"/>
    <n v="122.29"/>
    <n v="224.95"/>
    <n v="0.153"/>
    <b v="0"/>
    <n v="28"/>
    <n v="5334.9141999999993"/>
    <n v="3424.1200000000003"/>
    <n v="1910.7941999999989"/>
    <n v="0.3581677471026618"/>
    <s v="Low"/>
  </r>
  <r>
    <s v="ORD-2025-653781"/>
    <d v="2025-01-11T00:00:00"/>
    <s v="Jan-2025"/>
    <s v="Q1-2025"/>
    <d v="2025-01-23T00:00:00"/>
    <d v="2025-01-23T00:00:00"/>
    <x v="22"/>
    <x v="2"/>
    <x v="3"/>
    <s v="Austin"/>
    <x v="2"/>
    <x v="3"/>
    <x v="2"/>
    <x v="3"/>
    <x v="59"/>
    <n v="100.69"/>
    <n v="226.14"/>
    <n v="6.5000000000000002E-2"/>
    <b v="0"/>
    <n v="12"/>
    <n v="2537.2908000000002"/>
    <n v="1208.28"/>
    <n v="1329.0108000000002"/>
    <n v="0.52379128162999689"/>
    <s v="Low"/>
  </r>
  <r>
    <s v="ORD-2025-861401"/>
    <d v="2025-04-01T00:00:00"/>
    <s v="Apr-2025"/>
    <s v="Q2-2025"/>
    <d v="2025-04-27T00:00:00"/>
    <d v="2025-04-27T00:00:00"/>
    <x v="24"/>
    <x v="2"/>
    <x v="3"/>
    <s v="San Francisco"/>
    <x v="0"/>
    <x v="2"/>
    <x v="1"/>
    <x v="0"/>
    <x v="60"/>
    <n v="156.55000000000001"/>
    <n v="227.45"/>
    <n v="1.4E-2"/>
    <b v="0"/>
    <n v="13"/>
    <n v="2915.4540999999999"/>
    <n v="2035.15"/>
    <n v="880.30409999999983"/>
    <n v="0.3019440779396938"/>
    <s v="Low"/>
  </r>
  <r>
    <s v="ORD-2023-271918"/>
    <d v="2023-09-25T00:00:00"/>
    <s v="Sep-2023"/>
    <s v="Q3-2023"/>
    <d v="2023-10-02T00:00:00"/>
    <d v="2023-10-02T00:00:00"/>
    <x v="11"/>
    <x v="2"/>
    <x v="3"/>
    <s v="New York"/>
    <x v="5"/>
    <x v="1"/>
    <x v="1"/>
    <x v="2"/>
    <x v="61"/>
    <n v="145.58000000000001"/>
    <n v="228.15"/>
    <n v="0.20399999999999999"/>
    <b v="0"/>
    <n v="5"/>
    <n v="908.03700000000003"/>
    <n v="727.90000000000009"/>
    <n v="180.13699999999994"/>
    <n v="0.19838068272548359"/>
    <s v="Low"/>
  </r>
  <r>
    <s v="ORD-2024-266562"/>
    <d v="2024-11-27T00:00:00"/>
    <s v="Nov-2024"/>
    <s v="Q4-2024"/>
    <d v="2024-12-24T00:00:00"/>
    <d v="2024-12-24T00:00:00"/>
    <x v="4"/>
    <x v="1"/>
    <x v="1"/>
    <s v="Mombasa"/>
    <x v="0"/>
    <x v="3"/>
    <x v="4"/>
    <x v="6"/>
    <x v="62"/>
    <n v="143.33000000000001"/>
    <n v="233.51"/>
    <n v="0.16300000000000001"/>
    <b v="0"/>
    <n v="14"/>
    <n v="2736.27018"/>
    <n v="2006.6200000000001"/>
    <n v="729.65017999999986"/>
    <n v="0.26665867476580835"/>
    <s v="Low"/>
  </r>
  <r>
    <s v="ORD-2025-578007"/>
    <d v="2025-01-21T00:00:00"/>
    <s v="Jan-2025"/>
    <s v="Q1-2025"/>
    <d v="2025-02-16T00:00:00"/>
    <d v="2025-02-16T00:00:00"/>
    <x v="24"/>
    <x v="0"/>
    <x v="2"/>
    <s v="Lyon"/>
    <x v="0"/>
    <x v="3"/>
    <x v="11"/>
    <x v="5"/>
    <x v="63"/>
    <n v="204.11"/>
    <n v="236.87"/>
    <n v="0.182"/>
    <b v="0"/>
    <n v="13"/>
    <n v="2518.8755800000004"/>
    <n v="2653.4300000000003"/>
    <n v="-134.55441999999994"/>
    <n v="-5.3418446337075494E-2"/>
    <s v="Low"/>
  </r>
  <r>
    <s v="ORD-2024-478165"/>
    <d v="2024-12-05T00:00:00"/>
    <s v="Dec-2024"/>
    <s v="Q4-2024"/>
    <d v="2024-12-28T00:00:00"/>
    <d v="2024-12-28T00:00:00"/>
    <x v="23"/>
    <x v="2"/>
    <x v="11"/>
    <s v="Vancouver"/>
    <x v="0"/>
    <x v="2"/>
    <x v="6"/>
    <x v="2"/>
    <x v="64"/>
    <n v="107.03"/>
    <n v="242.29"/>
    <n v="0.18"/>
    <b v="0"/>
    <n v="30"/>
    <n v="5960.3340000000007"/>
    <n v="3210.9"/>
    <n v="2749.4340000000007"/>
    <n v="0.46128857879440988"/>
    <s v="Low"/>
  </r>
  <r>
    <s v="ORD-2024-892908"/>
    <d v="2024-07-13T00:00:00"/>
    <s v="Jul-2024"/>
    <s v="Q3-2024"/>
    <d v="2024-07-12T00:00:00"/>
    <d v="2024-07-27T00:00:00"/>
    <x v="7"/>
    <x v="3"/>
    <x v="7"/>
    <s v="Nagoya"/>
    <x v="1"/>
    <x v="1"/>
    <x v="6"/>
    <x v="1"/>
    <x v="65"/>
    <n v="105.13"/>
    <n v="244.13"/>
    <n v="7.0999999999999994E-2"/>
    <b v="0"/>
    <n v="14"/>
    <n v="3175.1547799999998"/>
    <n v="1471.82"/>
    <n v="1703.3347799999999"/>
    <n v="0.53645724319618837"/>
    <s v="Low"/>
  </r>
  <r>
    <s v="ORD-2024-970848"/>
    <d v="2024-05-23T00:00:00"/>
    <s v="May-2024"/>
    <s v="Q2-2024"/>
    <d v="2024-06-03T00:00:00"/>
    <d v="2024-06-03T00:00:00"/>
    <x v="10"/>
    <x v="1"/>
    <x v="4"/>
    <s v="Johannesburg"/>
    <x v="1"/>
    <x v="3"/>
    <x v="6"/>
    <x v="6"/>
    <x v="66"/>
    <n v="180.89"/>
    <n v="249.57"/>
    <n v="2.1999999999999999E-2"/>
    <b v="0"/>
    <n v="8"/>
    <n v="1952.6356799999999"/>
    <n v="1447.12"/>
    <n v="505.51567999999997"/>
    <n v="0.25888888806948362"/>
    <s v="Low"/>
  </r>
  <r>
    <s v="ORD-2023-975863"/>
    <d v="2023-11-20T00:00:00"/>
    <s v="Nov-2023"/>
    <s v="Q4-2023"/>
    <d v="2023-12-05T00:00:00"/>
    <d v="2023-12-05T00:00:00"/>
    <x v="21"/>
    <x v="3"/>
    <x v="7"/>
    <s v="Tokyo"/>
    <x v="3"/>
    <x v="0"/>
    <x v="5"/>
    <x v="1"/>
    <x v="67"/>
    <n v="354.24"/>
    <n v="249.87"/>
    <n v="0"/>
    <b v="0"/>
    <n v="6"/>
    <n v="1499.22"/>
    <n v="2125.44"/>
    <n v="-626.22"/>
    <n v="-0.41769720254532355"/>
    <s v="Low"/>
  </r>
  <r>
    <s v="ORD-2025-269934"/>
    <d v="2025-04-04T00:00:00"/>
    <s v="Apr-2025"/>
    <s v="Q2-2025"/>
    <d v="2025-04-10T00:00:00"/>
    <d v="2025-04-10T00:00:00"/>
    <x v="18"/>
    <x v="0"/>
    <x v="0"/>
    <s v="Birmingham"/>
    <x v="4"/>
    <x v="2"/>
    <x v="9"/>
    <x v="6"/>
    <x v="68"/>
    <n v="290.14"/>
    <n v="250.73"/>
    <n v="3.4000000000000002E-2"/>
    <b v="0"/>
    <n v="17"/>
    <n v="4117.4880599999997"/>
    <n v="4932.38"/>
    <n v="-814.89194000000043"/>
    <n v="-0.19790997038131072"/>
    <s v="Low"/>
  </r>
  <r>
    <s v="ORD-2025-168148"/>
    <d v="2025-03-29T00:00:00"/>
    <s v="Mar-2025"/>
    <s v="Q1-2025"/>
    <d v="2025-04-02T00:00:00"/>
    <d v="2025-04-02T00:00:00"/>
    <x v="17"/>
    <x v="1"/>
    <x v="8"/>
    <s v="Lagos"/>
    <x v="4"/>
    <x v="1"/>
    <x v="14"/>
    <x v="3"/>
    <x v="69"/>
    <n v="259.93"/>
    <n v="255.94"/>
    <n v="7.1999999999999995E-2"/>
    <b v="0"/>
    <n v="22"/>
    <n v="5225.2710400000005"/>
    <n v="5718.46"/>
    <n v="-493.1889599999995"/>
    <n v="-9.4385335463861311E-2"/>
    <s v="Low"/>
  </r>
  <r>
    <s v="ORD-2024-897622"/>
    <d v="2024-03-30T00:00:00"/>
    <s v="Mar-2024"/>
    <s v="Q1-2024"/>
    <d v="2024-04-24T00:00:00"/>
    <d v="2024-04-24T00:00:00"/>
    <x v="1"/>
    <x v="2"/>
    <x v="3"/>
    <s v="Austin"/>
    <x v="4"/>
    <x v="4"/>
    <x v="14"/>
    <x v="5"/>
    <x v="70"/>
    <n v="160.82"/>
    <n v="258.52"/>
    <n v="0.13"/>
    <b v="0"/>
    <n v="17"/>
    <n v="3823.5108"/>
    <n v="2733.94"/>
    <n v="1089.5708"/>
    <n v="0.28496605789631874"/>
    <s v="Low"/>
  </r>
  <r>
    <s v="ORD-2024-585443"/>
    <d v="2024-08-17T00:00:00"/>
    <s v="Aug-2024"/>
    <s v="Q3-2024"/>
    <d v="2024-08-15T00:00:00"/>
    <d v="2024-08-31T00:00:00"/>
    <x v="7"/>
    <x v="2"/>
    <x v="5"/>
    <s v="Rio de Janeiro"/>
    <x v="2"/>
    <x v="2"/>
    <x v="7"/>
    <x v="0"/>
    <x v="71"/>
    <n v="165.3"/>
    <n v="275.07"/>
    <n v="0.13300000000000001"/>
    <b v="0"/>
    <n v="25"/>
    <n v="5962.1422499999999"/>
    <n v="4132.5"/>
    <n v="1829.6422499999999"/>
    <n v="0.30687665159280625"/>
    <s v="Low"/>
  </r>
  <r>
    <s v="ORD-2023-659070"/>
    <d v="2023-10-21T00:00:00"/>
    <s v="Oct-2023"/>
    <s v="Q4-2023"/>
    <d v="2023-10-21T00:00:00"/>
    <d v="2023-10-21T00:00:00"/>
    <x v="15"/>
    <x v="0"/>
    <x v="0"/>
    <s v="Manchester"/>
    <x v="3"/>
    <x v="3"/>
    <x v="3"/>
    <x v="0"/>
    <x v="72"/>
    <n v="384.19"/>
    <n v="278.35000000000002"/>
    <n v="5.6000000000000001E-2"/>
    <b v="0"/>
    <n v="10"/>
    <n v="2627.6239999999998"/>
    <n v="3841.9"/>
    <n v="-1214.2760000000003"/>
    <n v="-0.46211938998882657"/>
    <s v="Low"/>
  </r>
  <r>
    <s v="ORD-2024-972318"/>
    <d v="2024-12-24T00:00:00"/>
    <s v="Dec-2024"/>
    <s v="Q4-2024"/>
    <d v="2025-01-13T00:00:00"/>
    <d v="2025-01-13T00:00:00"/>
    <x v="14"/>
    <x v="3"/>
    <x v="9"/>
    <s v="Bengaluru"/>
    <x v="0"/>
    <x v="1"/>
    <x v="0"/>
    <x v="1"/>
    <x v="73"/>
    <n v="126.15"/>
    <n v="284.23"/>
    <n v="0.113"/>
    <b v="0"/>
    <n v="22"/>
    <n v="5546.4642200000008"/>
    <n v="2775.3"/>
    <n v="2771.1642200000006"/>
    <n v="0.49962716968541088"/>
    <s v="Low"/>
  </r>
  <r>
    <s v="ORD-2023-603238"/>
    <d v="2023-08-21T00:00:00"/>
    <s v="Aug-2023"/>
    <s v="Q3-2023"/>
    <d v="2023-09-04T00:00:00"/>
    <d v="2023-09-04T00:00:00"/>
    <x v="7"/>
    <x v="2"/>
    <x v="11"/>
    <s v="Montreal"/>
    <x v="5"/>
    <x v="3"/>
    <x v="6"/>
    <x v="4"/>
    <x v="74"/>
    <n v="178.19"/>
    <n v="284.43"/>
    <n v="8.8999999999999996E-2"/>
    <b v="0"/>
    <n v="8"/>
    <n v="2072.9258400000003"/>
    <n v="1425.52"/>
    <n v="647.40584000000035"/>
    <n v="0.31231500302972742"/>
    <s v="Low"/>
  </r>
  <r>
    <s v="ORD-2025-169093"/>
    <d v="2025-04-13T00:00:00"/>
    <s v="Apr-2025"/>
    <s v="Q2-2025"/>
    <d v="2025-04-14T00:00:00"/>
    <d v="2025-04-14T00:00:00"/>
    <x v="26"/>
    <x v="3"/>
    <x v="7"/>
    <s v="Osaka"/>
    <x v="3"/>
    <x v="4"/>
    <x v="14"/>
    <x v="4"/>
    <x v="75"/>
    <n v="138.9"/>
    <n v="289.92"/>
    <n v="2.9000000000000001E-2"/>
    <b v="0"/>
    <n v="12"/>
    <n v="3378.1478400000001"/>
    <n v="1666.8000000000002"/>
    <n v="1711.3478399999999"/>
    <n v="0.50659353025828491"/>
    <s v="Low"/>
  </r>
  <r>
    <s v="ORD-2024-382152"/>
    <d v="2024-12-08T00:00:00"/>
    <s v="Dec-2024"/>
    <s v="Q4-2024"/>
    <d v="2024-12-08T00:00:00"/>
    <d v="2024-12-08T00:00:00"/>
    <x v="15"/>
    <x v="0"/>
    <x v="2"/>
    <s v="Lyon"/>
    <x v="3"/>
    <x v="0"/>
    <x v="2"/>
    <x v="4"/>
    <x v="76"/>
    <n v="257.44"/>
    <n v="290.33"/>
    <n v="9.1999999999999998E-2"/>
    <b v="0"/>
    <n v="23"/>
    <n v="6063.2517199999993"/>
    <n v="5921.12"/>
    <n v="142.1317199999994"/>
    <n v="2.3441500792581216E-2"/>
    <s v="Low"/>
  </r>
  <r>
    <s v="ORD-2023-125739"/>
    <d v="2023-05-01T00:00:00"/>
    <s v="May-2023"/>
    <s v="Q2-2023"/>
    <d v="2023-05-18T00:00:00"/>
    <d v="2023-05-18T00:00:00"/>
    <x v="25"/>
    <x v="1"/>
    <x v="8"/>
    <s v="Port Harcourt"/>
    <x v="0"/>
    <x v="2"/>
    <x v="6"/>
    <x v="4"/>
    <x v="77"/>
    <n v="327.97"/>
    <n v="299.94"/>
    <n v="4.9000000000000002E-2"/>
    <b v="0"/>
    <n v="3"/>
    <n v="855.72881999999993"/>
    <n v="983.91000000000008"/>
    <n v="-128.18118000000015"/>
    <n v="-0.14979182306843442"/>
    <s v="Low"/>
  </r>
  <r>
    <s v="ORD-2023-240507"/>
    <d v="2023-03-25T00:00:00"/>
    <s v="Mar-2023"/>
    <s v="Q1-2023"/>
    <d v="2023-03-26T00:00:00"/>
    <d v="2023-03-26T00:00:00"/>
    <x v="26"/>
    <x v="3"/>
    <x v="7"/>
    <s v="Osaka"/>
    <x v="1"/>
    <x v="3"/>
    <x v="1"/>
    <x v="0"/>
    <x v="78"/>
    <n v="135.12"/>
    <n v="301.7"/>
    <n v="0.14000000000000001"/>
    <b v="0"/>
    <n v="47"/>
    <n v="12194.714"/>
    <n v="6350.64"/>
    <n v="5844.0739999999996"/>
    <n v="0.47923009920527859"/>
    <s v="Low"/>
  </r>
  <r>
    <s v="ORD-2024-247032"/>
    <d v="2024-04-21T00:00:00"/>
    <s v="Apr-2024"/>
    <s v="Q2-2024"/>
    <d v="2024-05-19T00:00:00"/>
    <d v="2024-05-19T00:00:00"/>
    <x v="27"/>
    <x v="1"/>
    <x v="8"/>
    <s v="Lagos"/>
    <x v="0"/>
    <x v="3"/>
    <x v="13"/>
    <x v="2"/>
    <x v="79"/>
    <n v="187.22"/>
    <n v="309.47000000000003"/>
    <n v="0"/>
    <b v="0"/>
    <n v="5"/>
    <n v="1547.3500000000001"/>
    <n v="936.1"/>
    <n v="611.25000000000011"/>
    <n v="0.39503021294471197"/>
    <s v="Low"/>
  </r>
  <r>
    <s v="ORD-2025-473192"/>
    <d v="2025-03-30T00:00:00"/>
    <s v="Mar-2025"/>
    <s v="Q1-2025"/>
    <d v="2025-04-29T00:00:00"/>
    <d v="2025-04-29T00:00:00"/>
    <x v="0"/>
    <x v="1"/>
    <x v="4"/>
    <s v="Durban"/>
    <x v="2"/>
    <x v="1"/>
    <x v="3"/>
    <x v="0"/>
    <x v="80"/>
    <n v="194.6"/>
    <n v="314.87"/>
    <n v="0.29299999999999998"/>
    <b v="0"/>
    <n v="25"/>
    <n v="5565.3272500000003"/>
    <n v="4865"/>
    <n v="700.32725000000028"/>
    <n v="0.1258375686712763"/>
    <s v="Low"/>
  </r>
  <r>
    <s v="ORD-2024-197852"/>
    <d v="2024-02-29T00:00:00"/>
    <s v="Feb-2024"/>
    <s v="Q1-2024"/>
    <d v="2024-03-30T00:00:00"/>
    <d v="2024-03-30T00:00:00"/>
    <x v="0"/>
    <x v="3"/>
    <x v="7"/>
    <s v="Nagoya"/>
    <x v="1"/>
    <x v="2"/>
    <x v="1"/>
    <x v="1"/>
    <x v="81"/>
    <n v="231.11"/>
    <n v="318.17"/>
    <n v="0.20100000000000001"/>
    <b v="0"/>
    <n v="60"/>
    <n v="15253.069799999999"/>
    <n v="13866.6"/>
    <n v="1386.4697999999989"/>
    <n v="9.0897754889969692E-2"/>
    <s v="Low"/>
  </r>
  <r>
    <s v="ORD-2025-306903"/>
    <d v="2025-06-24T00:00:00"/>
    <s v="Jun-2025"/>
    <s v="Q2-2025"/>
    <d v="2025-07-23T00:00:00"/>
    <d v="2025-07-23T00:00:00"/>
    <x v="12"/>
    <x v="2"/>
    <x v="11"/>
    <s v="Vancouver"/>
    <x v="4"/>
    <x v="1"/>
    <x v="1"/>
    <x v="6"/>
    <x v="82"/>
    <n v="255.4"/>
    <n v="322.70999999999998"/>
    <n v="0.115"/>
    <b v="0"/>
    <n v="16"/>
    <n v="4569.5735999999997"/>
    <n v="4086.4"/>
    <n v="483.17359999999962"/>
    <n v="0.10573713048412212"/>
    <s v="Low"/>
  </r>
  <r>
    <s v="ORD-2024-423853"/>
    <d v="2024-09-03T00:00:00"/>
    <s v="Sep-2024"/>
    <s v="Q3-2024"/>
    <d v="2024-09-08T00:00:00"/>
    <d v="2024-09-08T00:00:00"/>
    <x v="28"/>
    <x v="1"/>
    <x v="8"/>
    <s v="Lagos"/>
    <x v="1"/>
    <x v="2"/>
    <x v="12"/>
    <x v="6"/>
    <x v="83"/>
    <n v="197.63"/>
    <n v="325.79000000000002"/>
    <n v="0.11600000000000001"/>
    <b v="0"/>
    <n v="10"/>
    <n v="2879.9836"/>
    <n v="1976.3"/>
    <n v="903.68360000000007"/>
    <n v="0.31378081458519419"/>
    <s v="Low"/>
  </r>
  <r>
    <s v="ORD-2024-496601"/>
    <d v="2024-11-11T00:00:00"/>
    <s v="Nov-2024"/>
    <s v="Q4-2024"/>
    <d v="2024-11-24T00:00:00"/>
    <d v="2024-11-24T00:00:00"/>
    <x v="6"/>
    <x v="0"/>
    <x v="0"/>
    <s v="London"/>
    <x v="0"/>
    <x v="0"/>
    <x v="10"/>
    <x v="1"/>
    <x v="84"/>
    <n v="164.53"/>
    <n v="327.72"/>
    <n v="6.7000000000000004E-2"/>
    <b v="0"/>
    <n v="14"/>
    <n v="4280.6786400000001"/>
    <n v="2303.42"/>
    <n v="1977.25864"/>
    <n v="0.46190307805960412"/>
    <s v="Low"/>
  </r>
  <r>
    <s v="ORD-2024-961501"/>
    <d v="2024-03-02T00:00:00"/>
    <s v="Mar-2024"/>
    <s v="Q1-2024"/>
    <d v="2024-03-23T00:00:00"/>
    <d v="2024-03-23T00:00:00"/>
    <x v="20"/>
    <x v="2"/>
    <x v="3"/>
    <s v="Chicago"/>
    <x v="1"/>
    <x v="4"/>
    <x v="6"/>
    <x v="4"/>
    <x v="85"/>
    <n v="225.01"/>
    <n v="333.48"/>
    <n v="0.11899999999999999"/>
    <b v="0"/>
    <n v="12"/>
    <n v="3525.5505600000001"/>
    <n v="2700.12"/>
    <n v="825.43056000000024"/>
    <n v="0.23412813004729685"/>
    <s v="Low"/>
  </r>
  <r>
    <s v="ORD-2023-253245"/>
    <d v="2023-08-03T00:00:00"/>
    <s v="Aug-2023"/>
    <s v="Q3-2023"/>
    <d v="2023-08-14T00:00:00"/>
    <d v="2023-08-14T00:00:00"/>
    <x v="10"/>
    <x v="2"/>
    <x v="5"/>
    <s v="Brasília"/>
    <x v="0"/>
    <x v="2"/>
    <x v="3"/>
    <x v="2"/>
    <x v="86"/>
    <n v="232.73"/>
    <n v="334.19"/>
    <n v="0.13400000000000001"/>
    <b v="0"/>
    <n v="25"/>
    <n v="7235.2134999999998"/>
    <n v="5818.25"/>
    <n v="1416.9634999999998"/>
    <n v="0.1958426658729559"/>
    <s v="Low"/>
  </r>
  <r>
    <s v="ORD-2024-851883"/>
    <d v="2024-01-13T00:00:00"/>
    <s v="Jan-2024"/>
    <s v="Q1-2024"/>
    <d v="2024-01-22T00:00:00"/>
    <d v="2024-01-22T00:00:00"/>
    <x v="2"/>
    <x v="3"/>
    <x v="9"/>
    <s v="Mumbai"/>
    <x v="3"/>
    <x v="1"/>
    <x v="3"/>
    <x v="4"/>
    <x v="87"/>
    <n v="313.60000000000002"/>
    <n v="334.28"/>
    <n v="0.14000000000000001"/>
    <b v="0"/>
    <n v="22"/>
    <n v="6324.5775999999996"/>
    <n v="6899.2000000000007"/>
    <n v="-574.62240000000111"/>
    <n v="-9.0855458868905517E-2"/>
    <s v="Low"/>
  </r>
  <r>
    <s v="ORD-2023-613317"/>
    <d v="2023-01-22T00:00:00"/>
    <s v="Jan-2023"/>
    <s v="Q1-2023"/>
    <d v="2023-01-21T00:00:00"/>
    <d v="2023-02-05T00:00:00"/>
    <x v="7"/>
    <x v="0"/>
    <x v="6"/>
    <s v="Munich"/>
    <x v="0"/>
    <x v="2"/>
    <x v="6"/>
    <x v="0"/>
    <x v="88"/>
    <n v="150.86000000000001"/>
    <n v="346.96"/>
    <n v="0.19600000000000001"/>
    <b v="0"/>
    <n v="8"/>
    <n v="2231.6467200000002"/>
    <n v="1206.8800000000001"/>
    <n v="1024.7667200000001"/>
    <n v="0.45919755614365343"/>
    <s v="Low"/>
  </r>
  <r>
    <s v="ORD-2023-713614"/>
    <d v="2023-08-02T00:00:00"/>
    <s v="Aug-2023"/>
    <s v="Q3-2023"/>
    <d v="2023-08-19T00:00:00"/>
    <d v="2023-08-19T00:00:00"/>
    <x v="25"/>
    <x v="2"/>
    <x v="11"/>
    <s v="Vancouver"/>
    <x v="0"/>
    <x v="4"/>
    <x v="6"/>
    <x v="1"/>
    <x v="89"/>
    <n v="175.38"/>
    <n v="347.9"/>
    <n v="7.1999999999999995E-2"/>
    <b v="0"/>
    <n v="43"/>
    <n v="13882.6016"/>
    <n v="7541.34"/>
    <n v="6341.2615999999998"/>
    <n v="0.45677761148169804"/>
    <s v="Low"/>
  </r>
  <r>
    <s v="ORD-2024-166150"/>
    <d v="2024-06-02T00:00:00"/>
    <s v="Jun-2024"/>
    <s v="Q2-2024"/>
    <d v="2024-06-08T00:00:00"/>
    <d v="2024-06-08T00:00:00"/>
    <x v="18"/>
    <x v="1"/>
    <x v="1"/>
    <s v="Kisumu"/>
    <x v="2"/>
    <x v="1"/>
    <x v="13"/>
    <x v="2"/>
    <x v="90"/>
    <n v="292.94"/>
    <n v="356.55"/>
    <n v="0.22900000000000001"/>
    <b v="0"/>
    <n v="2"/>
    <n v="549.80010000000004"/>
    <n v="585.88"/>
    <n v="-36.079899999999952"/>
    <n v="-6.5623669402751925E-2"/>
    <s v="Low"/>
  </r>
  <r>
    <s v="ORD-2023-799597"/>
    <d v="2023-03-14T00:00:00"/>
    <s v="Mar-2023"/>
    <s v="Q1-2023"/>
    <d v="2023-03-18T00:00:00"/>
    <d v="2023-03-18T00:00:00"/>
    <x v="17"/>
    <x v="0"/>
    <x v="6"/>
    <s v="Frankfurt"/>
    <x v="3"/>
    <x v="2"/>
    <x v="13"/>
    <x v="4"/>
    <x v="91"/>
    <n v="472.33"/>
    <n v="360.34"/>
    <n v="0.16500000000000001"/>
    <b v="0"/>
    <n v="14"/>
    <n v="4212.3745999999992"/>
    <n v="6612.62"/>
    <n v="-2400.2454000000007"/>
    <n v="-0.56980815523861561"/>
    <s v="Low"/>
  </r>
  <r>
    <s v="ORD-2024-605518"/>
    <d v="2024-05-30T00:00:00"/>
    <s v="May-2024"/>
    <s v="Q2-2024"/>
    <d v="2024-06-13T00:00:00"/>
    <d v="2024-06-13T00:00:00"/>
    <x v="7"/>
    <x v="2"/>
    <x v="3"/>
    <s v="San Francisco"/>
    <x v="1"/>
    <x v="0"/>
    <x v="6"/>
    <x v="3"/>
    <x v="92"/>
    <n v="157.78"/>
    <n v="361.1"/>
    <n v="0.187"/>
    <b v="0"/>
    <n v="9"/>
    <n v="2642.1686999999997"/>
    <n v="1420.02"/>
    <n v="1222.1486999999997"/>
    <n v="0.46255513510549112"/>
    <s v="Low"/>
  </r>
  <r>
    <s v="ORD-2023-177794"/>
    <d v="2023-05-04T00:00:00"/>
    <s v="May-2023"/>
    <s v="Q2-2023"/>
    <d v="2023-05-26T00:00:00"/>
    <d v="2023-05-26T00:00:00"/>
    <x v="13"/>
    <x v="2"/>
    <x v="3"/>
    <s v="San Francisco"/>
    <x v="3"/>
    <x v="4"/>
    <x v="3"/>
    <x v="1"/>
    <x v="93"/>
    <n v="249.71"/>
    <n v="361.33"/>
    <n v="9.4E-2"/>
    <b v="0"/>
    <n v="12"/>
    <n v="3928.3797600000003"/>
    <n v="2996.52"/>
    <n v="931.85976000000028"/>
    <n v="0.23721223937881206"/>
    <s v="Low"/>
  </r>
  <r>
    <s v="ORD-2023-811823"/>
    <d v="2023-01-26T00:00:00"/>
    <s v="Jan-2023"/>
    <s v="Q1-2023"/>
    <d v="2023-02-15T00:00:00"/>
    <d v="2023-02-15T00:00:00"/>
    <x v="14"/>
    <x v="0"/>
    <x v="6"/>
    <s v="Berlin"/>
    <x v="1"/>
    <x v="4"/>
    <x v="11"/>
    <x v="1"/>
    <x v="94"/>
    <n v="492.62"/>
    <n v="366.7"/>
    <n v="8.8999999999999996E-2"/>
    <b v="0"/>
    <n v="10"/>
    <n v="3340.6370000000002"/>
    <n v="4926.2"/>
    <n v="-1585.5629999999996"/>
    <n v="-0.47462894052840809"/>
    <s v="Low"/>
  </r>
  <r>
    <s v="ORD-2023-419187"/>
    <d v="2023-03-31T00:00:00"/>
    <s v="Mar-2023"/>
    <s v="Q1-2023"/>
    <d v="2023-04-05T00:00:00"/>
    <d v="2023-04-05T00:00:00"/>
    <x v="28"/>
    <x v="1"/>
    <x v="1"/>
    <s v="Nakuru"/>
    <x v="5"/>
    <x v="1"/>
    <x v="4"/>
    <x v="5"/>
    <x v="95"/>
    <n v="533.26"/>
    <n v="385.72"/>
    <n v="0"/>
    <b v="0"/>
    <n v="15"/>
    <n v="5785.8"/>
    <n v="7998.9"/>
    <n v="-2213.0999999999995"/>
    <n v="-0.38250544436378708"/>
    <s v="Low"/>
  </r>
  <r>
    <s v="ORD-2025-114382"/>
    <d v="2025-05-14T00:00:00"/>
    <s v="May-2025"/>
    <s v="Q2-2025"/>
    <d v="2025-05-24T00:00:00"/>
    <d v="2025-05-24T00:00:00"/>
    <x v="3"/>
    <x v="0"/>
    <x v="2"/>
    <s v="Paris"/>
    <x v="1"/>
    <x v="1"/>
    <x v="12"/>
    <x v="4"/>
    <x v="96"/>
    <n v="170.39"/>
    <n v="388.04"/>
    <n v="8.4000000000000005E-2"/>
    <b v="0"/>
    <n v="15"/>
    <n v="5331.6696000000002"/>
    <n v="2555.85"/>
    <n v="2775.8196000000003"/>
    <n v="0.52062858508711796"/>
    <s v="Low"/>
  </r>
  <r>
    <s v="ORD-2023-157993"/>
    <d v="2023-04-18T00:00:00"/>
    <s v="Apr-2023"/>
    <s v="Q2-2023"/>
    <d v="2023-05-18T00:00:00"/>
    <d v="2023-05-18T00:00:00"/>
    <x v="0"/>
    <x v="3"/>
    <x v="10"/>
    <s v="Shenzhen"/>
    <x v="4"/>
    <x v="0"/>
    <x v="2"/>
    <x v="5"/>
    <x v="97"/>
    <n v="329.03"/>
    <n v="391.15"/>
    <n v="0.19700000000000001"/>
    <b v="0"/>
    <n v="46"/>
    <n v="14448.298699999998"/>
    <n v="15135.38"/>
    <n v="-687.08130000000165"/>
    <n v="-4.7554477815440081E-2"/>
    <s v="Low"/>
  </r>
  <r>
    <s v="ORD-2023-613287"/>
    <d v="2023-03-31T00:00:00"/>
    <s v="Mar-2023"/>
    <s v="Q1-2023"/>
    <d v="2023-04-12T00:00:00"/>
    <d v="2023-04-12T00:00:00"/>
    <x v="22"/>
    <x v="1"/>
    <x v="1"/>
    <s v="Mombasa"/>
    <x v="1"/>
    <x v="4"/>
    <x v="8"/>
    <x v="3"/>
    <x v="98"/>
    <n v="304.22000000000003"/>
    <n v="393.31"/>
    <n v="0.26500000000000001"/>
    <b v="0"/>
    <n v="15"/>
    <n v="4336.2427499999994"/>
    <n v="4563.3"/>
    <n v="-227.05725000000075"/>
    <n v="-5.2362670424759034E-2"/>
    <s v="Low"/>
  </r>
  <r>
    <s v="ORD-2024-811752"/>
    <d v="2024-02-25T00:00:00"/>
    <s v="Feb-2024"/>
    <s v="Q1-2024"/>
    <d v="2024-03-09T00:00:00"/>
    <d v="2024-03-09T00:00:00"/>
    <x v="6"/>
    <x v="0"/>
    <x v="2"/>
    <s v="Marseille"/>
    <x v="1"/>
    <x v="3"/>
    <x v="10"/>
    <x v="0"/>
    <x v="99"/>
    <n v="322.44"/>
    <n v="395.61"/>
    <n v="0"/>
    <b v="0"/>
    <n v="34"/>
    <n v="13450.74"/>
    <n v="10962.96"/>
    <n v="2487.7800000000007"/>
    <n v="0.18495487980586947"/>
    <s v="Low"/>
  </r>
  <r>
    <s v="ORD-2025-591006"/>
    <d v="2025-06-25T00:00:00"/>
    <s v="Jun-2025"/>
    <s v="Q2-2025"/>
    <d v="2025-07-10T00:00:00"/>
    <d v="2025-07-10T00:00:00"/>
    <x v="21"/>
    <x v="0"/>
    <x v="0"/>
    <s v="Birmingham"/>
    <x v="4"/>
    <x v="1"/>
    <x v="0"/>
    <x v="3"/>
    <x v="100"/>
    <n v="546.83000000000004"/>
    <n v="400.84"/>
    <n v="7.8E-2"/>
    <b v="0"/>
    <n v="13"/>
    <n v="4804.4682400000002"/>
    <n v="7108.7900000000009"/>
    <n v="-2304.3217600000007"/>
    <n v="-0.47962056254533608"/>
    <s v="Low"/>
  </r>
  <r>
    <s v="ORD-2024-569164"/>
    <d v="2024-09-05T00:00:00"/>
    <s v="Sep-2024"/>
    <s v="Q3-2024"/>
    <d v="2024-09-25T00:00:00"/>
    <d v="2024-09-25T00:00:00"/>
    <x v="14"/>
    <x v="3"/>
    <x v="7"/>
    <s v="Osaka"/>
    <x v="3"/>
    <x v="3"/>
    <x v="0"/>
    <x v="0"/>
    <x v="101"/>
    <n v="195.54"/>
    <n v="405.97"/>
    <n v="0.187"/>
    <b v="0"/>
    <n v="16"/>
    <n v="5280.8577599999999"/>
    <n v="3128.64"/>
    <n v="2152.21776"/>
    <n v="0.40755079152141377"/>
    <s v="Low"/>
  </r>
  <r>
    <s v="ORD-2025-652467"/>
    <d v="2025-08-21T00:00:00"/>
    <s v="Aug-2025"/>
    <s v="Q3-2025"/>
    <d v="2025-09-12T00:00:00"/>
    <d v="2025-09-12T00:00:00"/>
    <x v="13"/>
    <x v="3"/>
    <x v="10"/>
    <s v="Shenzhen"/>
    <x v="5"/>
    <x v="0"/>
    <x v="4"/>
    <x v="6"/>
    <x v="102"/>
    <n v="352.66"/>
    <n v="411.18"/>
    <n v="0.17299999999999999"/>
    <b v="0"/>
    <n v="13"/>
    <n v="4420.5961799999995"/>
    <n v="4584.58"/>
    <n v="-163.98382000000038"/>
    <n v="-3.7095408248758066E-2"/>
    <s v="Low"/>
  </r>
  <r>
    <s v="ORD-2023-755337"/>
    <d v="2023-09-08T00:00:00"/>
    <s v="Sep-2023"/>
    <s v="Q3-2023"/>
    <d v="2023-09-14T00:00:00"/>
    <d v="2023-09-14T00:00:00"/>
    <x v="18"/>
    <x v="1"/>
    <x v="1"/>
    <s v="Nakuru"/>
    <x v="5"/>
    <x v="2"/>
    <x v="1"/>
    <x v="2"/>
    <x v="103"/>
    <n v="251.03"/>
    <n v="411.48"/>
    <n v="0.16500000000000001"/>
    <b v="0"/>
    <n v="3"/>
    <n v="1030.7574"/>
    <n v="753.09"/>
    <n v="277.66739999999993"/>
    <n v="0.26938191275658069"/>
    <s v="Low"/>
  </r>
  <r>
    <s v="ORD-2025-907040"/>
    <d v="2025-04-17T00:00:00"/>
    <s v="Apr-2025"/>
    <s v="Q2-2025"/>
    <d v="2025-05-03T00:00:00"/>
    <d v="2025-05-03T00:00:00"/>
    <x v="29"/>
    <x v="2"/>
    <x v="5"/>
    <s v="Rio de Janeiro"/>
    <x v="2"/>
    <x v="1"/>
    <x v="3"/>
    <x v="1"/>
    <x v="104"/>
    <n v="168.68"/>
    <n v="413.34"/>
    <n v="0.186"/>
    <b v="0"/>
    <n v="7"/>
    <n v="2355.2113199999999"/>
    <n v="1180.76"/>
    <n v="1174.4513199999999"/>
    <n v="0.49866069767361682"/>
    <s v="Low"/>
  </r>
  <r>
    <s v="ORD-2023-191563"/>
    <d v="2023-11-30T00:00:00"/>
    <s v="Nov-2023"/>
    <s v="Q4-2023"/>
    <d v="2023-12-10T00:00:00"/>
    <d v="2023-12-10T00:00:00"/>
    <x v="3"/>
    <x v="0"/>
    <x v="6"/>
    <s v="Munich"/>
    <x v="1"/>
    <x v="2"/>
    <x v="6"/>
    <x v="5"/>
    <x v="105"/>
    <n v="174.74"/>
    <n v="415.96"/>
    <n v="0.125"/>
    <b v="0"/>
    <n v="21"/>
    <n v="7643.2649999999994"/>
    <n v="3669.54"/>
    <n v="3973.7249999999995"/>
    <n v="0.51989889137691803"/>
    <s v="Low"/>
  </r>
  <r>
    <s v="ORD-2025-541501"/>
    <d v="2025-07-22T00:00:00"/>
    <s v="Jul-2025"/>
    <s v="Q3-2025"/>
    <d v="2025-08-18T00:00:00"/>
    <d v="2025-08-18T00:00:00"/>
    <x v="4"/>
    <x v="3"/>
    <x v="10"/>
    <s v="Shenzhen"/>
    <x v="4"/>
    <x v="1"/>
    <x v="7"/>
    <x v="1"/>
    <x v="106"/>
    <n v="547.32000000000005"/>
    <n v="419.17"/>
    <n v="9.1999999999999998E-2"/>
    <b v="0"/>
    <n v="14"/>
    <n v="5328.4890400000004"/>
    <n v="7662.4800000000005"/>
    <n v="-2333.9909600000001"/>
    <n v="-0.43802116181137907"/>
    <s v="Low"/>
  </r>
  <r>
    <s v="ORD-2024-719055"/>
    <d v="2024-01-02T00:00:00"/>
    <s v="Jan-2024"/>
    <s v="Q1-2024"/>
    <d v="2024-01-01T00:00:00"/>
    <d v="2024-01-16T00:00:00"/>
    <x v="7"/>
    <x v="2"/>
    <x v="3"/>
    <s v="Chicago"/>
    <x v="5"/>
    <x v="1"/>
    <x v="4"/>
    <x v="1"/>
    <x v="107"/>
    <n v="404.77"/>
    <n v="433.88"/>
    <n v="0.215"/>
    <b v="0"/>
    <n v="22"/>
    <n v="7493.1076000000012"/>
    <n v="8904.9399999999987"/>
    <n v="-1411.8323999999975"/>
    <n v="-0.18841747314558746"/>
    <s v="Low"/>
  </r>
  <r>
    <s v="ORD-2023-867166"/>
    <d v="2023-04-13T00:00:00"/>
    <s v="Apr-2023"/>
    <s v="Q2-2023"/>
    <d v="2023-04-20T00:00:00"/>
    <d v="2023-04-20T00:00:00"/>
    <x v="11"/>
    <x v="0"/>
    <x v="2"/>
    <s v="Lyon"/>
    <x v="1"/>
    <x v="4"/>
    <x v="13"/>
    <x v="5"/>
    <x v="108"/>
    <n v="227.02"/>
    <n v="434.72"/>
    <n v="9.8000000000000004E-2"/>
    <b v="0"/>
    <n v="10"/>
    <n v="3921.1744000000008"/>
    <n v="2270.2000000000003"/>
    <n v="1650.9744000000005"/>
    <n v="0.42104079838938052"/>
    <s v="Low"/>
  </r>
  <r>
    <s v="ORD-2023-897079"/>
    <d v="2023-04-14T00:00:00"/>
    <s v="Apr-2023"/>
    <s v="Q2-2023"/>
    <d v="2023-05-14T00:00:00"/>
    <d v="2023-05-14T00:00:00"/>
    <x v="0"/>
    <x v="1"/>
    <x v="1"/>
    <s v="Nakuru"/>
    <x v="2"/>
    <x v="1"/>
    <x v="7"/>
    <x v="3"/>
    <x v="109"/>
    <n v="209.25"/>
    <n v="434.8"/>
    <n v="0"/>
    <b v="0"/>
    <n v="9"/>
    <n v="3913.2000000000003"/>
    <n v="1883.25"/>
    <n v="2029.9500000000003"/>
    <n v="0.51874425022999082"/>
    <s v="Low"/>
  </r>
  <r>
    <s v="ORD-2023-660608"/>
    <d v="2023-07-25T00:00:00"/>
    <s v="Jul-2023"/>
    <s v="Q3-2023"/>
    <d v="2023-08-10T00:00:00"/>
    <d v="2023-08-10T00:00:00"/>
    <x v="29"/>
    <x v="1"/>
    <x v="8"/>
    <s v="Port Harcourt"/>
    <x v="0"/>
    <x v="3"/>
    <x v="1"/>
    <x v="2"/>
    <x v="110"/>
    <n v="506.83"/>
    <n v="441.74"/>
    <n v="0.24"/>
    <b v="0"/>
    <n v="9"/>
    <n v="3021.5016000000001"/>
    <n v="4561.47"/>
    <n v="-1539.9684000000002"/>
    <n v="-0.50966989393618067"/>
    <s v="Low"/>
  </r>
  <r>
    <s v="ORD-2023-651638"/>
    <d v="2023-06-17T00:00:00"/>
    <s v="Jun-2023"/>
    <s v="Q2-2023"/>
    <d v="2023-06-24T00:00:00"/>
    <d v="2023-06-24T00:00:00"/>
    <x v="11"/>
    <x v="2"/>
    <x v="3"/>
    <s v="San Francisco"/>
    <x v="0"/>
    <x v="0"/>
    <x v="1"/>
    <x v="6"/>
    <x v="111"/>
    <n v="313.99"/>
    <n v="454.42"/>
    <n v="0.129"/>
    <b v="0"/>
    <n v="9"/>
    <n v="3562.1983800000003"/>
    <n v="2825.91"/>
    <n v="736.28838000000042"/>
    <n v="0.20669493988147858"/>
    <s v="Low"/>
  </r>
  <r>
    <s v="ORD-2023-735274"/>
    <d v="2023-02-23T00:00:00"/>
    <s v="Feb-2023"/>
    <s v="Q1-2023"/>
    <d v="2023-03-08T00:00:00"/>
    <d v="2023-03-08T00:00:00"/>
    <x v="6"/>
    <x v="0"/>
    <x v="0"/>
    <s v="Manchester"/>
    <x v="1"/>
    <x v="2"/>
    <x v="8"/>
    <x v="6"/>
    <x v="112"/>
    <n v="307.37"/>
    <n v="462.61"/>
    <n v="0.188"/>
    <b v="0"/>
    <n v="11"/>
    <n v="4132.0325200000007"/>
    <n v="3381.07"/>
    <n v="750.9625200000005"/>
    <n v="0.18174167709599739"/>
    <s v="Low"/>
  </r>
  <r>
    <s v="ORD-2024-792137"/>
    <d v="2024-03-02T00:00:00"/>
    <s v="Mar-2024"/>
    <s v="Q1-2024"/>
    <d v="2024-03-16T00:00:00"/>
    <d v="2024-03-16T00:00:00"/>
    <x v="7"/>
    <x v="2"/>
    <x v="11"/>
    <s v="Vancouver"/>
    <x v="4"/>
    <x v="2"/>
    <x v="11"/>
    <x v="6"/>
    <x v="113"/>
    <n v="248.24"/>
    <n v="464.05"/>
    <n v="0.16900000000000001"/>
    <b v="0"/>
    <n v="11"/>
    <n v="4241.88105"/>
    <n v="2730.6400000000003"/>
    <n v="1511.2410499999996"/>
    <n v="0.3562667203975462"/>
    <s v="Low"/>
  </r>
  <r>
    <s v="ORD-2025-501927"/>
    <d v="2025-03-03T00:00:00"/>
    <s v="Mar-2025"/>
    <s v="Q1-2025"/>
    <d v="2025-03-24T00:00:00"/>
    <d v="2025-03-24T00:00:00"/>
    <x v="20"/>
    <x v="1"/>
    <x v="8"/>
    <s v="Abuja"/>
    <x v="3"/>
    <x v="2"/>
    <x v="2"/>
    <x v="2"/>
    <x v="114"/>
    <n v="555.95000000000005"/>
    <n v="468.09"/>
    <n v="0.14199999999999999"/>
    <b v="0"/>
    <n v="11"/>
    <n v="4417.8334199999999"/>
    <n v="6115.4500000000007"/>
    <n v="-1697.6165800000008"/>
    <n v="-0.38426450674095375"/>
    <s v="Low"/>
  </r>
  <r>
    <s v="ORD-2023-363031"/>
    <d v="2023-05-06T00:00:00"/>
    <s v="May-2023"/>
    <s v="Q2-2023"/>
    <d v="2023-05-14T00:00:00"/>
    <d v="2023-05-14T00:00:00"/>
    <x v="16"/>
    <x v="3"/>
    <x v="7"/>
    <s v="Osaka"/>
    <x v="3"/>
    <x v="1"/>
    <x v="4"/>
    <x v="3"/>
    <x v="115"/>
    <n v="291.18"/>
    <n v="479.54"/>
    <n v="0.14099999999999999"/>
    <b v="0"/>
    <n v="22"/>
    <n v="9062.34692"/>
    <n v="6405.96"/>
    <n v="2656.3869199999999"/>
    <n v="0.29312350801066001"/>
    <s v="Low"/>
  </r>
  <r>
    <s v="ORD-2023-156396"/>
    <d v="2023-02-21T00:00:00"/>
    <s v="Feb-2023"/>
    <s v="Q1-2023"/>
    <d v="2023-03-12T00:00:00"/>
    <d v="2023-03-12T00:00:00"/>
    <x v="19"/>
    <x v="1"/>
    <x v="1"/>
    <s v="Nakuru"/>
    <x v="0"/>
    <x v="4"/>
    <x v="6"/>
    <x v="1"/>
    <x v="116"/>
    <n v="352.65"/>
    <n v="485.86"/>
    <n v="4.1000000000000002E-2"/>
    <b v="0"/>
    <n v="6"/>
    <n v="2795.6384399999997"/>
    <n v="2115.8999999999996"/>
    <n v="679.73844000000008"/>
    <n v="0.24314247159943908"/>
    <s v="Low"/>
  </r>
  <r>
    <s v="ORD-2025-155182"/>
    <d v="2025-07-11T00:00:00"/>
    <s v="Jul-2025"/>
    <s v="Q3-2025"/>
    <d v="2025-08-03T00:00:00"/>
    <d v="2025-08-03T00:00:00"/>
    <x v="23"/>
    <x v="1"/>
    <x v="1"/>
    <s v="Nakuru"/>
    <x v="1"/>
    <x v="0"/>
    <x v="8"/>
    <x v="3"/>
    <x v="117"/>
    <n v="389.93"/>
    <n v="486.13"/>
    <n v="0.13200000000000001"/>
    <b v="0"/>
    <n v="17"/>
    <n v="7173.3342799999991"/>
    <n v="6628.81"/>
    <n v="544.52427999999873"/>
    <n v="7.5909508569562828E-2"/>
    <s v="Low"/>
  </r>
  <r>
    <s v="ORD-2025-252117"/>
    <d v="2025-04-28T00:00:00"/>
    <s v="Apr-2025"/>
    <s v="Q2-2025"/>
    <d v="2025-05-19T00:00:00"/>
    <d v="2025-05-19T00:00:00"/>
    <x v="20"/>
    <x v="0"/>
    <x v="6"/>
    <s v="Berlin"/>
    <x v="0"/>
    <x v="3"/>
    <x v="4"/>
    <x v="3"/>
    <x v="118"/>
    <n v="350.76"/>
    <n v="492.18"/>
    <n v="5.2999999999999999E-2"/>
    <b v="0"/>
    <n v="11"/>
    <n v="5127.0390600000001"/>
    <n v="3858.3599999999997"/>
    <n v="1268.6790600000004"/>
    <n v="0.24744868239798437"/>
    <s v="Low"/>
  </r>
  <r>
    <s v="ORD-2023-769774"/>
    <d v="2023-06-13T00:00:00"/>
    <s v="Jun-2023"/>
    <s v="Q2-2023"/>
    <d v="2023-06-24T00:00:00"/>
    <d v="2023-06-24T00:00:00"/>
    <x v="10"/>
    <x v="2"/>
    <x v="11"/>
    <s v="Toronto"/>
    <x v="0"/>
    <x v="4"/>
    <x v="8"/>
    <x v="6"/>
    <x v="119"/>
    <n v="247.07"/>
    <n v="495.19"/>
    <n v="2.8000000000000001E-2"/>
    <b v="0"/>
    <n v="4"/>
    <n v="1925.29872"/>
    <n v="988.28"/>
    <n v="937.01872000000003"/>
    <n v="0.48668744764968214"/>
    <s v="Low"/>
  </r>
  <r>
    <s v="ORD-2023-581799"/>
    <d v="2023-12-05T00:00:00"/>
    <s v="Dec-2023"/>
    <s v="Q4-2023"/>
    <d v="2023-12-12T00:00:00"/>
    <d v="2023-12-12T00:00:00"/>
    <x v="11"/>
    <x v="2"/>
    <x v="5"/>
    <s v="Brasília"/>
    <x v="0"/>
    <x v="2"/>
    <x v="6"/>
    <x v="3"/>
    <x v="120"/>
    <n v="307.43"/>
    <n v="495.19"/>
    <n v="0"/>
    <b v="0"/>
    <n v="42"/>
    <n v="20797.98"/>
    <n v="12912.06"/>
    <n v="7885.92"/>
    <n v="0.37916759223732305"/>
    <s v="Low"/>
  </r>
  <r>
    <s v="ORD-2023-967239"/>
    <d v="2023-12-24T00:00:00"/>
    <s v="Dec-2023"/>
    <s v="Q4-2023"/>
    <d v="2024-01-01T00:00:00"/>
    <d v="2024-01-01T00:00:00"/>
    <x v="16"/>
    <x v="2"/>
    <x v="5"/>
    <s v="São Paulo"/>
    <x v="5"/>
    <x v="2"/>
    <x v="8"/>
    <x v="3"/>
    <x v="121"/>
    <n v="526.49"/>
    <n v="496.2"/>
    <n v="0"/>
    <b v="0"/>
    <n v="14"/>
    <n v="6946.8"/>
    <n v="7370.8600000000006"/>
    <n v="-424.0600000000004"/>
    <n v="-6.1043933897621985E-2"/>
    <s v="Low"/>
  </r>
  <r>
    <s v="ORD-2023-713375"/>
    <d v="2023-08-26T00:00:00"/>
    <s v="Aug-2023"/>
    <s v="Q3-2023"/>
    <d v="2023-09-10T00:00:00"/>
    <d v="2023-09-10T00:00:00"/>
    <x v="21"/>
    <x v="1"/>
    <x v="4"/>
    <s v="Cape Town"/>
    <x v="4"/>
    <x v="2"/>
    <x v="9"/>
    <x v="4"/>
    <x v="122"/>
    <n v="241.14"/>
    <n v="496.52"/>
    <n v="9.2999999999999999E-2"/>
    <b v="0"/>
    <n v="10"/>
    <n v="4503.4363999999996"/>
    <n v="2411.3999999999996"/>
    <n v="2092.0364"/>
    <n v="0.46454223268257994"/>
    <s v="Low"/>
  </r>
  <r>
    <s v="ORD-2023-987700"/>
    <d v="2023-04-05T00:00:00"/>
    <s v="Apr-2023"/>
    <s v="Q2-2023"/>
    <d v="2023-04-16T00:00:00"/>
    <d v="2023-04-16T00:00:00"/>
    <x v="10"/>
    <x v="2"/>
    <x v="11"/>
    <s v="Vancouver"/>
    <x v="4"/>
    <x v="4"/>
    <x v="11"/>
    <x v="0"/>
    <x v="123"/>
    <n v="213.1"/>
    <n v="501.31"/>
    <n v="5.6000000000000001E-2"/>
    <b v="0"/>
    <n v="15"/>
    <n v="7098.5495999999994"/>
    <n v="3196.5"/>
    <n v="3902.0495999999994"/>
    <n v="0.54969674368409005"/>
    <s v="Low"/>
  </r>
  <r>
    <s v="ORD-2024-720756"/>
    <d v="2024-10-11T00:00:00"/>
    <s v="Oct-2024"/>
    <s v="Q4-2024"/>
    <d v="2024-11-09T00:00:00"/>
    <d v="2024-11-09T00:00:00"/>
    <x v="12"/>
    <x v="3"/>
    <x v="10"/>
    <s v="Shanghai"/>
    <x v="4"/>
    <x v="4"/>
    <x v="6"/>
    <x v="6"/>
    <x v="124"/>
    <n v="391.64"/>
    <n v="504.76"/>
    <n v="4.0000000000000001E-3"/>
    <b v="0"/>
    <n v="13"/>
    <n v="6535.6324800000002"/>
    <n v="5091.32"/>
    <n v="1444.3124800000005"/>
    <n v="0.22099046793402319"/>
    <s v="Low"/>
  </r>
  <r>
    <s v="ORD-2023-602648"/>
    <d v="2023-06-20T00:00:00"/>
    <s v="Jun-2023"/>
    <s v="Q2-2023"/>
    <d v="2023-07-08T00:00:00"/>
    <d v="2023-07-08T00:00:00"/>
    <x v="8"/>
    <x v="2"/>
    <x v="3"/>
    <s v="Austin"/>
    <x v="4"/>
    <x v="2"/>
    <x v="6"/>
    <x v="0"/>
    <x v="125"/>
    <n v="337"/>
    <n v="511.03"/>
    <n v="0.108"/>
    <b v="0"/>
    <n v="7"/>
    <n v="3190.8713200000002"/>
    <n v="2359"/>
    <n v="831.8713200000002"/>
    <n v="0.26070349963219458"/>
    <s v="Low"/>
  </r>
  <r>
    <s v="ORD-2023-375011"/>
    <d v="2023-08-23T00:00:00"/>
    <s v="Aug-2023"/>
    <s v="Q3-2023"/>
    <d v="2023-09-22T00:00:00"/>
    <d v="2023-09-22T00:00:00"/>
    <x v="0"/>
    <x v="0"/>
    <x v="0"/>
    <s v="London"/>
    <x v="2"/>
    <x v="3"/>
    <x v="11"/>
    <x v="2"/>
    <x v="126"/>
    <n v="209.81"/>
    <n v="523"/>
    <n v="5.8999999999999997E-2"/>
    <b v="0"/>
    <n v="15"/>
    <n v="7382.1450000000004"/>
    <n v="3147.15"/>
    <n v="4234.9950000000008"/>
    <n v="0.57368082041195356"/>
    <s v="Low"/>
  </r>
  <r>
    <s v="ORD-2023-848013"/>
    <d v="2023-02-20T00:00:00"/>
    <s v="Feb-2023"/>
    <s v="Q1-2023"/>
    <d v="2023-03-04T00:00:00"/>
    <d v="2023-03-04T00:00:00"/>
    <x v="22"/>
    <x v="3"/>
    <x v="9"/>
    <s v="Delhi"/>
    <x v="2"/>
    <x v="3"/>
    <x v="7"/>
    <x v="0"/>
    <x v="127"/>
    <n v="299.75"/>
    <n v="523.01"/>
    <n v="0.157"/>
    <b v="0"/>
    <n v="50"/>
    <n v="22044.871499999997"/>
    <n v="14987.5"/>
    <n v="7057.3714999999975"/>
    <n v="0.32013665854210122"/>
    <s v="Low"/>
  </r>
  <r>
    <s v="ORD-2024-136321"/>
    <d v="2024-08-07T00:00:00"/>
    <s v="Aug-2024"/>
    <s v="Q3-2024"/>
    <d v="2024-08-17T00:00:00"/>
    <d v="2024-08-17T00:00:00"/>
    <x v="3"/>
    <x v="3"/>
    <x v="7"/>
    <s v="Osaka"/>
    <x v="2"/>
    <x v="4"/>
    <x v="12"/>
    <x v="1"/>
    <x v="128"/>
    <n v="436.58"/>
    <n v="527.48"/>
    <n v="0.111"/>
    <b v="0"/>
    <n v="19"/>
    <n v="8909.6646800000017"/>
    <n v="8295.02"/>
    <n v="614.64468000000124"/>
    <n v="6.8986286473802644E-2"/>
    <s v="Low"/>
  </r>
  <r>
    <s v="ORD-2024-250862"/>
    <d v="2024-10-25T00:00:00"/>
    <s v="Oct-2024"/>
    <s v="Q4-2024"/>
    <d v="2024-11-05T00:00:00"/>
    <d v="2024-11-05T00:00:00"/>
    <x v="10"/>
    <x v="2"/>
    <x v="3"/>
    <s v="New York"/>
    <x v="0"/>
    <x v="3"/>
    <x v="9"/>
    <x v="4"/>
    <x v="129"/>
    <n v="446.66"/>
    <n v="527.64"/>
    <n v="0.14499999999999999"/>
    <b v="0"/>
    <n v="15"/>
    <n v="6766.9829999999993"/>
    <n v="6699.9000000000005"/>
    <n v="67.082999999998719"/>
    <n v="9.9132804087137105E-3"/>
    <s v="Low"/>
  </r>
  <r>
    <s v="ORD-2025-512310"/>
    <d v="2025-03-08T00:00:00"/>
    <s v="Mar-2025"/>
    <s v="Q1-2025"/>
    <d v="2025-03-15T00:00:00"/>
    <d v="2025-03-15T00:00:00"/>
    <x v="11"/>
    <x v="3"/>
    <x v="9"/>
    <s v="Bengaluru"/>
    <x v="0"/>
    <x v="3"/>
    <x v="12"/>
    <x v="5"/>
    <x v="130"/>
    <n v="475.66"/>
    <n v="529.14"/>
    <n v="0.19600000000000001"/>
    <b v="0"/>
    <n v="11"/>
    <n v="4679.7141600000004"/>
    <n v="5232.26"/>
    <n v="-552.54583999999977"/>
    <n v="-0.11807256193613323"/>
    <s v="Low"/>
  </r>
  <r>
    <s v="ORD-2025-354346"/>
    <d v="2025-01-09T00:00:00"/>
    <s v="Jan-2025"/>
    <s v="Q1-2025"/>
    <d v="2025-01-15T00:00:00"/>
    <d v="2025-01-15T00:00:00"/>
    <x v="18"/>
    <x v="3"/>
    <x v="10"/>
    <s v="Beijing"/>
    <x v="5"/>
    <x v="4"/>
    <x v="8"/>
    <x v="3"/>
    <x v="131"/>
    <n v="304.77999999999997"/>
    <n v="537.27"/>
    <n v="0.187"/>
    <b v="0"/>
    <n v="8"/>
    <n v="3494.4040799999998"/>
    <n v="2438.2399999999998"/>
    <n v="1056.16408"/>
    <n v="0.3022444044307549"/>
    <s v="Low"/>
  </r>
  <r>
    <s v="ORD-2024-878493"/>
    <d v="2024-06-19T00:00:00"/>
    <s v="Jun-2024"/>
    <s v="Q2-2024"/>
    <d v="2024-06-20T00:00:00"/>
    <d v="2024-06-20T00:00:00"/>
    <x v="26"/>
    <x v="1"/>
    <x v="1"/>
    <s v="Kisumu"/>
    <x v="1"/>
    <x v="2"/>
    <x v="3"/>
    <x v="5"/>
    <x v="132"/>
    <n v="231.63"/>
    <n v="537.39"/>
    <n v="0.08"/>
    <b v="0"/>
    <n v="12"/>
    <n v="5932.7856000000002"/>
    <n v="2779.56"/>
    <n v="3153.2256000000002"/>
    <n v="0.53149158129024587"/>
    <s v="Low"/>
  </r>
  <r>
    <s v="ORD-2024-942981"/>
    <d v="2024-10-09T00:00:00"/>
    <s v="Oct-2024"/>
    <s v="Q4-2024"/>
    <d v="2024-11-08T00:00:00"/>
    <d v="2024-11-08T00:00:00"/>
    <x v="0"/>
    <x v="0"/>
    <x v="0"/>
    <s v="Manchester"/>
    <x v="1"/>
    <x v="3"/>
    <x v="3"/>
    <x v="4"/>
    <x v="133"/>
    <n v="343.85"/>
    <n v="538.04"/>
    <n v="0.13900000000000001"/>
    <b v="0"/>
    <n v="5"/>
    <n v="2316.2621999999997"/>
    <n v="1719.25"/>
    <n v="597.01219999999967"/>
    <n v="0.25774810813732563"/>
    <s v="Low"/>
  </r>
  <r>
    <s v="ORD-2025-484073"/>
    <d v="2025-02-19T00:00:00"/>
    <s v="Feb-2025"/>
    <s v="Q1-2025"/>
    <d v="2025-03-09T00:00:00"/>
    <d v="2025-03-09T00:00:00"/>
    <x v="8"/>
    <x v="3"/>
    <x v="9"/>
    <s v="Delhi"/>
    <x v="1"/>
    <x v="2"/>
    <x v="11"/>
    <x v="0"/>
    <x v="134"/>
    <n v="325.87"/>
    <n v="538.79"/>
    <n v="0.17399999999999999"/>
    <b v="0"/>
    <n v="16"/>
    <n v="7120.6486400000003"/>
    <n v="5213.92"/>
    <n v="1906.7286400000003"/>
    <n v="0.26777457172778013"/>
    <s v="Low"/>
  </r>
  <r>
    <s v="ORD-2025-192876"/>
    <d v="2025-01-31T00:00:00"/>
    <s v="Jan-2025"/>
    <s v="Q1-2025"/>
    <d v="2025-02-17T00:00:00"/>
    <d v="2025-02-17T00:00:00"/>
    <x v="25"/>
    <x v="0"/>
    <x v="0"/>
    <s v="London"/>
    <x v="3"/>
    <x v="0"/>
    <x v="2"/>
    <x v="4"/>
    <x v="135"/>
    <n v="378.26"/>
    <n v="541.55999999999995"/>
    <n v="0.16300000000000001"/>
    <b v="0"/>
    <n v="25"/>
    <n v="11332.142999999998"/>
    <n v="9456.5"/>
    <n v="1875.6429999999982"/>
    <n v="0.16551529573885526"/>
    <s v="Low"/>
  </r>
  <r>
    <s v="ORD-2023-548934"/>
    <d v="2023-08-03T00:00:00"/>
    <s v="Aug-2023"/>
    <s v="Q3-2023"/>
    <d v="2023-08-30T00:00:00"/>
    <d v="2023-08-30T00:00:00"/>
    <x v="4"/>
    <x v="3"/>
    <x v="10"/>
    <s v="Shanghai"/>
    <x v="2"/>
    <x v="3"/>
    <x v="9"/>
    <x v="0"/>
    <x v="136"/>
    <n v="226.04"/>
    <n v="545.72"/>
    <n v="0.151"/>
    <b v="0"/>
    <n v="11"/>
    <n v="5096.4790800000001"/>
    <n v="2486.44"/>
    <n v="2610.03908"/>
    <n v="0.51212592831834014"/>
    <s v="Low"/>
  </r>
  <r>
    <s v="ORD-2024-800947"/>
    <d v="2024-12-15T00:00:00"/>
    <s v="Dec-2024"/>
    <s v="Q4-2024"/>
    <d v="2024-12-20T00:00:00"/>
    <d v="2024-12-20T00:00:00"/>
    <x v="28"/>
    <x v="3"/>
    <x v="10"/>
    <s v="Shenzhen"/>
    <x v="1"/>
    <x v="2"/>
    <x v="3"/>
    <x v="1"/>
    <x v="137"/>
    <n v="717.55"/>
    <n v="546.42999999999995"/>
    <n v="4.7E-2"/>
    <b v="0"/>
    <n v="18"/>
    <n v="9373.460219999999"/>
    <n v="12915.9"/>
    <n v="-3542.4397800000006"/>
    <n v="-0.37792231437026369"/>
    <s v="Low"/>
  </r>
  <r>
    <s v="ORD-2025-487261"/>
    <d v="2025-03-06T00:00:00"/>
    <s v="Mar-2025"/>
    <s v="Q1-2025"/>
    <d v="2025-03-31T00:00:00"/>
    <d v="2025-03-31T00:00:00"/>
    <x v="1"/>
    <x v="2"/>
    <x v="5"/>
    <s v="Brasília"/>
    <x v="4"/>
    <x v="4"/>
    <x v="3"/>
    <x v="4"/>
    <x v="138"/>
    <n v="331.57"/>
    <n v="548.4"/>
    <n v="9.4E-2"/>
    <b v="0"/>
    <n v="10"/>
    <n v="4968.5039999999999"/>
    <n v="3315.7"/>
    <n v="1652.8040000000001"/>
    <n v="0.33265626836568918"/>
    <s v="Low"/>
  </r>
  <r>
    <s v="ORD-2023-128295"/>
    <d v="2023-06-23T00:00:00"/>
    <s v="Jun-2023"/>
    <s v="Q2-2023"/>
    <d v="2023-07-03T00:00:00"/>
    <d v="2023-07-03T00:00:00"/>
    <x v="3"/>
    <x v="1"/>
    <x v="8"/>
    <s v="Abuja"/>
    <x v="2"/>
    <x v="4"/>
    <x v="3"/>
    <x v="6"/>
    <x v="139"/>
    <n v="337.75"/>
    <n v="548.89"/>
    <n v="0"/>
    <b v="0"/>
    <n v="13"/>
    <n v="7135.57"/>
    <n v="4390.75"/>
    <n v="2744.8199999999997"/>
    <n v="0.38466723751571352"/>
    <s v="Low"/>
  </r>
  <r>
    <s v="ORD-2025-364852"/>
    <d v="2025-05-18T00:00:00"/>
    <s v="May-2025"/>
    <s v="Q2-2025"/>
    <d v="2025-06-09T00:00:00"/>
    <d v="2025-06-09T00:00:00"/>
    <x v="13"/>
    <x v="2"/>
    <x v="3"/>
    <s v="New York"/>
    <x v="2"/>
    <x v="0"/>
    <x v="2"/>
    <x v="1"/>
    <x v="140"/>
    <n v="382.96"/>
    <n v="552.84"/>
    <n v="0.17599999999999999"/>
    <b v="0"/>
    <n v="8"/>
    <n v="3644.3212800000006"/>
    <n v="3063.68"/>
    <n v="580.64128000000073"/>
    <n v="0.15932768693763483"/>
    <s v="Low"/>
  </r>
  <r>
    <s v="ORD-2024-307849"/>
    <d v="2024-08-10T00:00:00"/>
    <s v="Aug-2024"/>
    <s v="Q3-2024"/>
    <d v="2024-09-07T00:00:00"/>
    <d v="2024-09-07T00:00:00"/>
    <x v="27"/>
    <x v="0"/>
    <x v="2"/>
    <s v="Marseille"/>
    <x v="4"/>
    <x v="2"/>
    <x v="6"/>
    <x v="6"/>
    <x v="141"/>
    <n v="229.96"/>
    <n v="564.26"/>
    <n v="0.105"/>
    <b v="0"/>
    <n v="5"/>
    <n v="2525.0635000000002"/>
    <n v="1149.8"/>
    <n v="1375.2635000000002"/>
    <n v="0.54464511486542821"/>
    <s v="Low"/>
  </r>
  <r>
    <s v="ORD-2025-246470"/>
    <d v="2025-04-16T00:00:00"/>
    <s v="Apr-2025"/>
    <s v="Q2-2025"/>
    <d v="2025-05-16T00:00:00"/>
    <d v="2025-05-16T00:00:00"/>
    <x v="0"/>
    <x v="2"/>
    <x v="11"/>
    <s v="Montreal"/>
    <x v="3"/>
    <x v="3"/>
    <x v="12"/>
    <x v="6"/>
    <x v="142"/>
    <n v="763.32"/>
    <n v="568.29"/>
    <n v="0.13100000000000001"/>
    <b v="0"/>
    <n v="16"/>
    <n v="7901.5041599999995"/>
    <n v="12213.12"/>
    <n v="-4311.6158400000013"/>
    <n v="-0.54567026134426555"/>
    <s v="Low"/>
  </r>
  <r>
    <s v="ORD-2024-446030"/>
    <d v="2024-03-23T00:00:00"/>
    <s v="Mar-2024"/>
    <s v="Q1-2024"/>
    <d v="2024-03-26T00:00:00"/>
    <d v="2024-03-26T00:00:00"/>
    <x v="5"/>
    <x v="3"/>
    <x v="9"/>
    <s v="Bengaluru"/>
    <x v="5"/>
    <x v="2"/>
    <x v="14"/>
    <x v="3"/>
    <x v="143"/>
    <n v="382.21"/>
    <n v="571.89"/>
    <n v="0.14799999999999999"/>
    <b v="0"/>
    <n v="26"/>
    <n v="12668.50728"/>
    <n v="9937.4599999999991"/>
    <n v="2731.0472800000007"/>
    <n v="0.2155776698578809"/>
    <s v="Low"/>
  </r>
  <r>
    <s v="ORD-2025-189846"/>
    <d v="2025-08-11T00:00:00"/>
    <s v="Aug-2025"/>
    <s v="Q3-2025"/>
    <d v="2025-08-28T00:00:00"/>
    <d v="2025-08-28T00:00:00"/>
    <x v="25"/>
    <x v="0"/>
    <x v="2"/>
    <s v="Paris"/>
    <x v="5"/>
    <x v="4"/>
    <x v="6"/>
    <x v="1"/>
    <x v="144"/>
    <n v="416.16"/>
    <n v="571.9"/>
    <n v="7.0999999999999994E-2"/>
    <b v="0"/>
    <n v="2"/>
    <n v="1062.5902000000001"/>
    <n v="832.32"/>
    <n v="230.27020000000005"/>
    <n v="0.21670649701079497"/>
    <s v="Low"/>
  </r>
  <r>
    <s v="ORD-2024-164288"/>
    <d v="2024-12-21T00:00:00"/>
    <s v="Dec-2024"/>
    <s v="Q4-2024"/>
    <d v="2024-12-26T00:00:00"/>
    <d v="2024-12-26T00:00:00"/>
    <x v="28"/>
    <x v="2"/>
    <x v="3"/>
    <s v="San Francisco"/>
    <x v="2"/>
    <x v="1"/>
    <x v="7"/>
    <x v="6"/>
    <x v="145"/>
    <n v="699.57"/>
    <n v="572.71"/>
    <n v="0.192"/>
    <b v="0"/>
    <n v="26"/>
    <n v="12031.491680000001"/>
    <n v="18188.82"/>
    <n v="-6157.3283199999987"/>
    <n v="-0.51176765805651114"/>
    <s v="Low"/>
  </r>
  <r>
    <s v="ORD-2025-939953"/>
    <d v="2025-01-22T00:00:00"/>
    <s v="Jan-2025"/>
    <s v="Q1-2025"/>
    <d v="2025-01-22T00:00:00"/>
    <d v="2025-01-22T00:00:00"/>
    <x v="15"/>
    <x v="0"/>
    <x v="2"/>
    <s v="Lyon"/>
    <x v="1"/>
    <x v="4"/>
    <x v="4"/>
    <x v="2"/>
    <x v="146"/>
    <n v="591.72"/>
    <n v="577.24"/>
    <n v="0"/>
    <b v="0"/>
    <n v="22"/>
    <n v="12699.28"/>
    <n v="13017.84"/>
    <n v="-318.55999999999949"/>
    <n v="-2.5084886702238195E-2"/>
    <s v="Low"/>
  </r>
  <r>
    <s v="ORD-2024-787018"/>
    <d v="2024-06-23T00:00:00"/>
    <s v="Jun-2024"/>
    <s v="Q2-2024"/>
    <d v="2024-06-28T00:00:00"/>
    <d v="2024-06-28T00:00:00"/>
    <x v="28"/>
    <x v="1"/>
    <x v="8"/>
    <s v="Port Harcourt"/>
    <x v="4"/>
    <x v="2"/>
    <x v="7"/>
    <x v="2"/>
    <x v="147"/>
    <n v="242.31"/>
    <n v="587.95000000000005"/>
    <n v="0.22900000000000001"/>
    <b v="0"/>
    <n v="6"/>
    <n v="2719.8567000000003"/>
    <n v="1453.8600000000001"/>
    <n v="1265.9967000000001"/>
    <n v="0.46546448568411714"/>
    <s v="Low"/>
  </r>
  <r>
    <s v="ORD-2023-723587"/>
    <d v="2023-01-02T00:00:00"/>
    <s v="Jan-2023"/>
    <s v="Q1-2023"/>
    <d v="2023-01-05T00:00:00"/>
    <d v="2023-01-05T00:00:00"/>
    <x v="5"/>
    <x v="2"/>
    <x v="11"/>
    <s v="Toronto"/>
    <x v="0"/>
    <x v="3"/>
    <x v="4"/>
    <x v="5"/>
    <x v="148"/>
    <n v="315.87"/>
    <n v="591.67999999999995"/>
    <n v="0"/>
    <b v="0"/>
    <n v="7"/>
    <n v="4141.7599999999993"/>
    <n v="2211.09"/>
    <n v="1930.6699999999992"/>
    <n v="0.46614724175229844"/>
    <s v="Low"/>
  </r>
  <r>
    <s v="ORD-2025-866565"/>
    <d v="2025-05-12T00:00:00"/>
    <s v="May-2025"/>
    <s v="Q2-2025"/>
    <d v="2025-05-26T00:00:00"/>
    <d v="2025-05-26T00:00:00"/>
    <x v="7"/>
    <x v="3"/>
    <x v="9"/>
    <s v="Hyderabad"/>
    <x v="0"/>
    <x v="1"/>
    <x v="14"/>
    <x v="6"/>
    <x v="149"/>
    <n v="320.12"/>
    <n v="594.41999999999996"/>
    <n v="0.104"/>
    <b v="0"/>
    <n v="18"/>
    <n v="9586.8057599999993"/>
    <n v="5762.16"/>
    <n v="3824.6457599999994"/>
    <n v="0.39894891538931104"/>
    <s v="Low"/>
  </r>
  <r>
    <s v="ORD-2023-727290"/>
    <d v="2023-04-03T00:00:00"/>
    <s v="Apr-2023"/>
    <s v="Q2-2023"/>
    <d v="2023-04-16T00:00:00"/>
    <d v="2023-04-16T00:00:00"/>
    <x v="6"/>
    <x v="0"/>
    <x v="2"/>
    <s v="Marseille"/>
    <x v="4"/>
    <x v="1"/>
    <x v="7"/>
    <x v="2"/>
    <x v="150"/>
    <n v="790.54"/>
    <n v="601.49"/>
    <n v="0"/>
    <b v="0"/>
    <n v="15"/>
    <n v="9022.35"/>
    <n v="11858.099999999999"/>
    <n v="-2835.7499999999982"/>
    <n v="-0.31430281467688553"/>
    <s v="Low"/>
  </r>
  <r>
    <s v="ORD-2024-872291"/>
    <d v="2024-01-08T00:00:00"/>
    <s v="Jan-2024"/>
    <s v="Q1-2024"/>
    <d v="2024-01-12T00:00:00"/>
    <d v="2024-01-12T00:00:00"/>
    <x v="17"/>
    <x v="3"/>
    <x v="9"/>
    <s v="Bengaluru"/>
    <x v="0"/>
    <x v="2"/>
    <x v="10"/>
    <x v="6"/>
    <x v="151"/>
    <n v="802.32"/>
    <n v="602.34"/>
    <n v="0.12"/>
    <b v="0"/>
    <n v="25"/>
    <n v="13251.48"/>
    <n v="20058"/>
    <n v="-6806.52"/>
    <n v="-0.51364224977134632"/>
    <s v="Low"/>
  </r>
  <r>
    <s v="ORD-2023-597666"/>
    <d v="2023-10-25T00:00:00"/>
    <s v="Oct-2023"/>
    <s v="Q4-2023"/>
    <d v="2023-11-24T00:00:00"/>
    <d v="2023-11-24T00:00:00"/>
    <x v="0"/>
    <x v="0"/>
    <x v="2"/>
    <s v="Paris"/>
    <x v="3"/>
    <x v="3"/>
    <x v="8"/>
    <x v="3"/>
    <x v="152"/>
    <n v="287.85000000000002"/>
    <n v="602.91999999999996"/>
    <n v="0.222"/>
    <b v="0"/>
    <n v="11"/>
    <n v="5159.7893599999998"/>
    <n v="3166.3500000000004"/>
    <n v="1993.4393599999994"/>
    <n v="0.38634122847216373"/>
    <s v="Low"/>
  </r>
  <r>
    <s v="ORD-2023-749324"/>
    <d v="2023-08-19T00:00:00"/>
    <s v="Aug-2023"/>
    <s v="Q3-2023"/>
    <d v="2023-09-07T00:00:00"/>
    <d v="2023-09-07T00:00:00"/>
    <x v="19"/>
    <x v="1"/>
    <x v="4"/>
    <s v="Johannesburg"/>
    <x v="3"/>
    <x v="0"/>
    <x v="0"/>
    <x v="0"/>
    <x v="153"/>
    <n v="494.61"/>
    <n v="605.23"/>
    <n v="0.20399999999999999"/>
    <b v="0"/>
    <n v="18"/>
    <n v="8671.7354400000004"/>
    <n v="8902.98"/>
    <n v="-231.24455999999918"/>
    <n v="-2.6666468505639647E-2"/>
    <s v="Low"/>
  </r>
  <r>
    <s v="ORD-2023-517216"/>
    <d v="2023-09-19T00:00:00"/>
    <s v="Sep-2023"/>
    <s v="Q3-2023"/>
    <d v="2023-10-08T00:00:00"/>
    <d v="2023-10-08T00:00:00"/>
    <x v="19"/>
    <x v="3"/>
    <x v="9"/>
    <s v="Bengaluru"/>
    <x v="5"/>
    <x v="2"/>
    <x v="3"/>
    <x v="6"/>
    <x v="154"/>
    <n v="385.32"/>
    <n v="606.76"/>
    <n v="8.5999999999999993E-2"/>
    <b v="0"/>
    <n v="8"/>
    <n v="4436.6291200000005"/>
    <n v="3082.56"/>
    <n v="1354.0691200000006"/>
    <n v="0.30520223425842735"/>
    <s v="Low"/>
  </r>
  <r>
    <s v="ORD-2025-496178"/>
    <d v="2025-07-27T00:00:00"/>
    <s v="Jul-2025"/>
    <s v="Q3-2025"/>
    <d v="2025-08-15T00:00:00"/>
    <d v="2025-08-15T00:00:00"/>
    <x v="19"/>
    <x v="3"/>
    <x v="7"/>
    <s v="Tokyo"/>
    <x v="1"/>
    <x v="1"/>
    <x v="3"/>
    <x v="4"/>
    <x v="155"/>
    <n v="275.43"/>
    <n v="608.36"/>
    <n v="0.25700000000000001"/>
    <b v="0"/>
    <n v="4"/>
    <n v="1808.04592"/>
    <n v="1101.72"/>
    <n v="706.32592"/>
    <n v="0.39065706915231446"/>
    <s v="Low"/>
  </r>
  <r>
    <s v="ORD-2024-275203"/>
    <d v="2024-03-11T00:00:00"/>
    <s v="Mar-2024"/>
    <s v="Q1-2024"/>
    <d v="2024-04-06T00:00:00"/>
    <d v="2024-04-06T00:00:00"/>
    <x v="24"/>
    <x v="1"/>
    <x v="1"/>
    <s v="Kisumu"/>
    <x v="0"/>
    <x v="0"/>
    <x v="8"/>
    <x v="4"/>
    <x v="156"/>
    <n v="279.24"/>
    <n v="608.9"/>
    <n v="0.112"/>
    <b v="0"/>
    <n v="9"/>
    <n v="4866.3287999999993"/>
    <n v="2513.16"/>
    <n v="2353.1687999999995"/>
    <n v="0.48356140670149533"/>
    <s v="Low"/>
  </r>
  <r>
    <s v="ORD-2024-153053"/>
    <d v="2024-01-12T00:00:00"/>
    <s v="Jan-2024"/>
    <s v="Q1-2024"/>
    <d v="2024-01-29T00:00:00"/>
    <d v="2024-01-29T00:00:00"/>
    <x v="25"/>
    <x v="3"/>
    <x v="9"/>
    <s v="Hyderabad"/>
    <x v="1"/>
    <x v="2"/>
    <x v="4"/>
    <x v="4"/>
    <x v="157"/>
    <n v="310.02"/>
    <n v="619.51"/>
    <n v="4.2000000000000003E-2"/>
    <b v="0"/>
    <n v="4"/>
    <n v="2373.9623200000001"/>
    <n v="1240.08"/>
    <n v="1133.8823200000002"/>
    <n v="0.47763282106347843"/>
    <s v="Low"/>
  </r>
  <r>
    <s v="ORD-2025-640677"/>
    <d v="2025-04-09T00:00:00"/>
    <s v="Apr-2025"/>
    <s v="Q2-2025"/>
    <d v="2025-05-06T00:00:00"/>
    <d v="2025-05-06T00:00:00"/>
    <x v="4"/>
    <x v="2"/>
    <x v="5"/>
    <s v="Brasília"/>
    <x v="3"/>
    <x v="1"/>
    <x v="6"/>
    <x v="5"/>
    <x v="158"/>
    <n v="264.19"/>
    <n v="620.92999999999995"/>
    <n v="0.14199999999999999"/>
    <b v="0"/>
    <n v="12"/>
    <n v="6393.0952799999995"/>
    <n v="3170.2799999999997"/>
    <n v="3222.8152799999998"/>
    <n v="0.50410875152794532"/>
    <s v="Low"/>
  </r>
  <r>
    <s v="ORD-2023-427304"/>
    <d v="2023-06-09T00:00:00"/>
    <s v="Jun-2023"/>
    <s v="Q2-2023"/>
    <d v="2023-06-19T00:00:00"/>
    <d v="2023-06-19T00:00:00"/>
    <x v="3"/>
    <x v="3"/>
    <x v="10"/>
    <s v="Beijing"/>
    <x v="3"/>
    <x v="0"/>
    <x v="6"/>
    <x v="0"/>
    <x v="159"/>
    <n v="339.61"/>
    <n v="621.02"/>
    <n v="7.0999999999999994E-2"/>
    <b v="0"/>
    <n v="10"/>
    <n v="5769.2758000000003"/>
    <n v="3396.1000000000004"/>
    <n v="2373.1758"/>
    <n v="0.41134726129750981"/>
    <s v="Low"/>
  </r>
  <r>
    <s v="ORD-2024-999607"/>
    <d v="2024-01-12T00:00:00"/>
    <s v="Jan-2024"/>
    <s v="Q1-2024"/>
    <d v="2024-01-29T00:00:00"/>
    <d v="2024-01-29T00:00:00"/>
    <x v="25"/>
    <x v="2"/>
    <x v="3"/>
    <s v="Chicago"/>
    <x v="5"/>
    <x v="3"/>
    <x v="13"/>
    <x v="6"/>
    <x v="160"/>
    <n v="493.76"/>
    <n v="625.04"/>
    <n v="0.25800000000000001"/>
    <b v="0"/>
    <n v="10"/>
    <n v="4637.7968000000001"/>
    <n v="4937.6000000000004"/>
    <n v="-299.80320000000029"/>
    <n v="-6.464345311549663E-2"/>
    <s v="Low"/>
  </r>
  <r>
    <s v="ORD-2024-834983"/>
    <d v="2024-03-16T00:00:00"/>
    <s v="Mar-2024"/>
    <s v="Q1-2024"/>
    <d v="2024-04-13T00:00:00"/>
    <d v="2024-04-13T00:00:00"/>
    <x v="27"/>
    <x v="0"/>
    <x v="2"/>
    <s v="Paris"/>
    <x v="1"/>
    <x v="4"/>
    <x v="12"/>
    <x v="6"/>
    <x v="161"/>
    <n v="287.61"/>
    <n v="628.54"/>
    <n v="0.13500000000000001"/>
    <b v="0"/>
    <n v="21"/>
    <n v="11417.429099999999"/>
    <n v="6039.81"/>
    <n v="5377.619099999999"/>
    <n v="0.47100087531964613"/>
    <s v="Low"/>
  </r>
  <r>
    <s v="ORD-2023-825495"/>
    <d v="2023-11-30T00:00:00"/>
    <s v="Nov-2023"/>
    <s v="Q4-2023"/>
    <d v="2023-11-29T00:00:00"/>
    <d v="2023-12-14T00:00:00"/>
    <x v="7"/>
    <x v="1"/>
    <x v="4"/>
    <s v="Durban"/>
    <x v="1"/>
    <x v="1"/>
    <x v="10"/>
    <x v="5"/>
    <x v="162"/>
    <n v="275.56"/>
    <n v="630.72"/>
    <n v="0.107"/>
    <b v="0"/>
    <n v="23"/>
    <n v="12954.358080000002"/>
    <n v="6337.88"/>
    <n v="6616.4780800000017"/>
    <n v="0.5107530638831933"/>
    <s v="Low"/>
  </r>
  <r>
    <s v="ORD-2025-840976"/>
    <d v="2025-09-01T00:00:00"/>
    <s v="Sep-2025"/>
    <s v="Q3-2025"/>
    <d v="2025-09-30T00:00:00"/>
    <d v="2025-09-30T00:00:00"/>
    <x v="12"/>
    <x v="2"/>
    <x v="5"/>
    <s v="Brasília"/>
    <x v="5"/>
    <x v="0"/>
    <x v="12"/>
    <x v="2"/>
    <x v="163"/>
    <n v="780.59"/>
    <n v="631.57000000000005"/>
    <n v="0"/>
    <b v="0"/>
    <n v="12"/>
    <n v="7578.84"/>
    <n v="9367.08"/>
    <n v="-1788.2399999999998"/>
    <n v="-0.23595167598207639"/>
    <s v="Low"/>
  </r>
  <r>
    <s v="ORD-2024-170313"/>
    <d v="2024-12-27T00:00:00"/>
    <s v="Dec-2024"/>
    <s v="Q4-2024"/>
    <d v="2025-01-15T00:00:00"/>
    <d v="2025-01-15T00:00:00"/>
    <x v="19"/>
    <x v="3"/>
    <x v="9"/>
    <s v="Delhi"/>
    <x v="4"/>
    <x v="3"/>
    <x v="14"/>
    <x v="4"/>
    <x v="164"/>
    <n v="495.59"/>
    <n v="631.78"/>
    <n v="8.6999999999999994E-2"/>
    <b v="0"/>
    <n v="17"/>
    <n v="9805.8573800000013"/>
    <n v="8425.0299999999988"/>
    <n v="1380.8273800000024"/>
    <n v="0.14081658813601899"/>
    <s v="Low"/>
  </r>
  <r>
    <s v="ORD-2024-578646"/>
    <d v="2024-05-27T00:00:00"/>
    <s v="May-2024"/>
    <s v="Q2-2024"/>
    <d v="2024-06-17T00:00:00"/>
    <d v="2024-06-17T00:00:00"/>
    <x v="20"/>
    <x v="3"/>
    <x v="9"/>
    <s v="Delhi"/>
    <x v="1"/>
    <x v="4"/>
    <x v="2"/>
    <x v="2"/>
    <x v="165"/>
    <n v="465.02"/>
    <n v="651.55999999999995"/>
    <n v="4.2000000000000003E-2"/>
    <b v="0"/>
    <n v="19"/>
    <n v="11859.695119999998"/>
    <n v="8835.3799999999992"/>
    <n v="3024.3151199999993"/>
    <n v="0.25500783025187918"/>
    <s v="Low"/>
  </r>
  <r>
    <s v="ORD-2023-215819"/>
    <d v="2023-07-01T00:00:00"/>
    <s v="Jul-2023"/>
    <s v="Q3-2023"/>
    <d v="2023-07-11T00:00:00"/>
    <d v="2023-07-11T00:00:00"/>
    <x v="3"/>
    <x v="0"/>
    <x v="2"/>
    <s v="Paris"/>
    <x v="0"/>
    <x v="2"/>
    <x v="6"/>
    <x v="1"/>
    <x v="166"/>
    <n v="479.5"/>
    <n v="656.66"/>
    <n v="0.14899999999999999"/>
    <b v="0"/>
    <n v="14"/>
    <n v="7823.4472399999995"/>
    <n v="6713"/>
    <n v="1110.4472399999995"/>
    <n v="0.14193835606412289"/>
    <s v="Low"/>
  </r>
  <r>
    <s v="ORD-2024-792353"/>
    <d v="2024-08-19T00:00:00"/>
    <s v="Aug-2024"/>
    <s v="Q3-2024"/>
    <d v="2024-09-07T00:00:00"/>
    <d v="2024-09-07T00:00:00"/>
    <x v="19"/>
    <x v="0"/>
    <x v="2"/>
    <s v="Lyon"/>
    <x v="0"/>
    <x v="2"/>
    <x v="3"/>
    <x v="4"/>
    <x v="167"/>
    <n v="297.58999999999997"/>
    <n v="666.41"/>
    <n v="0"/>
    <b v="0"/>
    <n v="10"/>
    <n v="6664.0999999999995"/>
    <n v="2975.8999999999996"/>
    <n v="3688.2"/>
    <n v="0.55344307558409989"/>
    <s v="Low"/>
  </r>
  <r>
    <s v="ORD-2023-430904"/>
    <d v="2023-01-27T00:00:00"/>
    <s v="Jan-2023"/>
    <s v="Q1-2023"/>
    <d v="2023-01-31T00:00:00"/>
    <d v="2023-01-31T00:00:00"/>
    <x v="17"/>
    <x v="0"/>
    <x v="0"/>
    <s v="Manchester"/>
    <x v="3"/>
    <x v="4"/>
    <x v="9"/>
    <x v="5"/>
    <x v="168"/>
    <n v="941.2"/>
    <n v="668.02"/>
    <n v="0.22"/>
    <b v="0"/>
    <n v="16"/>
    <n v="8336.8896000000004"/>
    <n v="15059.2"/>
    <n v="-6722.3104000000003"/>
    <n v="-0.80633314371825193"/>
    <s v="Low"/>
  </r>
  <r>
    <s v="ORD-2023-552115"/>
    <d v="2023-09-17T00:00:00"/>
    <s v="Sep-2023"/>
    <s v="Q3-2023"/>
    <d v="2023-10-02T00:00:00"/>
    <d v="2023-10-02T00:00:00"/>
    <x v="21"/>
    <x v="2"/>
    <x v="5"/>
    <s v="Rio de Janeiro"/>
    <x v="1"/>
    <x v="0"/>
    <x v="4"/>
    <x v="5"/>
    <x v="169"/>
    <n v="689.33"/>
    <n v="668.27"/>
    <n v="0.186"/>
    <b v="0"/>
    <n v="13"/>
    <n v="7071.6331400000008"/>
    <n v="8961.2900000000009"/>
    <n v="-1889.6568600000001"/>
    <n v="-0.26721647214861033"/>
    <s v="Low"/>
  </r>
  <r>
    <s v="ORD-2025-184754"/>
    <d v="2025-06-27T00:00:00"/>
    <s v="Jun-2025"/>
    <s v="Q2-2025"/>
    <d v="2025-07-05T00:00:00"/>
    <d v="2025-07-05T00:00:00"/>
    <x v="16"/>
    <x v="0"/>
    <x v="6"/>
    <s v="Munich"/>
    <x v="1"/>
    <x v="2"/>
    <x v="14"/>
    <x v="0"/>
    <x v="170"/>
    <n v="314.93"/>
    <n v="687.95"/>
    <n v="0.20499999999999999"/>
    <b v="0"/>
    <n v="8"/>
    <n v="4375.3620000000001"/>
    <n v="2519.44"/>
    <n v="1855.922"/>
    <n v="0.424175645352316"/>
    <s v="Low"/>
  </r>
  <r>
    <s v="ORD-2025-515515"/>
    <d v="2025-01-03T00:00:00"/>
    <s v="Jan-2025"/>
    <s v="Q1-2025"/>
    <d v="2025-01-23T00:00:00"/>
    <d v="2025-01-23T00:00:00"/>
    <x v="14"/>
    <x v="3"/>
    <x v="7"/>
    <s v="Osaka"/>
    <x v="0"/>
    <x v="3"/>
    <x v="6"/>
    <x v="3"/>
    <x v="171"/>
    <n v="908.6"/>
    <n v="691.37"/>
    <n v="0.25"/>
    <b v="0"/>
    <n v="20"/>
    <n v="10370.549999999999"/>
    <n v="18172"/>
    <n v="-7801.4500000000007"/>
    <n v="-0.75226964818645115"/>
    <s v="Low"/>
  </r>
  <r>
    <s v="ORD-2023-883066"/>
    <d v="2023-08-12T00:00:00"/>
    <s v="Aug-2023"/>
    <s v="Q3-2023"/>
    <d v="2023-09-06T00:00:00"/>
    <d v="2023-09-06T00:00:00"/>
    <x v="1"/>
    <x v="3"/>
    <x v="10"/>
    <s v="Shanghai"/>
    <x v="1"/>
    <x v="0"/>
    <x v="4"/>
    <x v="4"/>
    <x v="172"/>
    <n v="950.77"/>
    <n v="694.78"/>
    <n v="8.4000000000000005E-2"/>
    <b v="0"/>
    <n v="14"/>
    <n v="8909.8587200000002"/>
    <n v="13310.779999999999"/>
    <n v="-4400.9212799999987"/>
    <n v="-0.49393839097821279"/>
    <s v="Low"/>
  </r>
  <r>
    <s v="ORD-2023-609394"/>
    <d v="2023-04-16T00:00:00"/>
    <s v="Apr-2023"/>
    <s v="Q2-2023"/>
    <d v="2023-04-19T00:00:00"/>
    <d v="2023-04-19T00:00:00"/>
    <x v="5"/>
    <x v="0"/>
    <x v="6"/>
    <s v="Munich"/>
    <x v="0"/>
    <x v="2"/>
    <x v="4"/>
    <x v="2"/>
    <x v="173"/>
    <n v="553.61"/>
    <n v="699.47"/>
    <n v="0.02"/>
    <b v="0"/>
    <n v="33"/>
    <n v="22620.859800000002"/>
    <n v="18269.13"/>
    <n v="4351.729800000001"/>
    <n v="0.19237685209472014"/>
    <s v="Low"/>
  </r>
  <r>
    <s v="ORD-2025-856556"/>
    <d v="2025-06-15T00:00:00"/>
    <s v="Jun-2025"/>
    <s v="Q2-2025"/>
    <d v="2025-07-12T00:00:00"/>
    <d v="2025-07-12T00:00:00"/>
    <x v="4"/>
    <x v="0"/>
    <x v="2"/>
    <s v="Marseille"/>
    <x v="2"/>
    <x v="2"/>
    <x v="8"/>
    <x v="2"/>
    <x v="174"/>
    <n v="318.83"/>
    <n v="699.5"/>
    <n v="0.08"/>
    <b v="0"/>
    <n v="13"/>
    <n v="8366.02"/>
    <n v="4144.79"/>
    <n v="4221.2300000000005"/>
    <n v="0.50456848059172699"/>
    <s v="Low"/>
  </r>
  <r>
    <s v="ORD-2024-210687"/>
    <d v="2024-01-28T00:00:00"/>
    <s v="Jan-2024"/>
    <s v="Q1-2024"/>
    <d v="2024-02-09T00:00:00"/>
    <d v="2024-02-09T00:00:00"/>
    <x v="22"/>
    <x v="0"/>
    <x v="6"/>
    <s v="Berlin"/>
    <x v="0"/>
    <x v="4"/>
    <x v="14"/>
    <x v="2"/>
    <x v="175"/>
    <n v="644.16999999999996"/>
    <n v="700.12"/>
    <n v="6.0000000000000001E-3"/>
    <b v="0"/>
    <n v="23"/>
    <n v="16006.14344"/>
    <n v="14815.91"/>
    <n v="1190.23344"/>
    <n v="7.436103796405813E-2"/>
    <s v="Low"/>
  </r>
  <r>
    <s v="ORD-2024-289089"/>
    <d v="2024-12-17T00:00:00"/>
    <s v="Dec-2024"/>
    <s v="Q4-2024"/>
    <d v="2024-12-18T00:00:00"/>
    <d v="2024-12-18T00:00:00"/>
    <x v="26"/>
    <x v="0"/>
    <x v="6"/>
    <s v="Munich"/>
    <x v="5"/>
    <x v="0"/>
    <x v="5"/>
    <x v="2"/>
    <x v="176"/>
    <n v="346.82"/>
    <n v="701.95"/>
    <n v="0.14699999999999999"/>
    <b v="0"/>
    <n v="8"/>
    <n v="4790.1068000000005"/>
    <n v="2774.56"/>
    <n v="2015.5468000000005"/>
    <n v="0.42077283120284509"/>
    <s v="Low"/>
  </r>
  <r>
    <s v="ORD-2023-290279"/>
    <d v="2023-06-14T00:00:00"/>
    <s v="Jun-2023"/>
    <s v="Q2-2023"/>
    <d v="2023-06-16T00:00:00"/>
    <d v="2023-06-16T00:00:00"/>
    <x v="9"/>
    <x v="0"/>
    <x v="0"/>
    <s v="Manchester"/>
    <x v="4"/>
    <x v="2"/>
    <x v="12"/>
    <x v="4"/>
    <x v="135"/>
    <n v="357.36"/>
    <n v="703.62"/>
    <n v="0.25700000000000001"/>
    <b v="0"/>
    <n v="20"/>
    <n v="10455.7932"/>
    <n v="7147.2000000000007"/>
    <n v="3308.5931999999993"/>
    <n v="0.31643636563125593"/>
    <s v="Low"/>
  </r>
  <r>
    <s v="ORD-2025-417942"/>
    <d v="2025-06-09T00:00:00"/>
    <s v="Jun-2025"/>
    <s v="Q2-2025"/>
    <d v="2025-06-24T00:00:00"/>
    <d v="2025-06-24T00:00:00"/>
    <x v="21"/>
    <x v="3"/>
    <x v="7"/>
    <s v="Nagoya"/>
    <x v="0"/>
    <x v="2"/>
    <x v="4"/>
    <x v="3"/>
    <x v="177"/>
    <n v="400.39"/>
    <n v="712.75"/>
    <n v="0.115"/>
    <b v="0"/>
    <n v="19"/>
    <n v="11984.891250000001"/>
    <n v="7607.41"/>
    <n v="4377.4812500000007"/>
    <n v="0.36524997671547504"/>
    <s v="Low"/>
  </r>
  <r>
    <s v="ORD-2023-689428"/>
    <d v="2023-01-07T00:00:00"/>
    <s v="Jan-2023"/>
    <s v="Q1-2023"/>
    <d v="2023-01-30T00:00:00"/>
    <d v="2023-01-30T00:00:00"/>
    <x v="23"/>
    <x v="1"/>
    <x v="4"/>
    <s v="Cape Town"/>
    <x v="2"/>
    <x v="4"/>
    <x v="13"/>
    <x v="6"/>
    <x v="178"/>
    <n v="299.02"/>
    <n v="724.7"/>
    <n v="0.14000000000000001"/>
    <b v="0"/>
    <n v="5"/>
    <n v="3116.21"/>
    <n v="1495.1"/>
    <n v="1621.1100000000001"/>
    <n v="0.52021847051386139"/>
    <s v="Low"/>
  </r>
  <r>
    <s v="ORD-2025-659650"/>
    <d v="2025-02-04T00:00:00"/>
    <s v="Feb-2025"/>
    <s v="Q1-2025"/>
    <d v="2025-02-08T00:00:00"/>
    <d v="2025-02-08T00:00:00"/>
    <x v="17"/>
    <x v="0"/>
    <x v="0"/>
    <s v="Manchester"/>
    <x v="3"/>
    <x v="1"/>
    <x v="5"/>
    <x v="1"/>
    <x v="179"/>
    <n v="586.21"/>
    <n v="727.22"/>
    <n v="6.8000000000000005E-2"/>
    <b v="0"/>
    <n v="15"/>
    <n v="10166.535600000001"/>
    <n v="8793.1500000000015"/>
    <n v="1373.3855999999996"/>
    <n v="0.13508884973559721"/>
    <s v="Low"/>
  </r>
  <r>
    <s v="ORD-2025-244832"/>
    <d v="2025-09-11T00:00:00"/>
    <s v="Sep-2025"/>
    <s v="Q3-2025"/>
    <d v="2025-09-28T00:00:00"/>
    <d v="2025-09-28T00:00:00"/>
    <x v="25"/>
    <x v="1"/>
    <x v="1"/>
    <s v="Nairobi"/>
    <x v="4"/>
    <x v="3"/>
    <x v="3"/>
    <x v="5"/>
    <x v="180"/>
    <n v="891.46"/>
    <n v="728.61"/>
    <n v="0.185"/>
    <b v="0"/>
    <n v="6"/>
    <n v="3562.9028999999996"/>
    <n v="5348.76"/>
    <n v="-1785.8571000000006"/>
    <n v="-0.50123653383874167"/>
    <s v="Low"/>
  </r>
  <r>
    <s v="ORD-2023-610470"/>
    <d v="2023-06-24T00:00:00"/>
    <s v="Jun-2023"/>
    <s v="Q2-2023"/>
    <d v="2023-07-21T00:00:00"/>
    <d v="2023-07-21T00:00:00"/>
    <x v="4"/>
    <x v="3"/>
    <x v="7"/>
    <s v="Nagoya"/>
    <x v="2"/>
    <x v="1"/>
    <x v="3"/>
    <x v="3"/>
    <x v="181"/>
    <n v="554.76"/>
    <n v="728.69"/>
    <n v="0.22"/>
    <b v="0"/>
    <n v="7"/>
    <n v="3978.6474000000003"/>
    <n v="3883.3199999999997"/>
    <n v="95.32740000000058"/>
    <n v="2.395975074343119E-2"/>
    <s v="Low"/>
  </r>
  <r>
    <s v="ORD-2023-813340"/>
    <d v="2023-12-26T00:00:00"/>
    <s v="Dec-2023"/>
    <s v="Q4-2023"/>
    <d v="2024-01-03T00:00:00"/>
    <d v="2024-01-03T00:00:00"/>
    <x v="16"/>
    <x v="0"/>
    <x v="2"/>
    <s v="Lyon"/>
    <x v="1"/>
    <x v="0"/>
    <x v="7"/>
    <x v="5"/>
    <x v="182"/>
    <n v="492.75"/>
    <n v="731.29"/>
    <n v="5.8000000000000003E-2"/>
    <b v="0"/>
    <n v="6"/>
    <n v="4133.25108"/>
    <n v="2956.5"/>
    <n v="1176.75108"/>
    <n v="0.28470350753528384"/>
    <s v="Low"/>
  </r>
  <r>
    <s v="ORD-2023-192324"/>
    <d v="2023-09-14T00:00:00"/>
    <s v="Sep-2023"/>
    <s v="Q3-2023"/>
    <d v="2023-09-16T00:00:00"/>
    <d v="2023-09-16T00:00:00"/>
    <x v="9"/>
    <x v="0"/>
    <x v="2"/>
    <s v="Lyon"/>
    <x v="4"/>
    <x v="2"/>
    <x v="4"/>
    <x v="6"/>
    <x v="183"/>
    <n v="376.83"/>
    <n v="732.88"/>
    <n v="0.188"/>
    <b v="0"/>
    <n v="25"/>
    <n v="14877.464000000002"/>
    <n v="9420.75"/>
    <n v="5456.7140000000018"/>
    <n v="0.36677716040852132"/>
    <s v="Low"/>
  </r>
  <r>
    <s v="ORD-2024-427031"/>
    <d v="2024-06-08T00:00:00"/>
    <s v="Jun-2024"/>
    <s v="Q2-2024"/>
    <d v="2024-06-24T00:00:00"/>
    <d v="2024-06-24T00:00:00"/>
    <x v="29"/>
    <x v="1"/>
    <x v="4"/>
    <s v="Durban"/>
    <x v="5"/>
    <x v="3"/>
    <x v="2"/>
    <x v="0"/>
    <x v="184"/>
    <n v="597.85"/>
    <n v="741.92"/>
    <n v="3.1E-2"/>
    <b v="0"/>
    <n v="7"/>
    <n v="5032.4433599999993"/>
    <n v="4184.95"/>
    <n v="847.49335999999948"/>
    <n v="0.16840594108544515"/>
    <s v="Low"/>
  </r>
  <r>
    <s v="ORD-2025-231184"/>
    <d v="2025-06-01T00:00:00"/>
    <s v="Jun-2025"/>
    <s v="Q2-2025"/>
    <d v="2025-06-06T00:00:00"/>
    <d v="2025-06-06T00:00:00"/>
    <x v="28"/>
    <x v="0"/>
    <x v="2"/>
    <s v="Paris"/>
    <x v="2"/>
    <x v="3"/>
    <x v="14"/>
    <x v="4"/>
    <x v="185"/>
    <n v="379.45"/>
    <n v="742.23"/>
    <n v="0.09"/>
    <b v="0"/>
    <n v="13"/>
    <n v="8780.5809000000008"/>
    <n v="4932.8499999999995"/>
    <n v="3847.7309000000014"/>
    <n v="0.43820915083192286"/>
    <s v="Low"/>
  </r>
  <r>
    <s v="ORD-2025-703623"/>
    <d v="2025-07-23T00:00:00"/>
    <s v="Jul-2025"/>
    <s v="Q3-2025"/>
    <d v="2025-08-19T00:00:00"/>
    <d v="2025-08-19T00:00:00"/>
    <x v="4"/>
    <x v="3"/>
    <x v="7"/>
    <s v="Nagoya"/>
    <x v="2"/>
    <x v="1"/>
    <x v="4"/>
    <x v="2"/>
    <x v="186"/>
    <n v="896.09"/>
    <n v="744.27"/>
    <n v="8.3000000000000004E-2"/>
    <b v="0"/>
    <n v="11"/>
    <n v="7507.4514899999995"/>
    <n v="9856.99"/>
    <n v="-2349.5385100000003"/>
    <n v="-0.31296086469950679"/>
    <s v="Low"/>
  </r>
  <r>
    <s v="ORD-2023-256951"/>
    <d v="2023-04-19T00:00:00"/>
    <s v="Apr-2023"/>
    <s v="Q2-2023"/>
    <d v="2023-05-07T00:00:00"/>
    <d v="2023-05-07T00:00:00"/>
    <x v="8"/>
    <x v="0"/>
    <x v="0"/>
    <s v="London"/>
    <x v="4"/>
    <x v="2"/>
    <x v="2"/>
    <x v="1"/>
    <x v="187"/>
    <n v="516.96"/>
    <n v="745.38"/>
    <n v="0.19700000000000001"/>
    <b v="0"/>
    <n v="4"/>
    <n v="2394.1605599999998"/>
    <n v="2067.84"/>
    <n v="326.32055999999966"/>
    <n v="0.13629852794835101"/>
    <s v="Low"/>
  </r>
  <r>
    <s v="ORD-2024-433936"/>
    <d v="2024-08-04T00:00:00"/>
    <s v="Aug-2024"/>
    <s v="Q3-2024"/>
    <d v="2024-08-17T00:00:00"/>
    <d v="2024-08-17T00:00:00"/>
    <x v="6"/>
    <x v="2"/>
    <x v="3"/>
    <s v="Austin"/>
    <x v="2"/>
    <x v="0"/>
    <x v="0"/>
    <x v="0"/>
    <x v="188"/>
    <n v="352.79"/>
    <n v="754.22"/>
    <n v="0.113"/>
    <b v="0"/>
    <n v="7"/>
    <n v="4682.9519799999998"/>
    <n v="2469.5300000000002"/>
    <n v="2213.4219799999996"/>
    <n v="0.47265528014233443"/>
    <s v="Low"/>
  </r>
  <r>
    <s v="ORD-2024-355095"/>
    <d v="2024-01-02T00:00:00"/>
    <s v="Jan-2024"/>
    <s v="Q1-2024"/>
    <d v="2024-01-02T00:00:00"/>
    <d v="2024-01-02T00:00:00"/>
    <x v="15"/>
    <x v="2"/>
    <x v="11"/>
    <s v="Vancouver"/>
    <x v="5"/>
    <x v="2"/>
    <x v="13"/>
    <x v="5"/>
    <x v="189"/>
    <n v="444.41"/>
    <n v="754.24"/>
    <n v="0.20699999999999999"/>
    <b v="0"/>
    <n v="32"/>
    <n v="19139.594240000002"/>
    <n v="14221.12"/>
    <n v="4918.4742400000014"/>
    <n v="0.25697902360546598"/>
    <s v="Low"/>
  </r>
  <r>
    <s v="ORD-2023-480975"/>
    <d v="2023-02-15T00:00:00"/>
    <s v="Feb-2023"/>
    <s v="Q1-2023"/>
    <d v="2023-02-26T00:00:00"/>
    <d v="2023-02-26T00:00:00"/>
    <x v="10"/>
    <x v="1"/>
    <x v="4"/>
    <s v="Johannesburg"/>
    <x v="4"/>
    <x v="0"/>
    <x v="12"/>
    <x v="5"/>
    <x v="190"/>
    <n v="498.5"/>
    <n v="755.87"/>
    <n v="0.13"/>
    <b v="0"/>
    <n v="40"/>
    <n v="26304.275999999998"/>
    <n v="19940"/>
    <n v="6364.275999999998"/>
    <n v="0.24194834330357537"/>
    <s v="Low"/>
  </r>
  <r>
    <s v="ORD-2023-880296"/>
    <d v="2023-05-02T00:00:00"/>
    <s v="May-2023"/>
    <s v="Q2-2023"/>
    <d v="2023-05-19T00:00:00"/>
    <d v="2023-05-19T00:00:00"/>
    <x v="25"/>
    <x v="3"/>
    <x v="10"/>
    <s v="Shanghai"/>
    <x v="4"/>
    <x v="2"/>
    <x v="3"/>
    <x v="0"/>
    <x v="191"/>
    <n v="714.28"/>
    <n v="757.59"/>
    <n v="0.13600000000000001"/>
    <b v="0"/>
    <n v="12"/>
    <n v="7854.6931199999999"/>
    <n v="8571.36"/>
    <n v="-716.66688000000067"/>
    <n v="-9.1240595787910383E-2"/>
    <s v="Low"/>
  </r>
  <r>
    <s v="ORD-2024-855073"/>
    <d v="2024-07-19T00:00:00"/>
    <s v="Jul-2024"/>
    <s v="Q3-2024"/>
    <d v="2024-07-19T00:00:00"/>
    <d v="2024-07-19T00:00:00"/>
    <x v="15"/>
    <x v="1"/>
    <x v="1"/>
    <s v="Kisumu"/>
    <x v="1"/>
    <x v="0"/>
    <x v="13"/>
    <x v="3"/>
    <x v="192"/>
    <n v="857.24"/>
    <n v="758.23"/>
    <n v="0.125"/>
    <b v="0"/>
    <n v="6"/>
    <n v="3980.7075"/>
    <n v="5143.4400000000005"/>
    <n v="-1162.7325000000005"/>
    <n v="-0.29209192084572921"/>
    <s v="Low"/>
  </r>
  <r>
    <s v="ORD-2024-350100"/>
    <d v="2024-10-27T00:00:00"/>
    <s v="Oct-2024"/>
    <s v="Q4-2024"/>
    <d v="2024-11-20T00:00:00"/>
    <d v="2024-11-20T00:00:00"/>
    <x v="30"/>
    <x v="3"/>
    <x v="7"/>
    <s v="Nagoya"/>
    <x v="4"/>
    <x v="4"/>
    <x v="2"/>
    <x v="0"/>
    <x v="193"/>
    <n v="317.25"/>
    <n v="758.92"/>
    <n v="5.2999999999999999E-2"/>
    <b v="0"/>
    <n v="9"/>
    <n v="6468.2751599999992"/>
    <n v="2855.25"/>
    <n v="3613.0251599999992"/>
    <n v="0.5585762928489888"/>
    <s v="Low"/>
  </r>
  <r>
    <s v="ORD-2024-358795"/>
    <d v="2024-10-23T00:00:00"/>
    <s v="Oct-2024"/>
    <s v="Q4-2024"/>
    <d v="2024-10-22T00:00:00"/>
    <d v="2024-11-06T00:00:00"/>
    <x v="7"/>
    <x v="1"/>
    <x v="8"/>
    <s v="Port Harcourt"/>
    <x v="5"/>
    <x v="4"/>
    <x v="3"/>
    <x v="6"/>
    <x v="194"/>
    <n v="1084.3900000000001"/>
    <n v="759.33"/>
    <n v="0.23699999999999999"/>
    <b v="0"/>
    <n v="31"/>
    <n v="17960.432489999999"/>
    <n v="33616.090000000004"/>
    <n v="-15655.657510000005"/>
    <n v="-0.87167486187856302"/>
    <s v="Low"/>
  </r>
  <r>
    <s v="ORD-2023-386663"/>
    <d v="2023-06-05T00:00:00"/>
    <s v="Jun-2023"/>
    <s v="Q2-2023"/>
    <d v="2023-06-28T00:00:00"/>
    <d v="2023-06-28T00:00:00"/>
    <x v="23"/>
    <x v="0"/>
    <x v="0"/>
    <s v="Birmingham"/>
    <x v="0"/>
    <x v="2"/>
    <x v="12"/>
    <x v="6"/>
    <x v="195"/>
    <n v="605.82000000000005"/>
    <n v="771.12"/>
    <n v="0.13200000000000001"/>
    <b v="0"/>
    <n v="19"/>
    <n v="12717.311040000001"/>
    <n v="11510.580000000002"/>
    <n v="1206.7310399999988"/>
    <n v="9.4888851597986767E-2"/>
    <s v="Low"/>
  </r>
  <r>
    <s v="ORD-2023-884192"/>
    <d v="2023-01-10T00:00:00"/>
    <s v="Jan-2023"/>
    <s v="Q1-2023"/>
    <d v="2023-01-29T00:00:00"/>
    <d v="2023-01-29T00:00:00"/>
    <x v="19"/>
    <x v="0"/>
    <x v="2"/>
    <s v="Lyon"/>
    <x v="4"/>
    <x v="2"/>
    <x v="0"/>
    <x v="5"/>
    <x v="196"/>
    <n v="401.66"/>
    <n v="772.09"/>
    <n v="8.8999999999999996E-2"/>
    <b v="0"/>
    <n v="14"/>
    <n v="9847.2358600000007"/>
    <n v="5623.2400000000007"/>
    <n v="4223.99586"/>
    <n v="0.42895244107619046"/>
    <s v="Low"/>
  </r>
  <r>
    <s v="ORD-2023-653343"/>
    <d v="2023-11-10T00:00:00"/>
    <s v="Nov-2023"/>
    <s v="Q4-2023"/>
    <d v="2023-11-28T00:00:00"/>
    <d v="2023-11-28T00:00:00"/>
    <x v="8"/>
    <x v="2"/>
    <x v="5"/>
    <s v="Brasília"/>
    <x v="5"/>
    <x v="1"/>
    <x v="5"/>
    <x v="2"/>
    <x v="197"/>
    <n v="388.51"/>
    <n v="776.46"/>
    <n v="0.157"/>
    <b v="0"/>
    <n v="12"/>
    <n v="7854.6693599999999"/>
    <n v="4662.12"/>
    <n v="3192.54936"/>
    <n v="0.40645241876864946"/>
    <s v="Low"/>
  </r>
  <r>
    <s v="ORD-2023-925146"/>
    <d v="2023-10-15T00:00:00"/>
    <s v="Oct-2023"/>
    <s v="Q4-2023"/>
    <d v="2023-11-13T00:00:00"/>
    <d v="2023-11-13T00:00:00"/>
    <x v="12"/>
    <x v="3"/>
    <x v="10"/>
    <s v="Shenzhen"/>
    <x v="4"/>
    <x v="3"/>
    <x v="3"/>
    <x v="6"/>
    <x v="198"/>
    <n v="986.44"/>
    <n v="790.61"/>
    <n v="7.1999999999999995E-2"/>
    <b v="0"/>
    <n v="6"/>
    <n v="4402.1164799999997"/>
    <n v="5918.64"/>
    <n v="-1516.5235200000006"/>
    <n v="-0.34449872621271499"/>
    <s v="Low"/>
  </r>
  <r>
    <s v="ORD-2025-411385"/>
    <d v="2025-06-05T00:00:00"/>
    <s v="Jun-2025"/>
    <s v="Q2-2025"/>
    <d v="2025-06-14T00:00:00"/>
    <d v="2025-06-14T00:00:00"/>
    <x v="2"/>
    <x v="3"/>
    <x v="9"/>
    <s v="Delhi"/>
    <x v="4"/>
    <x v="0"/>
    <x v="13"/>
    <x v="2"/>
    <x v="199"/>
    <n v="618.69000000000005"/>
    <n v="796.15"/>
    <n v="0.09"/>
    <b v="0"/>
    <n v="11"/>
    <n v="7969.4615000000003"/>
    <n v="6805.59"/>
    <n v="1163.8715000000002"/>
    <n v="0.14604142325049191"/>
    <s v="Low"/>
  </r>
  <r>
    <s v="ORD-2023-824839"/>
    <d v="2023-12-06T00:00:00"/>
    <s v="Dec-2023"/>
    <s v="Q4-2023"/>
    <d v="2023-12-31T00:00:00"/>
    <d v="2023-12-31T00:00:00"/>
    <x v="1"/>
    <x v="3"/>
    <x v="7"/>
    <s v="Osaka"/>
    <x v="2"/>
    <x v="0"/>
    <x v="5"/>
    <x v="6"/>
    <x v="200"/>
    <n v="663.03"/>
    <n v="813.51"/>
    <n v="0.10199999999999999"/>
    <b v="0"/>
    <n v="15"/>
    <n v="10957.9797"/>
    <n v="9945.4499999999989"/>
    <n v="1012.529700000001"/>
    <n v="9.2401129379715952E-2"/>
    <s v="Low"/>
  </r>
  <r>
    <s v="ORD-2024-961756"/>
    <d v="2024-11-25T00:00:00"/>
    <s v="Nov-2024"/>
    <s v="Q4-2024"/>
    <d v="2024-12-07T00:00:00"/>
    <d v="2024-12-07T00:00:00"/>
    <x v="22"/>
    <x v="3"/>
    <x v="10"/>
    <s v="Shanghai"/>
    <x v="0"/>
    <x v="3"/>
    <x v="13"/>
    <x v="2"/>
    <x v="201"/>
    <n v="769.9"/>
    <n v="814.36"/>
    <n v="0"/>
    <b v="0"/>
    <n v="5"/>
    <n v="4071.8"/>
    <n v="3849.5"/>
    <n v="222.30000000000018"/>
    <n v="5.4595019401738831E-2"/>
    <s v="Low"/>
  </r>
  <r>
    <s v="ORD-2024-220234"/>
    <d v="2024-03-15T00:00:00"/>
    <s v="Mar-2024"/>
    <s v="Q1-2024"/>
    <d v="2024-04-09T00:00:00"/>
    <d v="2024-04-09T00:00:00"/>
    <x v="1"/>
    <x v="2"/>
    <x v="11"/>
    <s v="Vancouver"/>
    <x v="2"/>
    <x v="4"/>
    <x v="6"/>
    <x v="0"/>
    <x v="202"/>
    <n v="648.64"/>
    <n v="815.19"/>
    <n v="0.22500000000000001"/>
    <b v="0"/>
    <n v="28"/>
    <n v="17689.623"/>
    <n v="18161.919999999998"/>
    <n v="-472.29699999999866"/>
    <n v="-2.6699099240272032E-2"/>
    <s v="Medium"/>
  </r>
  <r>
    <s v="ORD-2024-749242"/>
    <d v="2024-01-16T00:00:00"/>
    <s v="Jan-2024"/>
    <s v="Q1-2024"/>
    <d v="2024-02-11T00:00:00"/>
    <d v="2024-02-11T00:00:00"/>
    <x v="24"/>
    <x v="0"/>
    <x v="6"/>
    <s v="Frankfurt"/>
    <x v="4"/>
    <x v="3"/>
    <x v="10"/>
    <x v="0"/>
    <x v="203"/>
    <n v="504.93"/>
    <n v="819.06"/>
    <n v="0.22600000000000001"/>
    <b v="0"/>
    <n v="15"/>
    <n v="9509.2865999999995"/>
    <n v="7573.95"/>
    <n v="1935.3365999999996"/>
    <n v="0.20352069312959814"/>
    <s v="Medium"/>
  </r>
  <r>
    <s v="ORD-2024-375848"/>
    <d v="2024-05-18T00:00:00"/>
    <s v="May-2024"/>
    <s v="Q2-2024"/>
    <d v="2024-05-21T00:00:00"/>
    <d v="2024-05-21T00:00:00"/>
    <x v="5"/>
    <x v="0"/>
    <x v="2"/>
    <s v="Marseille"/>
    <x v="4"/>
    <x v="1"/>
    <x v="0"/>
    <x v="6"/>
    <x v="204"/>
    <n v="663.66"/>
    <n v="824.26"/>
    <n v="0.23899999999999999"/>
    <b v="0"/>
    <n v="11"/>
    <n v="6899.8804600000003"/>
    <n v="7300.2599999999993"/>
    <n v="-400.379539999999"/>
    <n v="-5.8027025587048933E-2"/>
    <s v="Medium"/>
  </r>
  <r>
    <s v="ORD-2023-890605"/>
    <d v="2023-06-24T00:00:00"/>
    <s v="Jun-2023"/>
    <s v="Q2-2023"/>
    <d v="2023-06-22T00:00:00"/>
    <d v="2023-07-08T00:00:00"/>
    <x v="7"/>
    <x v="2"/>
    <x v="11"/>
    <s v="Toronto"/>
    <x v="4"/>
    <x v="0"/>
    <x v="7"/>
    <x v="2"/>
    <x v="205"/>
    <n v="471.42"/>
    <n v="824.81"/>
    <n v="8.7999999999999995E-2"/>
    <b v="0"/>
    <n v="15"/>
    <n v="11283.400799999999"/>
    <n v="7071.3"/>
    <n v="4212.1007999999993"/>
    <n v="0.37330064531608231"/>
    <s v="Medium"/>
  </r>
  <r>
    <s v="ORD-2024-364080"/>
    <d v="2024-04-16T00:00:00"/>
    <s v="Apr-2024"/>
    <s v="Q2-2024"/>
    <d v="2024-04-27T00:00:00"/>
    <d v="2024-04-27T00:00:00"/>
    <x v="10"/>
    <x v="1"/>
    <x v="1"/>
    <s v="Nakuru"/>
    <x v="3"/>
    <x v="4"/>
    <x v="0"/>
    <x v="6"/>
    <x v="206"/>
    <n v="401.3"/>
    <n v="826.47"/>
    <n v="0.22500000000000001"/>
    <b v="0"/>
    <n v="13"/>
    <n v="8326.6852500000005"/>
    <n v="5216.9000000000005"/>
    <n v="3109.7852499999999"/>
    <n v="0.37347217489696755"/>
    <s v="Medium"/>
  </r>
  <r>
    <s v="ORD-2023-913592"/>
    <d v="2023-05-10T00:00:00"/>
    <s v="May-2023"/>
    <s v="Q2-2023"/>
    <d v="2023-05-14T00:00:00"/>
    <d v="2023-05-14T00:00:00"/>
    <x v="17"/>
    <x v="3"/>
    <x v="9"/>
    <s v="Delhi"/>
    <x v="4"/>
    <x v="3"/>
    <x v="8"/>
    <x v="0"/>
    <x v="207"/>
    <n v="622.6"/>
    <n v="833.69"/>
    <n v="0.20899999999999999"/>
    <b v="0"/>
    <n v="14"/>
    <n v="9232.2830599999998"/>
    <n v="8716.4"/>
    <n v="515.88306000000011"/>
    <n v="5.5878167582959715E-2"/>
    <s v="Medium"/>
  </r>
  <r>
    <s v="ORD-2023-960380"/>
    <d v="2023-02-11T00:00:00"/>
    <s v="Feb-2023"/>
    <s v="Q1-2023"/>
    <d v="2023-02-12T00:00:00"/>
    <d v="2023-02-12T00:00:00"/>
    <x v="26"/>
    <x v="1"/>
    <x v="8"/>
    <s v="Port Harcourt"/>
    <x v="4"/>
    <x v="2"/>
    <x v="0"/>
    <x v="2"/>
    <x v="208"/>
    <n v="944.61"/>
    <n v="839.04"/>
    <n v="5.8999999999999997E-2"/>
    <b v="0"/>
    <n v="6"/>
    <n v="4737.2198399999997"/>
    <n v="5667.66"/>
    <n v="-930.44016000000011"/>
    <n v="-0.19641059343363726"/>
    <s v="Medium"/>
  </r>
  <r>
    <s v="ORD-2025-486350"/>
    <d v="2025-05-27T00:00:00"/>
    <s v="May-2025"/>
    <s v="Q2-2025"/>
    <d v="2025-06-08T00:00:00"/>
    <d v="2025-06-08T00:00:00"/>
    <x v="22"/>
    <x v="3"/>
    <x v="7"/>
    <s v="Osaka"/>
    <x v="0"/>
    <x v="0"/>
    <x v="2"/>
    <x v="2"/>
    <x v="209"/>
    <n v="653.6"/>
    <n v="842.09"/>
    <n v="9.8000000000000004E-2"/>
    <b v="0"/>
    <n v="19"/>
    <n v="14431.738420000001"/>
    <n v="12418.4"/>
    <n v="2013.3384200000019"/>
    <n v="0.13950768517324622"/>
    <s v="Medium"/>
  </r>
  <r>
    <s v="ORD-2023-596758"/>
    <d v="2023-12-07T00:00:00"/>
    <s v="Dec-2023"/>
    <s v="Q4-2023"/>
    <d v="2023-12-05T00:00:00"/>
    <d v="2023-12-21T00:00:00"/>
    <x v="7"/>
    <x v="3"/>
    <x v="7"/>
    <s v="Tokyo"/>
    <x v="4"/>
    <x v="1"/>
    <x v="2"/>
    <x v="6"/>
    <x v="210"/>
    <n v="1097.5899999999999"/>
    <n v="845.55"/>
    <n v="0.184"/>
    <b v="0"/>
    <n v="6"/>
    <n v="4139.8127999999997"/>
    <n v="6585.5399999999991"/>
    <n v="-2445.7271999999994"/>
    <n v="-0.59078207594314402"/>
    <s v="Medium"/>
  </r>
  <r>
    <s v="ORD-2024-336584"/>
    <d v="2024-12-27T00:00:00"/>
    <s v="Dec-2024"/>
    <s v="Q4-2024"/>
    <d v="2025-01-14T00:00:00"/>
    <d v="2025-01-14T00:00:00"/>
    <x v="8"/>
    <x v="3"/>
    <x v="9"/>
    <s v="Bengaluru"/>
    <x v="1"/>
    <x v="1"/>
    <x v="10"/>
    <x v="0"/>
    <x v="211"/>
    <n v="586.07000000000005"/>
    <n v="845.97"/>
    <n v="0.14699999999999999"/>
    <b v="0"/>
    <n v="4"/>
    <n v="2886.4496399999998"/>
    <n v="2344.2800000000002"/>
    <n v="542.16963999999962"/>
    <n v="0.18783270370862928"/>
    <s v="Medium"/>
  </r>
  <r>
    <s v="ORD-2023-937291"/>
    <d v="2023-04-23T00:00:00"/>
    <s v="Apr-2023"/>
    <s v="Q2-2023"/>
    <d v="2023-04-22T00:00:00"/>
    <d v="2023-05-07T00:00:00"/>
    <x v="7"/>
    <x v="1"/>
    <x v="1"/>
    <s v="Nairobi"/>
    <x v="1"/>
    <x v="2"/>
    <x v="10"/>
    <x v="5"/>
    <x v="212"/>
    <n v="756.51"/>
    <n v="850.8"/>
    <n v="7.3999999999999996E-2"/>
    <b v="0"/>
    <n v="9"/>
    <n v="7090.5672000000004"/>
    <n v="6808.59"/>
    <n v="281.97720000000027"/>
    <n v="3.9767932810791252E-2"/>
    <s v="Medium"/>
  </r>
  <r>
    <s v="ORD-2024-968374"/>
    <d v="2024-02-11T00:00:00"/>
    <s v="Feb-2024"/>
    <s v="Q1-2024"/>
    <d v="2024-03-03T00:00:00"/>
    <d v="2024-03-03T00:00:00"/>
    <x v="20"/>
    <x v="1"/>
    <x v="1"/>
    <s v="Kisumu"/>
    <x v="3"/>
    <x v="4"/>
    <x v="4"/>
    <x v="3"/>
    <x v="213"/>
    <n v="516.86"/>
    <n v="852.54"/>
    <n v="5.0999999999999997E-2"/>
    <b v="0"/>
    <n v="14"/>
    <n v="11326.846439999999"/>
    <n v="7236.04"/>
    <n v="4090.8064399999994"/>
    <n v="0.36116022775355994"/>
    <s v="Medium"/>
  </r>
  <r>
    <s v="ORD-2025-649633"/>
    <d v="2025-07-19T00:00:00"/>
    <s v="Jul-2025"/>
    <s v="Q3-2025"/>
    <d v="2025-07-31T00:00:00"/>
    <d v="2025-07-31T00:00:00"/>
    <x v="22"/>
    <x v="1"/>
    <x v="1"/>
    <s v="Nairobi"/>
    <x v="1"/>
    <x v="1"/>
    <x v="11"/>
    <x v="2"/>
    <x v="214"/>
    <n v="619.64"/>
    <n v="861.16"/>
    <n v="0.113"/>
    <b v="0"/>
    <n v="14"/>
    <n v="10693.88488"/>
    <n v="8674.9599999999991"/>
    <n v="2018.9248800000005"/>
    <n v="0.18879246435276761"/>
    <s v="Medium"/>
  </r>
  <r>
    <s v="ORD-2025-281413"/>
    <d v="2025-08-03T00:00:00"/>
    <s v="Aug-2025"/>
    <s v="Q3-2025"/>
    <d v="2025-08-16T00:00:00"/>
    <d v="2025-08-16T00:00:00"/>
    <x v="6"/>
    <x v="2"/>
    <x v="11"/>
    <s v="Montreal"/>
    <x v="3"/>
    <x v="3"/>
    <x v="11"/>
    <x v="1"/>
    <x v="215"/>
    <n v="698.66"/>
    <n v="868.62"/>
    <n v="7.1999999999999995E-2"/>
    <b v="0"/>
    <n v="15"/>
    <n v="12091.190399999999"/>
    <n v="10479.9"/>
    <n v="1611.2903999999999"/>
    <n v="0.13326151906432637"/>
    <s v="Medium"/>
  </r>
  <r>
    <s v="ORD-2023-964434"/>
    <d v="2023-11-28T00:00:00"/>
    <s v="Nov-2023"/>
    <s v="Q4-2023"/>
    <d v="2023-12-07T00:00:00"/>
    <d v="2023-12-07T00:00:00"/>
    <x v="2"/>
    <x v="3"/>
    <x v="9"/>
    <s v="Delhi"/>
    <x v="3"/>
    <x v="1"/>
    <x v="5"/>
    <x v="3"/>
    <x v="216"/>
    <n v="699.33"/>
    <n v="873.75"/>
    <n v="0.23499999999999999"/>
    <b v="0"/>
    <n v="10"/>
    <n v="6684.1875"/>
    <n v="6993.3"/>
    <n v="-309.11250000000018"/>
    <n v="-4.6245336475076469E-2"/>
    <s v="Medium"/>
  </r>
  <r>
    <s v="ORD-2024-542244"/>
    <d v="2024-08-30T00:00:00"/>
    <s v="Aug-2024"/>
    <s v="Q3-2024"/>
    <d v="2024-09-05T00:00:00"/>
    <d v="2024-09-05T00:00:00"/>
    <x v="18"/>
    <x v="3"/>
    <x v="7"/>
    <s v="Nagoya"/>
    <x v="5"/>
    <x v="4"/>
    <x v="9"/>
    <x v="5"/>
    <x v="217"/>
    <n v="466.16"/>
    <n v="876.81"/>
    <n v="0.24099999999999999"/>
    <b v="0"/>
    <n v="8"/>
    <n v="5323.9903199999999"/>
    <n v="3729.28"/>
    <n v="1594.7103199999997"/>
    <n v="0.29953291124691594"/>
    <s v="Medium"/>
  </r>
  <r>
    <s v="ORD-2023-676553"/>
    <d v="2023-05-20T00:00:00"/>
    <s v="May-2023"/>
    <s v="Q2-2023"/>
    <d v="2023-06-19T00:00:00"/>
    <d v="2023-06-19T00:00:00"/>
    <x v="0"/>
    <x v="3"/>
    <x v="9"/>
    <s v="Delhi"/>
    <x v="4"/>
    <x v="1"/>
    <x v="2"/>
    <x v="5"/>
    <x v="218"/>
    <n v="1161.2"/>
    <n v="878.73"/>
    <n v="0.19"/>
    <b v="0"/>
    <n v="31"/>
    <n v="22064.910300000003"/>
    <n v="35997.200000000004"/>
    <n v="-13932.289700000001"/>
    <n v="-0.63142290227212028"/>
    <s v="Medium"/>
  </r>
  <r>
    <s v="ORD-2025-909340"/>
    <d v="2025-01-20T00:00:00"/>
    <s v="Jan-2025"/>
    <s v="Q1-2025"/>
    <d v="2025-02-03T00:00:00"/>
    <d v="2025-02-03T00:00:00"/>
    <x v="7"/>
    <x v="2"/>
    <x v="5"/>
    <s v="Brasília"/>
    <x v="3"/>
    <x v="1"/>
    <x v="6"/>
    <x v="4"/>
    <x v="219"/>
    <n v="974.11"/>
    <n v="880.99"/>
    <n v="0.111"/>
    <b v="0"/>
    <n v="10"/>
    <n v="7832.0010999999995"/>
    <n v="9741.1"/>
    <n v="-1909.0989000000009"/>
    <n v="-0.2437562093805121"/>
    <s v="Medium"/>
  </r>
  <r>
    <s v="ORD-2023-382017"/>
    <d v="2023-01-13T00:00:00"/>
    <s v="Jan-2023"/>
    <s v="Q1-2023"/>
    <d v="2023-01-19T00:00:00"/>
    <d v="2023-01-19T00:00:00"/>
    <x v="18"/>
    <x v="2"/>
    <x v="3"/>
    <s v="Chicago"/>
    <x v="0"/>
    <x v="2"/>
    <x v="2"/>
    <x v="3"/>
    <x v="220"/>
    <n v="833.57"/>
    <n v="881.57"/>
    <n v="5.7000000000000002E-2"/>
    <b v="0"/>
    <n v="18"/>
    <n v="14963.769179999999"/>
    <n v="15004.26"/>
    <n v="-40.490820000000895"/>
    <n v="-2.7059238560107821E-3"/>
    <s v="Medium"/>
  </r>
  <r>
    <s v="ORD-2025-737787"/>
    <d v="2025-09-14T00:00:00"/>
    <s v="Sep-2025"/>
    <s v="Q3-2025"/>
    <d v="2025-09-26T00:00:00"/>
    <d v="2025-09-26T00:00:00"/>
    <x v="22"/>
    <x v="0"/>
    <x v="0"/>
    <s v="London"/>
    <x v="1"/>
    <x v="2"/>
    <x v="9"/>
    <x v="1"/>
    <x v="221"/>
    <n v="425.15"/>
    <n v="885.92"/>
    <n v="0.23899999999999999"/>
    <b v="0"/>
    <n v="13"/>
    <n v="8764.4065599999994"/>
    <n v="5526.95"/>
    <n v="3237.4565599999996"/>
    <n v="0.3693868532725848"/>
    <s v="Medium"/>
  </r>
  <r>
    <s v="ORD-2024-212990"/>
    <d v="2024-08-12T00:00:00"/>
    <s v="Aug-2024"/>
    <s v="Q3-2024"/>
    <d v="2024-09-03T00:00:00"/>
    <d v="2024-09-03T00:00:00"/>
    <x v="13"/>
    <x v="2"/>
    <x v="3"/>
    <s v="Austin"/>
    <x v="2"/>
    <x v="3"/>
    <x v="1"/>
    <x v="5"/>
    <x v="222"/>
    <n v="797.8"/>
    <n v="886.22"/>
    <n v="0.23599999999999999"/>
    <b v="0"/>
    <n v="36"/>
    <n v="24374.594880000001"/>
    <n v="28720.799999999999"/>
    <n v="-4346.2051199999987"/>
    <n v="-0.17830881462428633"/>
    <s v="Medium"/>
  </r>
  <r>
    <s v="ORD-2023-399631"/>
    <d v="2023-06-22T00:00:00"/>
    <s v="Jun-2023"/>
    <s v="Q2-2023"/>
    <d v="2023-07-21T00:00:00"/>
    <d v="2023-07-21T00:00:00"/>
    <x v="12"/>
    <x v="0"/>
    <x v="2"/>
    <s v="Lyon"/>
    <x v="0"/>
    <x v="0"/>
    <x v="3"/>
    <x v="2"/>
    <x v="223"/>
    <n v="734.34"/>
    <n v="887.9"/>
    <n v="2.5000000000000001E-2"/>
    <b v="0"/>
    <n v="12"/>
    <n v="10388.429999999998"/>
    <n v="8812.08"/>
    <n v="1576.3499999999985"/>
    <n v="0.15174092716608753"/>
    <s v="Medium"/>
  </r>
  <r>
    <s v="ORD-2024-567435"/>
    <d v="2024-04-26T00:00:00"/>
    <s v="Apr-2024"/>
    <s v="Q2-2024"/>
    <d v="2024-04-24T00:00:00"/>
    <d v="2024-05-10T00:00:00"/>
    <x v="7"/>
    <x v="0"/>
    <x v="0"/>
    <s v="London"/>
    <x v="4"/>
    <x v="3"/>
    <x v="9"/>
    <x v="3"/>
    <x v="224"/>
    <n v="1232.77"/>
    <n v="891.73"/>
    <n v="0.16700000000000001"/>
    <b v="0"/>
    <n v="10"/>
    <n v="7428.1108999999988"/>
    <n v="12327.7"/>
    <n v="-4899.589100000002"/>
    <n v="-0.65960096260813805"/>
    <s v="Medium"/>
  </r>
  <r>
    <s v="ORD-2025-678328"/>
    <d v="2025-06-24T00:00:00"/>
    <s v="Jun-2025"/>
    <s v="Q2-2025"/>
    <d v="2025-07-14T00:00:00"/>
    <d v="2025-07-14T00:00:00"/>
    <x v="14"/>
    <x v="0"/>
    <x v="6"/>
    <s v="Berlin"/>
    <x v="0"/>
    <x v="2"/>
    <x v="11"/>
    <x v="2"/>
    <x v="225"/>
    <n v="385.08"/>
    <n v="893.19"/>
    <n v="0.151"/>
    <b v="0"/>
    <n v="8"/>
    <n v="6066.54648"/>
    <n v="3080.64"/>
    <n v="2985.9064800000001"/>
    <n v="0.49219213762621666"/>
    <s v="Medium"/>
  </r>
  <r>
    <s v="ORD-2024-398783"/>
    <d v="2024-07-18T00:00:00"/>
    <s v="Jul-2024"/>
    <s v="Q3-2024"/>
    <d v="2024-08-07T00:00:00"/>
    <d v="2024-08-07T00:00:00"/>
    <x v="14"/>
    <x v="0"/>
    <x v="2"/>
    <s v="Marseille"/>
    <x v="0"/>
    <x v="0"/>
    <x v="6"/>
    <x v="0"/>
    <x v="226"/>
    <n v="941.35"/>
    <n v="899.83"/>
    <n v="5.8000000000000003E-2"/>
    <b v="0"/>
    <n v="18"/>
    <n v="15257.51748"/>
    <n v="16944.3"/>
    <n v="-1686.7825199999988"/>
    <n v="-0.11055419220139073"/>
    <s v="Medium"/>
  </r>
  <r>
    <s v="ORD-2023-126505"/>
    <d v="2023-12-19T00:00:00"/>
    <s v="Dec-2023"/>
    <s v="Q4-2023"/>
    <d v="2024-01-01T00:00:00"/>
    <d v="2024-01-01T00:00:00"/>
    <x v="6"/>
    <x v="2"/>
    <x v="11"/>
    <s v="Toronto"/>
    <x v="3"/>
    <x v="0"/>
    <x v="12"/>
    <x v="0"/>
    <x v="227"/>
    <n v="856.1"/>
    <n v="901.48"/>
    <n v="5.6000000000000001E-2"/>
    <b v="0"/>
    <n v="17"/>
    <n v="14466.95104"/>
    <n v="14553.7"/>
    <n v="-86.748960000000807"/>
    <n v="-5.9963540182134192E-3"/>
    <s v="Medium"/>
  </r>
  <r>
    <s v="ORD-2024-655710"/>
    <d v="2024-11-30T00:00:00"/>
    <s v="Nov-2024"/>
    <s v="Q4-2024"/>
    <d v="2024-12-10T00:00:00"/>
    <d v="2024-12-10T00:00:00"/>
    <x v="3"/>
    <x v="3"/>
    <x v="9"/>
    <s v="Hyderabad"/>
    <x v="1"/>
    <x v="0"/>
    <x v="6"/>
    <x v="2"/>
    <x v="228"/>
    <n v="851.49"/>
    <n v="901.79"/>
    <n v="0.245"/>
    <b v="0"/>
    <n v="16"/>
    <n v="10893.6232"/>
    <n v="13623.84"/>
    <n v="-2730.2168000000001"/>
    <n v="-0.25062522816100341"/>
    <s v="Medium"/>
  </r>
  <r>
    <s v="ORD-2023-502205"/>
    <d v="2023-10-09T00:00:00"/>
    <s v="Oct-2023"/>
    <s v="Q4-2023"/>
    <d v="2023-10-11T00:00:00"/>
    <d v="2023-10-11T00:00:00"/>
    <x v="9"/>
    <x v="1"/>
    <x v="8"/>
    <s v="Port Harcourt"/>
    <x v="5"/>
    <x v="1"/>
    <x v="12"/>
    <x v="1"/>
    <x v="229"/>
    <n v="391.16"/>
    <n v="902.47"/>
    <n v="4.0000000000000001E-3"/>
    <b v="0"/>
    <n v="12"/>
    <n v="10786.32144"/>
    <n v="4693.92"/>
    <n v="6092.4014399999996"/>
    <n v="0.56482661618139207"/>
    <s v="Medium"/>
  </r>
  <r>
    <s v="ORD-2024-885858"/>
    <d v="2024-01-10T00:00:00"/>
    <s v="Jan-2024"/>
    <s v="Q1-2024"/>
    <d v="2024-01-23T00:00:00"/>
    <d v="2024-01-23T00:00:00"/>
    <x v="6"/>
    <x v="0"/>
    <x v="2"/>
    <s v="Marseille"/>
    <x v="0"/>
    <x v="2"/>
    <x v="13"/>
    <x v="6"/>
    <x v="230"/>
    <n v="720"/>
    <n v="907.59"/>
    <n v="0.154"/>
    <b v="0"/>
    <n v="10"/>
    <n v="7678.2113999999992"/>
    <n v="7200"/>
    <n v="478.21139999999923"/>
    <n v="6.2281614179052078E-2"/>
    <s v="Medium"/>
  </r>
  <r>
    <s v="ORD-2023-378104"/>
    <d v="2023-10-18T00:00:00"/>
    <s v="Oct-2023"/>
    <s v="Q4-2023"/>
    <d v="2023-10-20T00:00:00"/>
    <d v="2023-10-20T00:00:00"/>
    <x v="9"/>
    <x v="1"/>
    <x v="1"/>
    <s v="Kisumu"/>
    <x v="2"/>
    <x v="0"/>
    <x v="3"/>
    <x v="3"/>
    <x v="231"/>
    <n v="774.12"/>
    <n v="908.3"/>
    <n v="0"/>
    <b v="0"/>
    <n v="30"/>
    <n v="27249"/>
    <n v="23223.599999999999"/>
    <n v="4025.4000000000015"/>
    <n v="0.14772652207420461"/>
    <s v="Medium"/>
  </r>
  <r>
    <s v="ORD-2025-526752"/>
    <d v="2025-06-09T00:00:00"/>
    <s v="Jun-2025"/>
    <s v="Q2-2025"/>
    <d v="2025-06-25T00:00:00"/>
    <d v="2025-06-25T00:00:00"/>
    <x v="29"/>
    <x v="3"/>
    <x v="9"/>
    <s v="Hyderabad"/>
    <x v="3"/>
    <x v="3"/>
    <x v="7"/>
    <x v="3"/>
    <x v="232"/>
    <n v="527.33000000000004"/>
    <n v="911.72"/>
    <n v="0.14399999999999999"/>
    <b v="0"/>
    <n v="25"/>
    <n v="19510.808000000001"/>
    <n v="13183.250000000002"/>
    <n v="6327.5579999999991"/>
    <n v="0.32431040272652978"/>
    <s v="Medium"/>
  </r>
  <r>
    <s v="ORD-2023-276806"/>
    <d v="2023-03-04T00:00:00"/>
    <s v="Mar-2023"/>
    <s v="Q1-2023"/>
    <d v="2023-03-24T00:00:00"/>
    <d v="2023-03-24T00:00:00"/>
    <x v="14"/>
    <x v="2"/>
    <x v="11"/>
    <s v="Montreal"/>
    <x v="2"/>
    <x v="3"/>
    <x v="1"/>
    <x v="5"/>
    <x v="233"/>
    <n v="481.71"/>
    <n v="912.45"/>
    <n v="0.20300000000000001"/>
    <b v="0"/>
    <n v="24"/>
    <n v="17453.3436"/>
    <n v="11561.039999999999"/>
    <n v="5892.3036000000011"/>
    <n v="0.33760313983619739"/>
    <s v="Medium"/>
  </r>
  <r>
    <s v="ORD-2023-931633"/>
    <d v="2023-05-14T00:00:00"/>
    <s v="May-2023"/>
    <s v="Q2-2023"/>
    <d v="2023-05-22T00:00:00"/>
    <d v="2023-05-22T00:00:00"/>
    <x v="16"/>
    <x v="1"/>
    <x v="1"/>
    <s v="Mombasa"/>
    <x v="1"/>
    <x v="3"/>
    <x v="6"/>
    <x v="6"/>
    <x v="234"/>
    <n v="432.01"/>
    <n v="913.78"/>
    <n v="4.9000000000000002E-2"/>
    <b v="0"/>
    <n v="12"/>
    <n v="10428.057360000001"/>
    <n v="5184.12"/>
    <n v="5243.9373600000008"/>
    <n v="0.50286809699711899"/>
    <s v="Medium"/>
  </r>
  <r>
    <s v="ORD-2023-949710"/>
    <d v="2023-03-07T00:00:00"/>
    <s v="Mar-2023"/>
    <s v="Q1-2023"/>
    <d v="2023-04-01T00:00:00"/>
    <d v="2023-04-01T00:00:00"/>
    <x v="1"/>
    <x v="1"/>
    <x v="1"/>
    <s v="Nairobi"/>
    <x v="2"/>
    <x v="1"/>
    <x v="0"/>
    <x v="6"/>
    <x v="235"/>
    <n v="1024.0999999999999"/>
    <n v="918.19"/>
    <n v="0.189"/>
    <b v="0"/>
    <n v="10"/>
    <n v="7446.5209000000004"/>
    <n v="10241"/>
    <n v="-2794.4790999999996"/>
    <n v="-0.37527311579827827"/>
    <s v="Medium"/>
  </r>
  <r>
    <s v="ORD-2024-902741"/>
    <d v="2024-12-23T00:00:00"/>
    <s v="Dec-2024"/>
    <s v="Q4-2024"/>
    <d v="2025-01-11T00:00:00"/>
    <d v="2025-01-11T00:00:00"/>
    <x v="19"/>
    <x v="0"/>
    <x v="6"/>
    <s v="Berlin"/>
    <x v="5"/>
    <x v="0"/>
    <x v="12"/>
    <x v="3"/>
    <x v="236"/>
    <n v="501.81"/>
    <n v="921.62"/>
    <n v="0.01"/>
    <b v="0"/>
    <n v="9"/>
    <n v="8211.6342000000004"/>
    <n v="4516.29"/>
    <n v="3695.3442000000005"/>
    <n v="0.45001325071202031"/>
    <s v="Medium"/>
  </r>
  <r>
    <s v="ORD-2025-898022"/>
    <d v="2025-09-02T00:00:00"/>
    <s v="Sep-2025"/>
    <s v="Q3-2025"/>
    <d v="2025-09-11T00:00:00"/>
    <d v="2025-09-11T00:00:00"/>
    <x v="2"/>
    <x v="2"/>
    <x v="11"/>
    <s v="Toronto"/>
    <x v="0"/>
    <x v="3"/>
    <x v="7"/>
    <x v="6"/>
    <x v="237"/>
    <n v="1207.6300000000001"/>
    <n v="921.68"/>
    <n v="0.19600000000000001"/>
    <b v="0"/>
    <n v="17"/>
    <n v="12597.52224"/>
    <n v="20529.710000000003"/>
    <n v="-7932.1877600000025"/>
    <n v="-0.62966253274897988"/>
    <s v="Medium"/>
  </r>
  <r>
    <s v="ORD-2024-692673"/>
    <d v="2024-03-07T00:00:00"/>
    <s v="Mar-2024"/>
    <s v="Q1-2024"/>
    <d v="2024-03-25T00:00:00"/>
    <d v="2024-03-25T00:00:00"/>
    <x v="8"/>
    <x v="0"/>
    <x v="6"/>
    <s v="Munich"/>
    <x v="0"/>
    <x v="4"/>
    <x v="4"/>
    <x v="4"/>
    <x v="238"/>
    <n v="712.84"/>
    <n v="927.51"/>
    <n v="0.24299999999999999"/>
    <b v="0"/>
    <n v="27"/>
    <n v="18957.37689"/>
    <n v="19246.68"/>
    <n v="-289.30311000000074"/>
    <n v="-1.5260714163076427E-2"/>
    <s v="Medium"/>
  </r>
  <r>
    <s v="ORD-2023-747341"/>
    <d v="2023-04-19T00:00:00"/>
    <s v="Apr-2023"/>
    <s v="Q2-2023"/>
    <d v="2023-04-28T00:00:00"/>
    <d v="2023-04-28T00:00:00"/>
    <x v="2"/>
    <x v="2"/>
    <x v="5"/>
    <s v="Rio de Janeiro"/>
    <x v="0"/>
    <x v="3"/>
    <x v="7"/>
    <x v="3"/>
    <x v="239"/>
    <n v="1013.54"/>
    <n v="927.93"/>
    <n v="0.17499999999999999"/>
    <b v="0"/>
    <n v="16"/>
    <n v="12248.675999999999"/>
    <n v="16216.64"/>
    <n v="-3967.9639999999999"/>
    <n v="-0.32395044166406234"/>
    <s v="Medium"/>
  </r>
  <r>
    <s v="ORD-2023-144816"/>
    <d v="2023-05-07T00:00:00"/>
    <s v="May-2023"/>
    <s v="Q2-2023"/>
    <d v="2023-05-29T00:00:00"/>
    <d v="2023-05-29T00:00:00"/>
    <x v="13"/>
    <x v="1"/>
    <x v="4"/>
    <s v="Durban"/>
    <x v="5"/>
    <x v="3"/>
    <x v="12"/>
    <x v="2"/>
    <x v="240"/>
    <n v="653.86"/>
    <n v="931.84"/>
    <n v="0.121"/>
    <b v="0"/>
    <n v="12"/>
    <n v="9829.0483199999999"/>
    <n v="7846.32"/>
    <n v="1982.7283200000002"/>
    <n v="0.20172129136506273"/>
    <s v="Medium"/>
  </r>
  <r>
    <s v="ORD-2025-757957"/>
    <d v="2025-04-24T00:00:00"/>
    <s v="Apr-2025"/>
    <s v="Q2-2025"/>
    <d v="2025-05-06T00:00:00"/>
    <d v="2025-05-06T00:00:00"/>
    <x v="22"/>
    <x v="2"/>
    <x v="5"/>
    <s v="Brasília"/>
    <x v="2"/>
    <x v="4"/>
    <x v="8"/>
    <x v="3"/>
    <x v="241"/>
    <n v="394.13"/>
    <n v="932.29"/>
    <n v="0.109"/>
    <b v="0"/>
    <n v="7"/>
    <n v="5814.6927299999998"/>
    <n v="2758.91"/>
    <n v="3055.7827299999999"/>
    <n v="0.5255278089303268"/>
    <s v="Medium"/>
  </r>
  <r>
    <s v="ORD-2024-777623"/>
    <d v="2024-09-19T00:00:00"/>
    <s v="Sep-2024"/>
    <s v="Q3-2024"/>
    <d v="2024-10-14T00:00:00"/>
    <d v="2024-10-14T00:00:00"/>
    <x v="1"/>
    <x v="2"/>
    <x v="5"/>
    <s v="Rio de Janeiro"/>
    <x v="1"/>
    <x v="0"/>
    <x v="12"/>
    <x v="6"/>
    <x v="242"/>
    <n v="386.96"/>
    <n v="937.46"/>
    <n v="0.26600000000000001"/>
    <b v="0"/>
    <n v="41"/>
    <n v="28211.92124"/>
    <n v="15865.359999999999"/>
    <n v="12346.561240000001"/>
    <n v="0.43763631462626335"/>
    <s v="Medium"/>
  </r>
  <r>
    <s v="ORD-2025-993993"/>
    <d v="2025-08-30T00:00:00"/>
    <s v="Aug-2025"/>
    <s v="Q3-2025"/>
    <d v="2025-09-22T00:00:00"/>
    <d v="2025-09-22T00:00:00"/>
    <x v="23"/>
    <x v="0"/>
    <x v="2"/>
    <s v="Marseille"/>
    <x v="0"/>
    <x v="2"/>
    <x v="10"/>
    <x v="4"/>
    <x v="243"/>
    <n v="663.9"/>
    <n v="947.77"/>
    <n v="0.17399999999999999"/>
    <b v="0"/>
    <n v="15"/>
    <n v="11742.8703"/>
    <n v="9958.5"/>
    <n v="1784.3703000000005"/>
    <n v="0.1519535049280073"/>
    <s v="Medium"/>
  </r>
  <r>
    <s v="ORD-2024-211453"/>
    <d v="2024-04-04T00:00:00"/>
    <s v="Apr-2024"/>
    <s v="Q2-2024"/>
    <d v="2024-04-24T00:00:00"/>
    <d v="2024-04-24T00:00:00"/>
    <x v="14"/>
    <x v="0"/>
    <x v="6"/>
    <s v="Frankfurt"/>
    <x v="4"/>
    <x v="2"/>
    <x v="11"/>
    <x v="2"/>
    <x v="244"/>
    <n v="683.42"/>
    <n v="951.51"/>
    <n v="0"/>
    <b v="0"/>
    <n v="14"/>
    <n v="13321.14"/>
    <n v="9567.8799999999992"/>
    <n v="3753.26"/>
    <n v="0.28175216235247136"/>
    <s v="Medium"/>
  </r>
  <r>
    <s v="ORD-2025-779530"/>
    <d v="2025-05-19T00:00:00"/>
    <s v="May-2025"/>
    <s v="Q2-2025"/>
    <d v="2025-05-17T00:00:00"/>
    <d v="2025-06-02T00:00:00"/>
    <x v="7"/>
    <x v="2"/>
    <x v="5"/>
    <s v="São Paulo"/>
    <x v="1"/>
    <x v="3"/>
    <x v="5"/>
    <x v="0"/>
    <x v="245"/>
    <n v="383.77"/>
    <n v="952.56"/>
    <n v="0"/>
    <b v="0"/>
    <n v="10"/>
    <n v="9525.5999999999985"/>
    <n v="3837.7"/>
    <n v="5687.8999999999987"/>
    <n v="0.59711724195851179"/>
    <s v="Medium"/>
  </r>
  <r>
    <s v="ORD-2024-356812"/>
    <d v="2024-03-07T00:00:00"/>
    <s v="Mar-2024"/>
    <s v="Q1-2024"/>
    <d v="2024-04-03T00:00:00"/>
    <d v="2024-04-03T00:00:00"/>
    <x v="4"/>
    <x v="0"/>
    <x v="6"/>
    <s v="Frankfurt"/>
    <x v="0"/>
    <x v="2"/>
    <x v="7"/>
    <x v="6"/>
    <x v="246"/>
    <n v="738.16"/>
    <n v="956.49"/>
    <n v="0.152"/>
    <b v="0"/>
    <n v="5"/>
    <n v="4055.5175999999997"/>
    <n v="3690.7999999999997"/>
    <n v="364.71759999999995"/>
    <n v="8.9931208780847108E-2"/>
    <s v="Medium"/>
  </r>
  <r>
    <s v="ORD-2025-337268"/>
    <d v="2025-02-16T00:00:00"/>
    <s v="Feb-2025"/>
    <s v="Q1-2025"/>
    <d v="2025-03-17T00:00:00"/>
    <d v="2025-03-17T00:00:00"/>
    <x v="12"/>
    <x v="0"/>
    <x v="6"/>
    <s v="Munich"/>
    <x v="2"/>
    <x v="0"/>
    <x v="5"/>
    <x v="2"/>
    <x v="247"/>
    <n v="730.42"/>
    <n v="956.7"/>
    <n v="4.2000000000000003E-2"/>
    <b v="0"/>
    <n v="22"/>
    <n v="20163.409200000002"/>
    <n v="16069.24"/>
    <n v="4094.1692000000021"/>
    <n v="0.20304945256975698"/>
    <s v="Medium"/>
  </r>
  <r>
    <s v="ORD-2023-294716"/>
    <d v="2023-04-10T00:00:00"/>
    <s v="Apr-2023"/>
    <s v="Q2-2023"/>
    <d v="2023-04-25T00:00:00"/>
    <d v="2023-04-25T00:00:00"/>
    <x v="21"/>
    <x v="0"/>
    <x v="0"/>
    <s v="London"/>
    <x v="1"/>
    <x v="0"/>
    <x v="0"/>
    <x v="6"/>
    <x v="248"/>
    <n v="405.66"/>
    <n v="962.51"/>
    <n v="0.19"/>
    <b v="0"/>
    <n v="7"/>
    <n v="5457.4317000000001"/>
    <n v="2839.6200000000003"/>
    <n v="2617.8116999999997"/>
    <n v="0.47967832561239376"/>
    <s v="Medium"/>
  </r>
  <r>
    <s v="ORD-2023-573656"/>
    <d v="2023-05-02T00:00:00"/>
    <s v="May-2023"/>
    <s v="Q2-2023"/>
    <d v="2023-05-16T00:00:00"/>
    <d v="2023-05-16T00:00:00"/>
    <x v="7"/>
    <x v="3"/>
    <x v="9"/>
    <s v="Bengaluru"/>
    <x v="4"/>
    <x v="0"/>
    <x v="5"/>
    <x v="0"/>
    <x v="249"/>
    <n v="475.37"/>
    <n v="963.73"/>
    <n v="4.1000000000000002E-2"/>
    <b v="0"/>
    <n v="22"/>
    <n v="20332.775539999999"/>
    <n v="10458.14"/>
    <n v="9874.6355399999993"/>
    <n v="0.48565113604750881"/>
    <s v="Medium"/>
  </r>
  <r>
    <s v="ORD-2023-197661"/>
    <d v="2023-08-08T00:00:00"/>
    <s v="Aug-2023"/>
    <s v="Q3-2023"/>
    <d v="2023-08-22T00:00:00"/>
    <d v="2023-08-22T00:00:00"/>
    <x v="7"/>
    <x v="0"/>
    <x v="0"/>
    <s v="Birmingham"/>
    <x v="4"/>
    <x v="2"/>
    <x v="9"/>
    <x v="0"/>
    <x v="250"/>
    <n v="446.69"/>
    <n v="967.25"/>
    <n v="9.4E-2"/>
    <b v="0"/>
    <n v="10"/>
    <n v="8763.2849999999999"/>
    <n v="4466.8999999999996"/>
    <n v="4296.3850000000002"/>
    <n v="0.49027105702941309"/>
    <s v="Medium"/>
  </r>
  <r>
    <s v="ORD-2024-997336"/>
    <d v="2024-10-04T00:00:00"/>
    <s v="Oct-2024"/>
    <s v="Q4-2024"/>
    <d v="2024-11-02T00:00:00"/>
    <d v="2024-11-02T00:00:00"/>
    <x v="12"/>
    <x v="1"/>
    <x v="8"/>
    <s v="Abuja"/>
    <x v="0"/>
    <x v="3"/>
    <x v="6"/>
    <x v="2"/>
    <x v="251"/>
    <n v="412.09"/>
    <n v="968.94"/>
    <n v="9.9000000000000005E-2"/>
    <b v="0"/>
    <n v="23"/>
    <n v="20079.343620000003"/>
    <n v="9478.07"/>
    <n v="10601.273620000004"/>
    <n v="0.52796913189137418"/>
    <s v="Medium"/>
  </r>
  <r>
    <s v="ORD-2024-310809"/>
    <d v="2024-04-05T00:00:00"/>
    <s v="Apr-2024"/>
    <s v="Q2-2024"/>
    <d v="2024-04-09T00:00:00"/>
    <d v="2024-04-09T00:00:00"/>
    <x v="17"/>
    <x v="1"/>
    <x v="8"/>
    <s v="Lagos"/>
    <x v="4"/>
    <x v="2"/>
    <x v="12"/>
    <x v="4"/>
    <x v="252"/>
    <n v="395.07"/>
    <n v="970.27"/>
    <n v="0.123"/>
    <b v="0"/>
    <n v="38"/>
    <n v="32335.21802"/>
    <n v="15012.66"/>
    <n v="17322.55802"/>
    <n v="0.53571799049833657"/>
    <s v="Medium"/>
  </r>
  <r>
    <s v="ORD-2023-619385"/>
    <d v="2023-09-30T00:00:00"/>
    <s v="Sep-2023"/>
    <s v="Q3-2023"/>
    <d v="2023-10-03T00:00:00"/>
    <d v="2023-10-03T00:00:00"/>
    <x v="5"/>
    <x v="3"/>
    <x v="10"/>
    <s v="Beijing"/>
    <x v="4"/>
    <x v="0"/>
    <x v="3"/>
    <x v="5"/>
    <x v="253"/>
    <n v="1019.36"/>
    <n v="972.91"/>
    <n v="0.14699999999999999"/>
    <b v="0"/>
    <n v="17"/>
    <n v="14108.16791"/>
    <n v="17329.12"/>
    <n v="-3220.9520899999989"/>
    <n v="-0.22830406545678819"/>
    <s v="Medium"/>
  </r>
  <r>
    <s v="ORD-2023-133848"/>
    <d v="2023-08-15T00:00:00"/>
    <s v="Aug-2023"/>
    <s v="Q3-2023"/>
    <d v="2023-09-07T00:00:00"/>
    <d v="2023-09-07T00:00:00"/>
    <x v="23"/>
    <x v="2"/>
    <x v="3"/>
    <s v="New York"/>
    <x v="3"/>
    <x v="4"/>
    <x v="12"/>
    <x v="3"/>
    <x v="254"/>
    <n v="590.33000000000004"/>
    <n v="973.04"/>
    <n v="0"/>
    <b v="0"/>
    <n v="26"/>
    <n v="25299.040000000001"/>
    <n v="15348.580000000002"/>
    <n v="9950.4599999999991"/>
    <n v="0.39331373838691108"/>
    <s v="Medium"/>
  </r>
  <r>
    <s v="ORD-2023-568013"/>
    <d v="2023-09-30T00:00:00"/>
    <s v="Sep-2023"/>
    <s v="Q3-2023"/>
    <d v="2023-10-30T00:00:00"/>
    <d v="2023-10-30T00:00:00"/>
    <x v="0"/>
    <x v="3"/>
    <x v="7"/>
    <s v="Tokyo"/>
    <x v="3"/>
    <x v="4"/>
    <x v="0"/>
    <x v="6"/>
    <x v="255"/>
    <n v="649.13"/>
    <n v="975.43"/>
    <n v="0.157"/>
    <b v="0"/>
    <n v="27"/>
    <n v="22201.762229999997"/>
    <n v="17526.509999999998"/>
    <n v="4675.2522299999982"/>
    <n v="0.21058023149543473"/>
    <s v="Medium"/>
  </r>
  <r>
    <s v="ORD-2024-728474"/>
    <d v="2024-09-09T00:00:00"/>
    <s v="Sep-2024"/>
    <s v="Q3-2024"/>
    <d v="2024-09-13T00:00:00"/>
    <d v="2024-09-13T00:00:00"/>
    <x v="17"/>
    <x v="0"/>
    <x v="0"/>
    <s v="London"/>
    <x v="2"/>
    <x v="1"/>
    <x v="6"/>
    <x v="1"/>
    <x v="256"/>
    <n v="1133.08"/>
    <n v="976.17"/>
    <n v="4.2000000000000003E-2"/>
    <b v="0"/>
    <n v="27"/>
    <n v="25249.613219999999"/>
    <n v="30593.159999999996"/>
    <n v="-5343.5467799999969"/>
    <n v="-0.21162885678452373"/>
    <s v="Medium"/>
  </r>
  <r>
    <s v="ORD-2025-765220"/>
    <d v="2025-04-06T00:00:00"/>
    <s v="Apr-2025"/>
    <s v="Q2-2025"/>
    <d v="2025-04-30T00:00:00"/>
    <d v="2025-04-30T00:00:00"/>
    <x v="30"/>
    <x v="2"/>
    <x v="5"/>
    <s v="Brasília"/>
    <x v="5"/>
    <x v="4"/>
    <x v="12"/>
    <x v="0"/>
    <x v="257"/>
    <n v="855.78"/>
    <n v="977.38"/>
    <n v="0.14699999999999999"/>
    <b v="0"/>
    <n v="38"/>
    <n v="31680.795320000001"/>
    <n v="32519.64"/>
    <n v="-838.84467999999833"/>
    <n v="-2.6478018355506307E-2"/>
    <s v="Medium"/>
  </r>
  <r>
    <s v="ORD-2023-249805"/>
    <d v="2023-12-22T00:00:00"/>
    <s v="Dec-2023"/>
    <s v="Q4-2023"/>
    <d v="2024-01-16T00:00:00"/>
    <d v="2024-01-16T00:00:00"/>
    <x v="1"/>
    <x v="3"/>
    <x v="9"/>
    <s v="Hyderabad"/>
    <x v="1"/>
    <x v="0"/>
    <x v="13"/>
    <x v="4"/>
    <x v="258"/>
    <n v="1346.81"/>
    <n v="978.09"/>
    <n v="0.159"/>
    <b v="0"/>
    <n v="17"/>
    <n v="13983.752729999998"/>
    <n v="22895.77"/>
    <n v="-8912.0172700000021"/>
    <n v="-0.6373122753293996"/>
    <s v="Medium"/>
  </r>
  <r>
    <s v="ORD-2024-468615"/>
    <d v="2024-07-09T00:00:00"/>
    <s v="Jul-2024"/>
    <s v="Q3-2024"/>
    <d v="2024-07-12T00:00:00"/>
    <d v="2024-07-12T00:00:00"/>
    <x v="5"/>
    <x v="3"/>
    <x v="10"/>
    <s v="Shanghai"/>
    <x v="1"/>
    <x v="0"/>
    <x v="0"/>
    <x v="2"/>
    <x v="259"/>
    <n v="748.39"/>
    <n v="979.42"/>
    <n v="0"/>
    <b v="0"/>
    <n v="23"/>
    <n v="22526.66"/>
    <n v="17212.97"/>
    <n v="5313.6899999999987"/>
    <n v="0.23588450307324738"/>
    <s v="Medium"/>
  </r>
  <r>
    <s v="ORD-2025-278048"/>
    <d v="2025-06-22T00:00:00"/>
    <s v="Jun-2025"/>
    <s v="Q2-2025"/>
    <d v="2025-07-08T00:00:00"/>
    <d v="2025-07-08T00:00:00"/>
    <x v="29"/>
    <x v="0"/>
    <x v="0"/>
    <s v="London"/>
    <x v="5"/>
    <x v="2"/>
    <x v="13"/>
    <x v="3"/>
    <x v="260"/>
    <n v="892.73"/>
    <n v="979.84"/>
    <n v="0.17399999999999999"/>
    <b v="0"/>
    <n v="10"/>
    <n v="8093.4784"/>
    <n v="8927.2999999999993"/>
    <n v="-833.82159999999931"/>
    <n v="-0.10302388649112838"/>
    <s v="Medium"/>
  </r>
  <r>
    <s v="ORD-2024-837651"/>
    <d v="2024-12-10T00:00:00"/>
    <s v="Dec-2024"/>
    <s v="Q4-2024"/>
    <d v="2024-12-19T00:00:00"/>
    <d v="2024-12-19T00:00:00"/>
    <x v="2"/>
    <x v="1"/>
    <x v="8"/>
    <s v="Lagos"/>
    <x v="0"/>
    <x v="0"/>
    <x v="11"/>
    <x v="0"/>
    <x v="261"/>
    <n v="488.68"/>
    <n v="984.36"/>
    <n v="5.8999999999999997E-2"/>
    <b v="0"/>
    <n v="14"/>
    <n v="12967.958640000001"/>
    <n v="6841.52"/>
    <n v="6126.4386400000003"/>
    <n v="0.47242891576649876"/>
    <s v="Medium"/>
  </r>
  <r>
    <s v="ORD-2025-635337"/>
    <d v="2025-08-05T00:00:00"/>
    <s v="Aug-2025"/>
    <s v="Q3-2025"/>
    <d v="2025-08-28T00:00:00"/>
    <d v="2025-08-28T00:00:00"/>
    <x v="23"/>
    <x v="3"/>
    <x v="9"/>
    <s v="Mumbai"/>
    <x v="4"/>
    <x v="3"/>
    <x v="9"/>
    <x v="5"/>
    <x v="262"/>
    <n v="638.54"/>
    <n v="987.24"/>
    <n v="0"/>
    <b v="0"/>
    <n v="11"/>
    <n v="10859.64"/>
    <n v="7023.94"/>
    <n v="3835.7"/>
    <n v="0.35320692030306716"/>
    <s v="Medium"/>
  </r>
  <r>
    <s v="ORD-2023-369150"/>
    <d v="2023-07-18T00:00:00"/>
    <s v="Jul-2023"/>
    <s v="Q3-2023"/>
    <d v="2023-08-10T00:00:00"/>
    <d v="2023-08-10T00:00:00"/>
    <x v="23"/>
    <x v="1"/>
    <x v="4"/>
    <s v="Johannesburg"/>
    <x v="1"/>
    <x v="0"/>
    <x v="5"/>
    <x v="4"/>
    <x v="263"/>
    <n v="1271.56"/>
    <n v="995.47"/>
    <n v="0.192"/>
    <b v="0"/>
    <n v="13"/>
    <n v="10456.416880000001"/>
    <n v="16530.28"/>
    <n v="-6073.8631199999982"/>
    <n v="-0.58087423155607754"/>
    <s v="Medium"/>
  </r>
  <r>
    <s v="ORD-2024-389336"/>
    <d v="2024-05-20T00:00:00"/>
    <s v="May-2024"/>
    <s v="Q2-2024"/>
    <d v="2024-06-02T00:00:00"/>
    <d v="2024-06-02T00:00:00"/>
    <x v="6"/>
    <x v="2"/>
    <x v="11"/>
    <s v="Vancouver"/>
    <x v="3"/>
    <x v="1"/>
    <x v="12"/>
    <x v="4"/>
    <x v="264"/>
    <n v="675.43"/>
    <n v="996.36"/>
    <n v="0.182"/>
    <b v="0"/>
    <n v="22"/>
    <n v="17930.494560000003"/>
    <n v="14859.46"/>
    <n v="3071.0345600000037"/>
    <n v="0.17127439233332575"/>
    <s v="Medium"/>
  </r>
  <r>
    <s v="ORD-2023-868460"/>
    <d v="2023-06-01T00:00:00"/>
    <s v="Jun-2023"/>
    <s v="Q2-2023"/>
    <d v="2023-06-01T00:00:00"/>
    <d v="2023-06-01T00:00:00"/>
    <x v="15"/>
    <x v="3"/>
    <x v="9"/>
    <s v="Bengaluru"/>
    <x v="0"/>
    <x v="0"/>
    <x v="10"/>
    <x v="2"/>
    <x v="265"/>
    <n v="669.37"/>
    <n v="997.2"/>
    <n v="8.2000000000000003E-2"/>
    <b v="0"/>
    <n v="5"/>
    <n v="4577.1480000000001"/>
    <n v="3346.85"/>
    <n v="1230.2980000000002"/>
    <n v="0.26879139586484863"/>
    <s v="Medium"/>
  </r>
  <r>
    <s v="ORD-2023-309373"/>
    <d v="2023-07-05T00:00:00"/>
    <s v="Jul-2023"/>
    <s v="Q3-2023"/>
    <d v="2023-07-14T00:00:00"/>
    <d v="2023-07-14T00:00:00"/>
    <x v="2"/>
    <x v="2"/>
    <x v="5"/>
    <s v="Brasília"/>
    <x v="3"/>
    <x v="2"/>
    <x v="4"/>
    <x v="1"/>
    <x v="266"/>
    <n v="578.85"/>
    <n v="998.76"/>
    <n v="8.2000000000000003E-2"/>
    <b v="0"/>
    <n v="28"/>
    <n v="25672.127039999999"/>
    <n v="16207.800000000001"/>
    <n v="9464.3270399999983"/>
    <n v="0.36866158480960831"/>
    <s v="Medium"/>
  </r>
  <r>
    <s v="ORD-2025-947929"/>
    <d v="2025-03-23T00:00:00"/>
    <s v="Mar-2025"/>
    <s v="Q1-2025"/>
    <d v="2025-04-02T00:00:00"/>
    <d v="2025-04-02T00:00:00"/>
    <x v="3"/>
    <x v="0"/>
    <x v="6"/>
    <s v="Berlin"/>
    <x v="3"/>
    <x v="4"/>
    <x v="10"/>
    <x v="6"/>
    <x v="267"/>
    <n v="663.61"/>
    <n v="1002.11"/>
    <n v="4.5999999999999999E-2"/>
    <b v="0"/>
    <n v="17"/>
    <n v="16252.219979999998"/>
    <n v="11281.37"/>
    <n v="4970.8499799999972"/>
    <n v="0.30585667595670812"/>
    <s v="Medium"/>
  </r>
  <r>
    <s v="ORD-2023-521818"/>
    <d v="2023-01-22T00:00:00"/>
    <s v="Jan-2023"/>
    <s v="Q1-2023"/>
    <d v="2023-01-30T00:00:00"/>
    <d v="2023-01-30T00:00:00"/>
    <x v="16"/>
    <x v="2"/>
    <x v="3"/>
    <s v="San Francisco"/>
    <x v="1"/>
    <x v="4"/>
    <x v="13"/>
    <x v="1"/>
    <x v="268"/>
    <n v="413.52"/>
    <n v="1004.34"/>
    <n v="0.111"/>
    <b v="0"/>
    <n v="18"/>
    <n v="16071.44868"/>
    <n v="7443.36"/>
    <n v="8628.0886800000007"/>
    <n v="0.53685817948304593"/>
    <s v="Medium"/>
  </r>
  <r>
    <s v="ORD-2024-320972"/>
    <d v="2024-11-08T00:00:00"/>
    <s v="Nov-2024"/>
    <s v="Q4-2024"/>
    <d v="2024-11-08T00:00:00"/>
    <d v="2024-11-08T00:00:00"/>
    <x v="15"/>
    <x v="1"/>
    <x v="1"/>
    <s v="Nakuru"/>
    <x v="3"/>
    <x v="1"/>
    <x v="7"/>
    <x v="1"/>
    <x v="269"/>
    <n v="803.28"/>
    <n v="1009"/>
    <n v="0.11"/>
    <b v="0"/>
    <n v="4"/>
    <n v="3592.04"/>
    <n v="3213.12"/>
    <n v="378.92000000000007"/>
    <n v="0.10548880302001093"/>
    <s v="Medium"/>
  </r>
  <r>
    <s v="ORD-2024-756884"/>
    <d v="2024-10-13T00:00:00"/>
    <s v="Oct-2024"/>
    <s v="Q4-2024"/>
    <d v="2024-10-24T00:00:00"/>
    <d v="2024-10-24T00:00:00"/>
    <x v="10"/>
    <x v="0"/>
    <x v="2"/>
    <s v="Paris"/>
    <x v="5"/>
    <x v="3"/>
    <x v="6"/>
    <x v="4"/>
    <x v="270"/>
    <n v="816.7"/>
    <n v="1010.75"/>
    <n v="4.7E-2"/>
    <b v="0"/>
    <n v="43"/>
    <n v="41419.524249999995"/>
    <n v="35118.1"/>
    <n v="6301.4242499999964"/>
    <n v="0.15213656757537472"/>
    <s v="Medium"/>
  </r>
  <r>
    <s v="ORD-2024-664046"/>
    <d v="2024-09-02T00:00:00"/>
    <s v="Sep-2024"/>
    <s v="Q3-2024"/>
    <d v="2024-09-08T00:00:00"/>
    <d v="2024-09-08T00:00:00"/>
    <x v="18"/>
    <x v="2"/>
    <x v="3"/>
    <s v="Austin"/>
    <x v="2"/>
    <x v="2"/>
    <x v="2"/>
    <x v="4"/>
    <x v="271"/>
    <n v="462.94"/>
    <n v="1015.7"/>
    <n v="0.14299999999999999"/>
    <b v="0"/>
    <n v="14"/>
    <n v="12186.368600000002"/>
    <n v="6481.16"/>
    <n v="5705.2086000000018"/>
    <n v="0.46816314090483041"/>
    <s v="Medium"/>
  </r>
  <r>
    <s v="ORD-2024-909942"/>
    <d v="2024-06-09T00:00:00"/>
    <s v="Jun-2024"/>
    <s v="Q2-2024"/>
    <d v="2024-07-07T00:00:00"/>
    <d v="2024-07-07T00:00:00"/>
    <x v="27"/>
    <x v="3"/>
    <x v="10"/>
    <s v="Shenzhen"/>
    <x v="0"/>
    <x v="4"/>
    <x v="3"/>
    <x v="4"/>
    <x v="272"/>
    <n v="550.22"/>
    <n v="1025.05"/>
    <n v="0"/>
    <b v="0"/>
    <n v="27"/>
    <n v="27676.35"/>
    <n v="14855.94"/>
    <n v="12820.409999999998"/>
    <n v="0.46322618408858102"/>
    <s v="Medium"/>
  </r>
  <r>
    <s v="ORD-2025-650719"/>
    <d v="2025-02-12T00:00:00"/>
    <s v="Feb-2025"/>
    <s v="Q1-2025"/>
    <d v="2025-02-28T00:00:00"/>
    <d v="2025-02-28T00:00:00"/>
    <x v="29"/>
    <x v="2"/>
    <x v="5"/>
    <s v="São Paulo"/>
    <x v="4"/>
    <x v="2"/>
    <x v="4"/>
    <x v="0"/>
    <x v="273"/>
    <n v="414.95"/>
    <n v="1027.73"/>
    <n v="6.3E-2"/>
    <b v="0"/>
    <n v="8"/>
    <n v="7703.8640800000003"/>
    <n v="3319.6"/>
    <n v="4384.2640800000008"/>
    <n v="0.56909935513815568"/>
    <s v="Medium"/>
  </r>
  <r>
    <s v="ORD-2024-510520"/>
    <d v="2024-09-25T00:00:00"/>
    <s v="Sep-2024"/>
    <s v="Q3-2024"/>
    <d v="2024-10-03T00:00:00"/>
    <d v="2024-10-03T00:00:00"/>
    <x v="16"/>
    <x v="2"/>
    <x v="11"/>
    <s v="Toronto"/>
    <x v="2"/>
    <x v="4"/>
    <x v="10"/>
    <x v="6"/>
    <x v="274"/>
    <n v="558.19000000000005"/>
    <n v="1031.6400000000001"/>
    <n v="0"/>
    <b v="0"/>
    <n v="21"/>
    <n v="21664.440000000002"/>
    <n v="11721.990000000002"/>
    <n v="9942.4500000000007"/>
    <n v="0.45892947152107322"/>
    <s v="Medium"/>
  </r>
  <r>
    <s v="ORD-2025-636162"/>
    <d v="2025-01-07T00:00:00"/>
    <s v="Jan-2025"/>
    <s v="Q1-2025"/>
    <d v="2025-01-20T00:00:00"/>
    <d v="2025-01-20T00:00:00"/>
    <x v="6"/>
    <x v="1"/>
    <x v="4"/>
    <s v="Cape Town"/>
    <x v="0"/>
    <x v="2"/>
    <x v="12"/>
    <x v="1"/>
    <x v="275"/>
    <n v="432.13"/>
    <n v="1034.6600000000001"/>
    <n v="9.1999999999999998E-2"/>
    <b v="0"/>
    <n v="7"/>
    <n v="6576.298960000001"/>
    <n v="3024.91"/>
    <n v="3551.3889600000011"/>
    <n v="0.54002851476204794"/>
    <s v="Medium"/>
  </r>
  <r>
    <s v="ORD-2024-206081"/>
    <d v="2024-12-10T00:00:00"/>
    <s v="Dec-2024"/>
    <s v="Q4-2024"/>
    <d v="2025-01-08T00:00:00"/>
    <d v="2025-01-08T00:00:00"/>
    <x v="12"/>
    <x v="0"/>
    <x v="2"/>
    <s v="Marseille"/>
    <x v="1"/>
    <x v="0"/>
    <x v="12"/>
    <x v="6"/>
    <x v="276"/>
    <n v="891.08"/>
    <n v="1040.0999999999999"/>
    <n v="0.109"/>
    <b v="0"/>
    <n v="28"/>
    <n v="25948.414799999995"/>
    <n v="24950.240000000002"/>
    <n v="998.17479999999341"/>
    <n v="3.8467660074556598E-2"/>
    <s v="Medium"/>
  </r>
  <r>
    <s v="ORD-2024-566589"/>
    <d v="2024-06-11T00:00:00"/>
    <s v="Jun-2024"/>
    <s v="Q2-2024"/>
    <d v="2024-07-09T00:00:00"/>
    <d v="2024-07-09T00:00:00"/>
    <x v="27"/>
    <x v="1"/>
    <x v="8"/>
    <s v="Port Harcourt"/>
    <x v="0"/>
    <x v="1"/>
    <x v="1"/>
    <x v="3"/>
    <x v="277"/>
    <n v="895.54"/>
    <n v="1045"/>
    <n v="0.216"/>
    <b v="0"/>
    <n v="15"/>
    <n v="12289.2"/>
    <n v="13433.099999999999"/>
    <n v="-1143.8999999999978"/>
    <n v="-9.3081730299775234E-2"/>
    <s v="Medium"/>
  </r>
  <r>
    <s v="ORD-2024-419248"/>
    <d v="2024-03-04T00:00:00"/>
    <s v="Mar-2024"/>
    <s v="Q1-2024"/>
    <d v="2024-03-16T00:00:00"/>
    <d v="2024-03-16T00:00:00"/>
    <x v="22"/>
    <x v="1"/>
    <x v="4"/>
    <s v="Johannesburg"/>
    <x v="3"/>
    <x v="3"/>
    <x v="7"/>
    <x v="0"/>
    <x v="278"/>
    <n v="441.08"/>
    <n v="1054.29"/>
    <n v="0.23699999999999999"/>
    <b v="0"/>
    <n v="6"/>
    <n v="4826.5396199999996"/>
    <n v="2646.48"/>
    <n v="2180.0596199999995"/>
    <n v="0.45168169985932899"/>
    <s v="Medium"/>
  </r>
  <r>
    <s v="ORD-2024-532184"/>
    <d v="2024-01-25T00:00:00"/>
    <s v="Jan-2024"/>
    <s v="Q1-2024"/>
    <d v="2024-02-08T00:00:00"/>
    <d v="2024-02-08T00:00:00"/>
    <x v="7"/>
    <x v="3"/>
    <x v="7"/>
    <s v="Osaka"/>
    <x v="2"/>
    <x v="1"/>
    <x v="1"/>
    <x v="1"/>
    <x v="279"/>
    <n v="937.16"/>
    <n v="1069.77"/>
    <n v="3.7999999999999999E-2"/>
    <b v="0"/>
    <n v="9"/>
    <n v="9262.0686600000008"/>
    <n v="8434.44"/>
    <n v="827.62866000000031"/>
    <n v="8.9356783066645962E-2"/>
    <s v="Medium"/>
  </r>
  <r>
    <s v="ORD-2023-349264"/>
    <d v="2023-06-01T00:00:00"/>
    <s v="Jun-2023"/>
    <s v="Q2-2023"/>
    <d v="2023-06-08T00:00:00"/>
    <d v="2023-06-08T00:00:00"/>
    <x v="11"/>
    <x v="0"/>
    <x v="6"/>
    <s v="Frankfurt"/>
    <x v="2"/>
    <x v="4"/>
    <x v="13"/>
    <x v="3"/>
    <x v="280"/>
    <n v="804.17"/>
    <n v="1072.29"/>
    <n v="3.2000000000000001E-2"/>
    <b v="0"/>
    <n v="5"/>
    <n v="5189.8836000000001"/>
    <n v="4020.85"/>
    <n v="1169.0336000000002"/>
    <n v="0.2252523736755869"/>
    <s v="Medium"/>
  </r>
  <r>
    <s v="ORD-2025-487025"/>
    <d v="2025-04-11T00:00:00"/>
    <s v="Apr-2025"/>
    <s v="Q2-2025"/>
    <d v="2025-05-04T00:00:00"/>
    <d v="2025-05-04T00:00:00"/>
    <x v="23"/>
    <x v="3"/>
    <x v="7"/>
    <s v="Osaka"/>
    <x v="1"/>
    <x v="4"/>
    <x v="7"/>
    <x v="4"/>
    <x v="281"/>
    <n v="786.2"/>
    <n v="1075.3"/>
    <n v="0.08"/>
    <b v="0"/>
    <n v="9"/>
    <n v="8903.4839999999986"/>
    <n v="7075.8"/>
    <n v="1827.6839999999984"/>
    <n v="0.20527739478163815"/>
    <s v="Medium"/>
  </r>
  <r>
    <s v="ORD-2025-150713"/>
    <d v="2025-07-11T00:00:00"/>
    <s v="Jul-2025"/>
    <s v="Q3-2025"/>
    <d v="2025-07-16T00:00:00"/>
    <d v="2025-07-16T00:00:00"/>
    <x v="28"/>
    <x v="0"/>
    <x v="0"/>
    <s v="London"/>
    <x v="3"/>
    <x v="4"/>
    <x v="12"/>
    <x v="6"/>
    <x v="282"/>
    <n v="930.03"/>
    <n v="1086.68"/>
    <n v="0.109"/>
    <b v="0"/>
    <n v="26"/>
    <n v="25174.028880000002"/>
    <n v="24180.78"/>
    <n v="993.24888000000283"/>
    <n v="3.9455300728168656E-2"/>
    <s v="Medium"/>
  </r>
  <r>
    <s v="ORD-2023-501220"/>
    <d v="2023-04-19T00:00:00"/>
    <s v="Apr-2023"/>
    <s v="Q2-2023"/>
    <d v="2023-05-07T00:00:00"/>
    <d v="2023-05-07T00:00:00"/>
    <x v="8"/>
    <x v="0"/>
    <x v="0"/>
    <s v="Birmingham"/>
    <x v="3"/>
    <x v="0"/>
    <x v="9"/>
    <x v="5"/>
    <x v="283"/>
    <n v="1089.1500000000001"/>
    <n v="1088.2"/>
    <n v="5.0999999999999997E-2"/>
    <b v="0"/>
    <n v="15"/>
    <n v="15490.527"/>
    <n v="16337.250000000002"/>
    <n v="-846.72300000000178"/>
    <n v="-5.4660696824582002E-2"/>
    <s v="Medium"/>
  </r>
  <r>
    <s v="ORD-2025-725646"/>
    <d v="2025-09-10T00:00:00"/>
    <s v="Sep-2025"/>
    <s v="Q3-2025"/>
    <d v="2025-09-30T00:00:00"/>
    <d v="2025-09-30T00:00:00"/>
    <x v="14"/>
    <x v="1"/>
    <x v="1"/>
    <s v="Mombasa"/>
    <x v="0"/>
    <x v="2"/>
    <x v="5"/>
    <x v="3"/>
    <x v="284"/>
    <n v="1009.48"/>
    <n v="1088.81"/>
    <n v="0.16"/>
    <b v="0"/>
    <n v="6"/>
    <n v="5487.6023999999998"/>
    <n v="6056.88"/>
    <n v="-569.27760000000035"/>
    <n v="-0.10373885688219693"/>
    <s v="Medium"/>
  </r>
  <r>
    <s v="ORD-2023-212701"/>
    <d v="2023-12-02T00:00:00"/>
    <s v="Dec-2023"/>
    <s v="Q4-2023"/>
    <d v="2023-12-16T00:00:00"/>
    <d v="2023-12-16T00:00:00"/>
    <x v="7"/>
    <x v="0"/>
    <x v="6"/>
    <s v="Frankfurt"/>
    <x v="5"/>
    <x v="2"/>
    <x v="9"/>
    <x v="0"/>
    <x v="285"/>
    <n v="879.08"/>
    <n v="1093.3900000000001"/>
    <n v="0.113"/>
    <b v="0"/>
    <n v="17"/>
    <n v="16487.22781"/>
    <n v="14944.36"/>
    <n v="1542.8678099999997"/>
    <n v="9.3579577341935186E-2"/>
    <s v="Medium"/>
  </r>
  <r>
    <s v="ORD-2025-983096"/>
    <d v="2025-05-17T00:00:00"/>
    <s v="May-2025"/>
    <s v="Q2-2025"/>
    <d v="2025-05-28T00:00:00"/>
    <d v="2025-05-28T00:00:00"/>
    <x v="10"/>
    <x v="3"/>
    <x v="9"/>
    <s v="Bengaluru"/>
    <x v="0"/>
    <x v="3"/>
    <x v="4"/>
    <x v="5"/>
    <x v="286"/>
    <n v="623.4"/>
    <n v="1100.0899999999999"/>
    <n v="0.114"/>
    <b v="0"/>
    <n v="12"/>
    <n v="11696.156879999999"/>
    <n v="7480.7999999999993"/>
    <n v="4215.3568799999994"/>
    <n v="0.36040529579490388"/>
    <s v="Medium"/>
  </r>
  <r>
    <s v="ORD-2024-202877"/>
    <d v="2024-07-13T00:00:00"/>
    <s v="Jul-2024"/>
    <s v="Q3-2024"/>
    <d v="2024-08-03T00:00:00"/>
    <d v="2024-08-03T00:00:00"/>
    <x v="20"/>
    <x v="2"/>
    <x v="5"/>
    <s v="Rio de Janeiro"/>
    <x v="0"/>
    <x v="1"/>
    <x v="7"/>
    <x v="0"/>
    <x v="287"/>
    <n v="702.98"/>
    <n v="1104.8"/>
    <n v="0.17499999999999999"/>
    <b v="0"/>
    <n v="12"/>
    <n v="10937.519999999999"/>
    <n v="8435.76"/>
    <n v="2501.7599999999984"/>
    <n v="0.22873192460448061"/>
    <s v="Medium"/>
  </r>
  <r>
    <s v="ORD-2023-722117"/>
    <d v="2023-09-18T00:00:00"/>
    <s v="Sep-2023"/>
    <s v="Q3-2023"/>
    <d v="2023-10-08T00:00:00"/>
    <d v="2023-10-08T00:00:00"/>
    <x v="14"/>
    <x v="3"/>
    <x v="9"/>
    <s v="Delhi"/>
    <x v="1"/>
    <x v="2"/>
    <x v="4"/>
    <x v="4"/>
    <x v="288"/>
    <n v="825.64"/>
    <n v="1108.43"/>
    <n v="0.114"/>
    <b v="0"/>
    <n v="7"/>
    <n v="6874.4828600000001"/>
    <n v="5779.48"/>
    <n v="1095.0028600000005"/>
    <n v="0.15928512475773349"/>
    <s v="Medium"/>
  </r>
  <r>
    <s v="ORD-2024-604471"/>
    <d v="2024-01-21T00:00:00"/>
    <s v="Jan-2024"/>
    <s v="Q1-2024"/>
    <d v="2024-01-25T00:00:00"/>
    <d v="2024-01-25T00:00:00"/>
    <x v="17"/>
    <x v="3"/>
    <x v="9"/>
    <s v="Delhi"/>
    <x v="2"/>
    <x v="2"/>
    <x v="8"/>
    <x v="0"/>
    <x v="289"/>
    <n v="523.70000000000005"/>
    <n v="1109.92"/>
    <n v="0.03"/>
    <b v="0"/>
    <n v="11"/>
    <n v="11842.8464"/>
    <n v="5760.7000000000007"/>
    <n v="6082.1463999999996"/>
    <n v="0.51357133197302973"/>
    <s v="Medium"/>
  </r>
  <r>
    <s v="ORD-2023-173313"/>
    <d v="2023-06-15T00:00:00"/>
    <s v="Jun-2023"/>
    <s v="Q2-2023"/>
    <d v="2023-07-12T00:00:00"/>
    <d v="2023-07-12T00:00:00"/>
    <x v="4"/>
    <x v="0"/>
    <x v="0"/>
    <s v="Manchester"/>
    <x v="2"/>
    <x v="2"/>
    <x v="1"/>
    <x v="2"/>
    <x v="290"/>
    <n v="751.28"/>
    <n v="1111.8800000000001"/>
    <n v="0.13500000000000001"/>
    <b v="0"/>
    <n v="7"/>
    <n v="6732.4334000000008"/>
    <n v="5258.96"/>
    <n v="1473.4734000000008"/>
    <n v="0.21886193482433863"/>
    <s v="Medium"/>
  </r>
  <r>
    <s v="ORD-2024-689872"/>
    <d v="2024-08-03T00:00:00"/>
    <s v="Aug-2024"/>
    <s v="Q3-2024"/>
    <d v="2024-08-09T00:00:00"/>
    <d v="2024-08-09T00:00:00"/>
    <x v="18"/>
    <x v="1"/>
    <x v="1"/>
    <s v="Mombasa"/>
    <x v="2"/>
    <x v="1"/>
    <x v="2"/>
    <x v="5"/>
    <x v="291"/>
    <n v="643.21"/>
    <n v="1112.81"/>
    <n v="0.14099999999999999"/>
    <b v="0"/>
    <n v="4"/>
    <n v="3823.6151599999998"/>
    <n v="2572.84"/>
    <n v="1250.7751599999997"/>
    <n v="0.32711847496702562"/>
    <s v="Medium"/>
  </r>
  <r>
    <s v="ORD-2025-822030"/>
    <d v="2025-08-07T00:00:00"/>
    <s v="Aug-2025"/>
    <s v="Q3-2025"/>
    <d v="2025-09-06T00:00:00"/>
    <d v="2025-09-06T00:00:00"/>
    <x v="0"/>
    <x v="2"/>
    <x v="11"/>
    <s v="Montreal"/>
    <x v="5"/>
    <x v="2"/>
    <x v="7"/>
    <x v="1"/>
    <x v="292"/>
    <n v="833.73"/>
    <n v="1116.5999999999999"/>
    <n v="0.17599999999999999"/>
    <b v="0"/>
    <n v="14"/>
    <n v="12881.097599999999"/>
    <n v="11672.220000000001"/>
    <n v="1208.877599999998"/>
    <n v="9.3848958958279924E-2"/>
    <s v="Medium"/>
  </r>
  <r>
    <s v="ORD-2024-343877"/>
    <d v="2024-03-09T00:00:00"/>
    <s v="Mar-2024"/>
    <s v="Q1-2024"/>
    <d v="2024-03-26T00:00:00"/>
    <d v="2024-03-26T00:00:00"/>
    <x v="25"/>
    <x v="3"/>
    <x v="10"/>
    <s v="Shenzhen"/>
    <x v="3"/>
    <x v="4"/>
    <x v="12"/>
    <x v="0"/>
    <x v="293"/>
    <n v="1029.67"/>
    <n v="1118.43"/>
    <n v="0.27200000000000002"/>
    <b v="0"/>
    <n v="9"/>
    <n v="7327.9533600000004"/>
    <n v="9267.0300000000007"/>
    <n v="-1939.0766400000002"/>
    <n v="-0.26461367106736061"/>
    <s v="Medium"/>
  </r>
  <r>
    <s v="ORD-2024-626750"/>
    <d v="2024-08-12T00:00:00"/>
    <s v="Aug-2024"/>
    <s v="Q3-2024"/>
    <d v="2024-08-15T00:00:00"/>
    <d v="2024-08-15T00:00:00"/>
    <x v="5"/>
    <x v="2"/>
    <x v="3"/>
    <s v="Chicago"/>
    <x v="0"/>
    <x v="1"/>
    <x v="0"/>
    <x v="6"/>
    <x v="294"/>
    <n v="850.7"/>
    <n v="1118.56"/>
    <n v="0.18"/>
    <b v="0"/>
    <n v="19"/>
    <n v="17427.164800000002"/>
    <n v="16163.300000000001"/>
    <n v="1263.8648000000012"/>
    <n v="7.2522685962090688E-2"/>
    <s v="Medium"/>
  </r>
  <r>
    <s v="ORD-2025-246692"/>
    <d v="2025-04-17T00:00:00"/>
    <s v="Apr-2025"/>
    <s v="Q2-2025"/>
    <d v="2025-04-17T00:00:00"/>
    <d v="2025-04-17T00:00:00"/>
    <x v="15"/>
    <x v="2"/>
    <x v="5"/>
    <s v="São Paulo"/>
    <x v="0"/>
    <x v="3"/>
    <x v="5"/>
    <x v="3"/>
    <x v="295"/>
    <n v="719.41"/>
    <n v="1125.99"/>
    <n v="4.1000000000000002E-2"/>
    <b v="0"/>
    <n v="21"/>
    <n v="22676.312610000001"/>
    <n v="15107.609999999999"/>
    <n v="7568.7026100000021"/>
    <n v="0.33377131194876403"/>
    <s v="Medium"/>
  </r>
  <r>
    <s v="ORD-2025-820255"/>
    <d v="2025-05-29T00:00:00"/>
    <s v="May-2025"/>
    <s v="Q2-2025"/>
    <d v="2025-06-20T00:00:00"/>
    <d v="2025-06-20T00:00:00"/>
    <x v="13"/>
    <x v="0"/>
    <x v="6"/>
    <s v="Berlin"/>
    <x v="0"/>
    <x v="2"/>
    <x v="13"/>
    <x v="6"/>
    <x v="296"/>
    <n v="483.47"/>
    <n v="1135.43"/>
    <n v="0.14599999999999999"/>
    <b v="0"/>
    <n v="11"/>
    <n v="10666.229420000001"/>
    <n v="5318.17"/>
    <n v="5348.0594200000014"/>
    <n v="0.50140112399719983"/>
    <s v="Medium"/>
  </r>
  <r>
    <s v="ORD-2023-453699"/>
    <d v="2023-07-01T00:00:00"/>
    <s v="Jul-2023"/>
    <s v="Q3-2023"/>
    <d v="2023-07-08T00:00:00"/>
    <d v="2023-07-08T00:00:00"/>
    <x v="11"/>
    <x v="0"/>
    <x v="6"/>
    <s v="Frankfurt"/>
    <x v="1"/>
    <x v="3"/>
    <x v="9"/>
    <x v="5"/>
    <x v="297"/>
    <n v="460.21"/>
    <n v="1139.1500000000001"/>
    <n v="0.115"/>
    <b v="0"/>
    <n v="14"/>
    <n v="14114.068500000001"/>
    <n v="6442.94"/>
    <n v="7671.1285000000016"/>
    <n v="0.54350937151821255"/>
    <s v="Medium"/>
  </r>
  <r>
    <s v="ORD-2023-239789"/>
    <d v="2023-12-03T00:00:00"/>
    <s v="Dec-2023"/>
    <s v="Q4-2023"/>
    <d v="2023-12-26T00:00:00"/>
    <d v="2023-12-26T00:00:00"/>
    <x v="23"/>
    <x v="2"/>
    <x v="5"/>
    <s v="Rio de Janeiro"/>
    <x v="5"/>
    <x v="0"/>
    <x v="11"/>
    <x v="3"/>
    <x v="298"/>
    <n v="1303.1099999999999"/>
    <n v="1145.67"/>
    <n v="0.184"/>
    <b v="0"/>
    <n v="13"/>
    <n v="12153.267360000002"/>
    <n v="16940.43"/>
    <n v="-4787.1626399999986"/>
    <n v="-0.39389922875851208"/>
    <s v="Medium"/>
  </r>
  <r>
    <s v="ORD-2023-406606"/>
    <d v="2023-10-25T00:00:00"/>
    <s v="Oct-2023"/>
    <s v="Q4-2023"/>
    <d v="2023-10-28T00:00:00"/>
    <d v="2023-10-28T00:00:00"/>
    <x v="5"/>
    <x v="2"/>
    <x v="5"/>
    <s v="Brasília"/>
    <x v="0"/>
    <x v="3"/>
    <x v="5"/>
    <x v="2"/>
    <x v="299"/>
    <n v="509.31"/>
    <n v="1145.9000000000001"/>
    <n v="5.7000000000000002E-2"/>
    <b v="0"/>
    <n v="8"/>
    <n v="8644.6696000000011"/>
    <n v="4074.48"/>
    <n v="4570.1896000000015"/>
    <n v="0.52867140231709964"/>
    <s v="Medium"/>
  </r>
  <r>
    <s v="ORD-2023-181257"/>
    <d v="2023-11-15T00:00:00"/>
    <s v="Nov-2023"/>
    <s v="Q4-2023"/>
    <d v="2023-12-06T00:00:00"/>
    <d v="2023-12-06T00:00:00"/>
    <x v="20"/>
    <x v="0"/>
    <x v="0"/>
    <s v="Manchester"/>
    <x v="5"/>
    <x v="2"/>
    <x v="2"/>
    <x v="2"/>
    <x v="300"/>
    <n v="1184.99"/>
    <n v="1154.3399999999999"/>
    <n v="2.8000000000000001E-2"/>
    <b v="0"/>
    <n v="5"/>
    <n v="5610.0923999999995"/>
    <n v="5924.95"/>
    <n v="-314.85760000000028"/>
    <n v="-5.6123424990290764E-2"/>
    <s v="Medium"/>
  </r>
  <r>
    <s v="ORD-2023-933238"/>
    <d v="2023-03-17T00:00:00"/>
    <s v="Mar-2023"/>
    <s v="Q1-2023"/>
    <d v="2023-04-06T00:00:00"/>
    <d v="2023-04-06T00:00:00"/>
    <x v="14"/>
    <x v="0"/>
    <x v="6"/>
    <s v="Munich"/>
    <x v="2"/>
    <x v="0"/>
    <x v="11"/>
    <x v="3"/>
    <x v="301"/>
    <n v="692.18"/>
    <n v="1159.3499999999999"/>
    <n v="0.112"/>
    <b v="0"/>
    <n v="2"/>
    <n v="2059.0056"/>
    <n v="1384.36"/>
    <n v="674.64560000000006"/>
    <n v="0.32765602968734037"/>
    <s v="Medium"/>
  </r>
  <r>
    <s v="ORD-2023-619570"/>
    <d v="2023-11-14T00:00:00"/>
    <s v="Nov-2023"/>
    <s v="Q4-2023"/>
    <d v="2023-11-30T00:00:00"/>
    <d v="2023-11-30T00:00:00"/>
    <x v="29"/>
    <x v="2"/>
    <x v="5"/>
    <s v="São Paulo"/>
    <x v="3"/>
    <x v="2"/>
    <x v="12"/>
    <x v="1"/>
    <x v="302"/>
    <n v="1017.92"/>
    <n v="1175.25"/>
    <n v="7.4999999999999997E-2"/>
    <b v="0"/>
    <n v="15"/>
    <n v="16306.59375"/>
    <n v="15268.8"/>
    <n v="1037.7937500000007"/>
    <n v="6.3642583234159542E-2"/>
    <s v="Medium"/>
  </r>
  <r>
    <s v="ORD-2023-835010"/>
    <d v="2023-03-23T00:00:00"/>
    <s v="Mar-2023"/>
    <s v="Q1-2023"/>
    <d v="2023-04-15T00:00:00"/>
    <d v="2023-04-15T00:00:00"/>
    <x v="23"/>
    <x v="1"/>
    <x v="1"/>
    <s v="Mombasa"/>
    <x v="1"/>
    <x v="0"/>
    <x v="8"/>
    <x v="2"/>
    <x v="303"/>
    <n v="875.36"/>
    <n v="1178.6199999999999"/>
    <n v="0.151"/>
    <b v="0"/>
    <n v="53"/>
    <n v="53034.364139999991"/>
    <n v="46394.080000000002"/>
    <n v="6640.2841399999888"/>
    <n v="0.12520719815685888"/>
    <s v="Medium"/>
  </r>
  <r>
    <s v="ORD-2024-170021"/>
    <d v="2024-11-05T00:00:00"/>
    <s v="Nov-2024"/>
    <s v="Q4-2024"/>
    <d v="2024-11-08T00:00:00"/>
    <d v="2024-11-08T00:00:00"/>
    <x v="5"/>
    <x v="2"/>
    <x v="11"/>
    <s v="Toronto"/>
    <x v="5"/>
    <x v="1"/>
    <x v="11"/>
    <x v="4"/>
    <x v="304"/>
    <n v="1020.4"/>
    <n v="1184.71"/>
    <n v="0.106"/>
    <b v="0"/>
    <n v="16"/>
    <n v="16946.091840000001"/>
    <n v="16326.4"/>
    <n v="619.69184000000132"/>
    <n v="3.6568422138328345E-2"/>
    <s v="Medium"/>
  </r>
  <r>
    <s v="ORD-2024-833375"/>
    <d v="2024-04-24T00:00:00"/>
    <s v="Apr-2024"/>
    <s v="Q2-2024"/>
    <d v="2024-05-10T00:00:00"/>
    <d v="2024-05-10T00:00:00"/>
    <x v="29"/>
    <x v="1"/>
    <x v="1"/>
    <s v="Kisumu"/>
    <x v="4"/>
    <x v="4"/>
    <x v="9"/>
    <x v="0"/>
    <x v="305"/>
    <n v="513.30999999999995"/>
    <n v="1186.26"/>
    <n v="9.4E-2"/>
    <b v="0"/>
    <n v="15"/>
    <n v="16121.273400000002"/>
    <n v="7699.65"/>
    <n v="8421.6234000000022"/>
    <n v="0.52239194702820446"/>
    <s v="Medium"/>
  </r>
  <r>
    <s v="ORD-2024-678110"/>
    <d v="2024-07-24T00:00:00"/>
    <s v="Jul-2024"/>
    <s v="Q3-2024"/>
    <d v="2024-08-08T00:00:00"/>
    <d v="2024-08-08T00:00:00"/>
    <x v="21"/>
    <x v="0"/>
    <x v="2"/>
    <s v="Marseille"/>
    <x v="3"/>
    <x v="1"/>
    <x v="2"/>
    <x v="5"/>
    <x v="306"/>
    <n v="501.5"/>
    <n v="1201.47"/>
    <n v="0.126"/>
    <b v="0"/>
    <n v="5"/>
    <n v="5250.4239000000007"/>
    <n v="2507.5"/>
    <n v="2742.9239000000007"/>
    <n v="0.52241951359394057"/>
    <s v="Medium"/>
  </r>
  <r>
    <s v="ORD-2024-868223"/>
    <d v="2024-03-03T00:00:00"/>
    <s v="Mar-2024"/>
    <s v="Q1-2024"/>
    <d v="2024-03-19T00:00:00"/>
    <d v="2024-03-19T00:00:00"/>
    <x v="29"/>
    <x v="3"/>
    <x v="10"/>
    <s v="Beijing"/>
    <x v="2"/>
    <x v="3"/>
    <x v="14"/>
    <x v="3"/>
    <x v="307"/>
    <n v="988.83"/>
    <n v="1206.04"/>
    <n v="6.3E-2"/>
    <b v="0"/>
    <n v="34"/>
    <n v="38422.022320000004"/>
    <n v="33620.22"/>
    <n v="4801.8023200000025"/>
    <n v="0.12497526236406606"/>
    <s v="Medium"/>
  </r>
  <r>
    <s v="ORD-2025-125517"/>
    <d v="2025-03-21T00:00:00"/>
    <s v="Mar-2025"/>
    <s v="Q1-2025"/>
    <d v="2025-04-09T00:00:00"/>
    <d v="2025-04-09T00:00:00"/>
    <x v="19"/>
    <x v="3"/>
    <x v="7"/>
    <s v="Tokyo"/>
    <x v="1"/>
    <x v="3"/>
    <x v="10"/>
    <x v="4"/>
    <x v="308"/>
    <n v="1055.45"/>
    <n v="1210.04"/>
    <n v="8.9999999999999993E-3"/>
    <b v="0"/>
    <n v="18"/>
    <n v="21584.693520000001"/>
    <n v="18998.100000000002"/>
    <n v="2586.5935199999985"/>
    <n v="0.1198346188053727"/>
    <s v="Medium"/>
  </r>
  <r>
    <s v="ORD-2025-680118"/>
    <d v="2025-03-10T00:00:00"/>
    <s v="Mar-2025"/>
    <s v="Q1-2025"/>
    <d v="2025-03-27T00:00:00"/>
    <d v="2025-03-27T00:00:00"/>
    <x v="25"/>
    <x v="2"/>
    <x v="5"/>
    <s v="Rio de Janeiro"/>
    <x v="3"/>
    <x v="2"/>
    <x v="6"/>
    <x v="1"/>
    <x v="309"/>
    <n v="996.73"/>
    <n v="1217.43"/>
    <n v="7.0000000000000007E-2"/>
    <b v="0"/>
    <n v="9"/>
    <n v="10189.8891"/>
    <n v="8970.57"/>
    <n v="1219.3191000000006"/>
    <n v="0.11965970267527255"/>
    <s v="Medium"/>
  </r>
  <r>
    <s v="ORD-2024-357368"/>
    <d v="2024-10-30T00:00:00"/>
    <s v="Oct-2024"/>
    <s v="Q4-2024"/>
    <d v="2024-11-24T00:00:00"/>
    <d v="2024-11-24T00:00:00"/>
    <x v="1"/>
    <x v="3"/>
    <x v="10"/>
    <s v="Shenzhen"/>
    <x v="1"/>
    <x v="4"/>
    <x v="10"/>
    <x v="4"/>
    <x v="310"/>
    <n v="811.05"/>
    <n v="1217.71"/>
    <n v="7.1999999999999995E-2"/>
    <b v="0"/>
    <n v="5"/>
    <n v="5650.1744000000008"/>
    <n v="4055.25"/>
    <n v="1594.9244000000008"/>
    <n v="0.28227879125288602"/>
    <s v="Medium"/>
  </r>
  <r>
    <s v="ORD-2024-605629"/>
    <d v="2024-07-15T00:00:00"/>
    <s v="Jul-2024"/>
    <s v="Q3-2024"/>
    <d v="2024-07-15T00:00:00"/>
    <d v="2024-07-15T00:00:00"/>
    <x v="15"/>
    <x v="3"/>
    <x v="7"/>
    <s v="Tokyo"/>
    <x v="1"/>
    <x v="1"/>
    <x v="14"/>
    <x v="2"/>
    <x v="311"/>
    <n v="801.77"/>
    <n v="1218.92"/>
    <n v="0.254"/>
    <b v="0"/>
    <n v="16"/>
    <n v="14549.029120000001"/>
    <n v="12828.32"/>
    <n v="1720.7091200000013"/>
    <n v="0.11826968698788344"/>
    <s v="Medium"/>
  </r>
  <r>
    <s v="ORD-2023-808024"/>
    <d v="2023-12-30T00:00:00"/>
    <s v="Dec-2023"/>
    <s v="Q4-2023"/>
    <d v="2024-01-08T00:00:00"/>
    <d v="2024-01-08T00:00:00"/>
    <x v="2"/>
    <x v="0"/>
    <x v="2"/>
    <s v="Marseille"/>
    <x v="2"/>
    <x v="1"/>
    <x v="5"/>
    <x v="2"/>
    <x v="312"/>
    <n v="861.1"/>
    <n v="1224.72"/>
    <n v="0.17399999999999999"/>
    <b v="0"/>
    <n v="24"/>
    <n v="24278.849280000002"/>
    <n v="20666.400000000001"/>
    <n v="3612.4492800000007"/>
    <n v="0.14878997098827909"/>
    <s v="Medium"/>
  </r>
  <r>
    <s v="ORD-2024-347736"/>
    <d v="2024-05-22T00:00:00"/>
    <s v="May-2024"/>
    <s v="Q2-2024"/>
    <d v="2024-06-06T00:00:00"/>
    <d v="2024-06-06T00:00:00"/>
    <x v="21"/>
    <x v="3"/>
    <x v="7"/>
    <s v="Nagoya"/>
    <x v="0"/>
    <x v="3"/>
    <x v="8"/>
    <x v="0"/>
    <x v="313"/>
    <n v="673.88"/>
    <n v="1228.01"/>
    <n v="0.105"/>
    <b v="0"/>
    <n v="13"/>
    <n v="14287.896349999999"/>
    <n v="8760.44"/>
    <n v="5527.4563499999986"/>
    <n v="0.38686285332689996"/>
    <s v="Medium"/>
  </r>
  <r>
    <s v="ORD-2023-752962"/>
    <d v="2023-04-21T00:00:00"/>
    <s v="Apr-2023"/>
    <s v="Q2-2023"/>
    <d v="2023-04-19T00:00:00"/>
    <d v="2023-05-05T00:00:00"/>
    <x v="7"/>
    <x v="3"/>
    <x v="7"/>
    <s v="Nagoya"/>
    <x v="1"/>
    <x v="2"/>
    <x v="7"/>
    <x v="4"/>
    <x v="314"/>
    <n v="607.04"/>
    <n v="1229.3399999999999"/>
    <n v="0.14699999999999999"/>
    <b v="0"/>
    <n v="7"/>
    <n v="7340.3891399999993"/>
    <n v="4249.28"/>
    <n v="3091.1091399999996"/>
    <n v="0.42110970972310058"/>
    <s v="Medium"/>
  </r>
  <r>
    <s v="ORD-2024-207669"/>
    <d v="2024-01-24T00:00:00"/>
    <s v="Jan-2024"/>
    <s v="Q1-2024"/>
    <d v="2024-02-04T00:00:00"/>
    <d v="2024-02-04T00:00:00"/>
    <x v="10"/>
    <x v="0"/>
    <x v="0"/>
    <s v="Manchester"/>
    <x v="2"/>
    <x v="0"/>
    <x v="4"/>
    <x v="5"/>
    <x v="315"/>
    <n v="525.34"/>
    <n v="1233.79"/>
    <n v="0.14299999999999999"/>
    <b v="0"/>
    <n v="4"/>
    <n v="4229.4321199999995"/>
    <n v="2101.36"/>
    <n v="2128.0721199999994"/>
    <n v="0.50315788494082736"/>
    <s v="Medium"/>
  </r>
  <r>
    <s v="ORD-2023-548874"/>
    <d v="2023-03-19T00:00:00"/>
    <s v="Mar-2023"/>
    <s v="Q1-2023"/>
    <d v="2023-04-09T00:00:00"/>
    <d v="2023-04-09T00:00:00"/>
    <x v="20"/>
    <x v="0"/>
    <x v="0"/>
    <s v="Manchester"/>
    <x v="2"/>
    <x v="0"/>
    <x v="5"/>
    <x v="2"/>
    <x v="316"/>
    <n v="1082.17"/>
    <n v="1234.0999999999999"/>
    <n v="0.189"/>
    <b v="0"/>
    <n v="16"/>
    <n v="16013.681599999998"/>
    <n v="17314.72"/>
    <n v="-1301.0384000000031"/>
    <n v="-8.124542703534228E-2"/>
    <s v="Medium"/>
  </r>
  <r>
    <s v="ORD-2025-922513"/>
    <d v="2025-08-28T00:00:00"/>
    <s v="Aug-2025"/>
    <s v="Q3-2025"/>
    <d v="2025-08-26T00:00:00"/>
    <d v="2025-09-11T00:00:00"/>
    <x v="7"/>
    <x v="1"/>
    <x v="8"/>
    <s v="Port Harcourt"/>
    <x v="1"/>
    <x v="0"/>
    <x v="13"/>
    <x v="2"/>
    <x v="317"/>
    <n v="521.05999999999995"/>
    <n v="1240.31"/>
    <n v="0.14599999999999999"/>
    <b v="0"/>
    <n v="18"/>
    <n v="19066.045319999997"/>
    <n v="9379.0799999999981"/>
    <n v="9686.9653199999993"/>
    <n v="0.50807417885650974"/>
    <s v="Medium"/>
  </r>
  <r>
    <s v="ORD-2024-503082"/>
    <d v="2024-05-19T00:00:00"/>
    <s v="May-2024"/>
    <s v="Q2-2024"/>
    <d v="2024-06-08T00:00:00"/>
    <d v="2024-06-08T00:00:00"/>
    <x v="14"/>
    <x v="2"/>
    <x v="5"/>
    <s v="Brasília"/>
    <x v="1"/>
    <x v="0"/>
    <x v="10"/>
    <x v="0"/>
    <x v="318"/>
    <n v="1075.9000000000001"/>
    <n v="1242.1500000000001"/>
    <n v="1.2E-2"/>
    <b v="0"/>
    <n v="7"/>
    <n v="8590.7094000000016"/>
    <n v="7531.3000000000011"/>
    <n v="1059.4094000000005"/>
    <n v="0.12332036280961853"/>
    <s v="Medium"/>
  </r>
  <r>
    <s v="ORD-2025-580047"/>
    <d v="2025-06-14T00:00:00"/>
    <s v="Jun-2025"/>
    <s v="Q2-2025"/>
    <d v="2025-06-29T00:00:00"/>
    <d v="2025-06-29T00:00:00"/>
    <x v="21"/>
    <x v="1"/>
    <x v="8"/>
    <s v="Port Harcourt"/>
    <x v="2"/>
    <x v="1"/>
    <x v="7"/>
    <x v="2"/>
    <x v="319"/>
    <n v="730.99"/>
    <n v="1242.8399999999999"/>
    <n v="0.12"/>
    <b v="0"/>
    <n v="10"/>
    <n v="10936.992"/>
    <n v="7309.9"/>
    <n v="3627.0920000000006"/>
    <n v="0.33163524303574515"/>
    <s v="Medium"/>
  </r>
  <r>
    <s v="ORD-2025-526650"/>
    <d v="2025-04-27T00:00:00"/>
    <s v="Apr-2025"/>
    <s v="Q2-2025"/>
    <d v="2025-05-25T00:00:00"/>
    <d v="2025-05-25T00:00:00"/>
    <x v="27"/>
    <x v="0"/>
    <x v="2"/>
    <s v="Paris"/>
    <x v="1"/>
    <x v="1"/>
    <x v="1"/>
    <x v="3"/>
    <x v="320"/>
    <n v="603.45000000000005"/>
    <n v="1244.08"/>
    <n v="0.2"/>
    <b v="0"/>
    <n v="11"/>
    <n v="10947.904"/>
    <n v="6637.9500000000007"/>
    <n v="4309.9539999999997"/>
    <n v="0.39367846119220623"/>
    <s v="Medium"/>
  </r>
  <r>
    <s v="ORD-2023-431328"/>
    <d v="2023-12-20T00:00:00"/>
    <s v="Dec-2023"/>
    <s v="Q4-2023"/>
    <d v="2024-01-14T00:00:00"/>
    <d v="2024-01-14T00:00:00"/>
    <x v="1"/>
    <x v="3"/>
    <x v="9"/>
    <s v="Mumbai"/>
    <x v="4"/>
    <x v="1"/>
    <x v="5"/>
    <x v="0"/>
    <x v="321"/>
    <n v="1085.6099999999999"/>
    <n v="1246.4100000000001"/>
    <n v="0.113"/>
    <b v="0"/>
    <n v="7"/>
    <n v="7738.9596900000006"/>
    <n v="7599.2699999999995"/>
    <n v="139.68969000000106"/>
    <n v="1.8050189637310417E-2"/>
    <s v="Medium"/>
  </r>
  <r>
    <s v="ORD-2023-472078"/>
    <d v="2023-02-28T00:00:00"/>
    <s v="Feb-2023"/>
    <s v="Q1-2023"/>
    <d v="2023-03-06T00:00:00"/>
    <d v="2023-03-06T00:00:00"/>
    <x v="18"/>
    <x v="0"/>
    <x v="6"/>
    <s v="Frankfurt"/>
    <x v="1"/>
    <x v="1"/>
    <x v="0"/>
    <x v="6"/>
    <x v="322"/>
    <n v="880.02"/>
    <n v="1251.21"/>
    <n v="0.123"/>
    <b v="0"/>
    <n v="29"/>
    <n v="31822.023930000003"/>
    <n v="25520.579999999998"/>
    <n v="6301.4439300000049"/>
    <n v="0.19802146915172672"/>
    <s v="Medium"/>
  </r>
  <r>
    <s v="ORD-2023-497686"/>
    <d v="2023-07-03T00:00:00"/>
    <s v="Jul-2023"/>
    <s v="Q3-2023"/>
    <d v="2023-07-23T00:00:00"/>
    <d v="2023-07-23T00:00:00"/>
    <x v="14"/>
    <x v="1"/>
    <x v="4"/>
    <s v="Johannesburg"/>
    <x v="1"/>
    <x v="3"/>
    <x v="6"/>
    <x v="5"/>
    <x v="323"/>
    <n v="1001.96"/>
    <n v="1254.95"/>
    <n v="4.4999999999999998E-2"/>
    <b v="0"/>
    <n v="18"/>
    <n v="21572.590500000002"/>
    <n v="18035.28"/>
    <n v="3537.3105000000032"/>
    <n v="0.16397244920585699"/>
    <s v="Medium"/>
  </r>
  <r>
    <s v="ORD-2024-287210"/>
    <d v="2024-03-18T00:00:00"/>
    <s v="Mar-2024"/>
    <s v="Q1-2024"/>
    <d v="2024-03-21T00:00:00"/>
    <d v="2024-03-21T00:00:00"/>
    <x v="5"/>
    <x v="0"/>
    <x v="6"/>
    <s v="Munich"/>
    <x v="1"/>
    <x v="4"/>
    <x v="7"/>
    <x v="2"/>
    <x v="324"/>
    <n v="910.63"/>
    <n v="1269.4000000000001"/>
    <n v="6.8000000000000005E-2"/>
    <b v="0"/>
    <n v="9"/>
    <n v="10647.727199999999"/>
    <n v="8195.67"/>
    <n v="2452.0571999999993"/>
    <n v="0.23028925834989455"/>
    <s v="Medium"/>
  </r>
  <r>
    <s v="ORD-2024-550400"/>
    <d v="2024-08-19T00:00:00"/>
    <s v="Aug-2024"/>
    <s v="Q3-2024"/>
    <d v="2024-09-02T00:00:00"/>
    <d v="2024-09-02T00:00:00"/>
    <x v="7"/>
    <x v="2"/>
    <x v="11"/>
    <s v="Toronto"/>
    <x v="2"/>
    <x v="3"/>
    <x v="8"/>
    <x v="6"/>
    <x v="325"/>
    <n v="1337.01"/>
    <n v="1269.78"/>
    <n v="0.16"/>
    <b v="0"/>
    <n v="7"/>
    <n v="7466.3063999999986"/>
    <n v="9359.07"/>
    <n v="-1892.7636000000011"/>
    <n v="-0.25350735672996244"/>
    <s v="Medium"/>
  </r>
  <r>
    <s v="ORD-2023-525643"/>
    <d v="2023-08-17T00:00:00"/>
    <s v="Aug-2023"/>
    <s v="Q3-2023"/>
    <d v="2023-09-03T00:00:00"/>
    <d v="2023-09-03T00:00:00"/>
    <x v="25"/>
    <x v="1"/>
    <x v="4"/>
    <s v="Durban"/>
    <x v="3"/>
    <x v="0"/>
    <x v="13"/>
    <x v="3"/>
    <x v="326"/>
    <n v="676.37"/>
    <n v="1276.67"/>
    <n v="6.6000000000000003E-2"/>
    <b v="0"/>
    <n v="10"/>
    <n v="11924.0978"/>
    <n v="6763.7"/>
    <n v="5160.3977999999997"/>
    <n v="0.4327705027712872"/>
    <s v="Medium"/>
  </r>
  <r>
    <s v="ORD-2023-594955"/>
    <d v="2023-06-20T00:00:00"/>
    <s v="Jun-2023"/>
    <s v="Q2-2023"/>
    <d v="2023-07-08T00:00:00"/>
    <d v="2023-07-08T00:00:00"/>
    <x v="8"/>
    <x v="2"/>
    <x v="3"/>
    <s v="New York"/>
    <x v="2"/>
    <x v="1"/>
    <x v="11"/>
    <x v="1"/>
    <x v="327"/>
    <n v="1145.53"/>
    <n v="1278.3"/>
    <n v="0.09"/>
    <b v="0"/>
    <n v="41"/>
    <n v="47693.373"/>
    <n v="46966.729999999996"/>
    <n v="726.64300000000367"/>
    <n v="1.5235722581416158E-2"/>
    <s v="Medium"/>
  </r>
  <r>
    <s v="ORD-2025-626047"/>
    <d v="2025-04-28T00:00:00"/>
    <s v="Apr-2025"/>
    <s v="Q2-2025"/>
    <d v="2025-05-15T00:00:00"/>
    <d v="2025-05-15T00:00:00"/>
    <x v="25"/>
    <x v="3"/>
    <x v="7"/>
    <s v="Nagoya"/>
    <x v="5"/>
    <x v="2"/>
    <x v="9"/>
    <x v="1"/>
    <x v="328"/>
    <n v="691.19"/>
    <n v="1284.3"/>
    <n v="7.3999999999999996E-2"/>
    <b v="0"/>
    <n v="7"/>
    <n v="8324.8326000000015"/>
    <n v="4838.33"/>
    <n v="3486.5026000000016"/>
    <n v="0.41880753253825198"/>
    <s v="Medium"/>
  </r>
  <r>
    <s v="ORD-2023-841426"/>
    <d v="2023-12-22T00:00:00"/>
    <s v="Dec-2023"/>
    <s v="Q4-2023"/>
    <d v="2023-12-23T00:00:00"/>
    <d v="2023-12-23T00:00:00"/>
    <x v="26"/>
    <x v="1"/>
    <x v="4"/>
    <s v="Cape Town"/>
    <x v="4"/>
    <x v="1"/>
    <x v="0"/>
    <x v="4"/>
    <x v="329"/>
    <n v="1186.18"/>
    <n v="1285.0899999999999"/>
    <n v="7.0000000000000007E-2"/>
    <b v="0"/>
    <n v="11"/>
    <n v="13146.470699999998"/>
    <n v="13047.980000000001"/>
    <n v="98.49069999999665"/>
    <n v="7.4917977796121861E-3"/>
    <s v="Medium"/>
  </r>
  <r>
    <s v="ORD-2023-588455"/>
    <d v="2023-05-23T00:00:00"/>
    <s v="May-2023"/>
    <s v="Q2-2023"/>
    <d v="2023-05-25T00:00:00"/>
    <d v="2023-05-25T00:00:00"/>
    <x v="9"/>
    <x v="2"/>
    <x v="5"/>
    <s v="Rio de Janeiro"/>
    <x v="3"/>
    <x v="0"/>
    <x v="7"/>
    <x v="6"/>
    <x v="330"/>
    <n v="690.49"/>
    <n v="1290.29"/>
    <n v="4.2000000000000003E-2"/>
    <b v="0"/>
    <n v="22"/>
    <n v="27194.152039999997"/>
    <n v="15190.78"/>
    <n v="12003.372039999997"/>
    <n v="0.44139534199647718"/>
    <s v="Medium"/>
  </r>
  <r>
    <s v="ORD-2025-608069"/>
    <d v="2025-04-12T00:00:00"/>
    <s v="Apr-2025"/>
    <s v="Q2-2025"/>
    <d v="2025-04-30T00:00:00"/>
    <d v="2025-04-30T00:00:00"/>
    <x v="8"/>
    <x v="1"/>
    <x v="1"/>
    <s v="Kisumu"/>
    <x v="0"/>
    <x v="1"/>
    <x v="6"/>
    <x v="1"/>
    <x v="331"/>
    <n v="1119.04"/>
    <n v="1299.02"/>
    <n v="2.5000000000000001E-2"/>
    <b v="0"/>
    <n v="14"/>
    <n v="17731.623"/>
    <n v="15666.56"/>
    <n v="2065.0630000000001"/>
    <n v="0.11646215352085933"/>
    <s v="Medium"/>
  </r>
  <r>
    <s v="ORD-2025-762212"/>
    <d v="2025-08-25T00:00:00"/>
    <s v="Aug-2025"/>
    <s v="Q3-2025"/>
    <d v="2025-09-24T00:00:00"/>
    <d v="2025-09-24T00:00:00"/>
    <x v="0"/>
    <x v="1"/>
    <x v="1"/>
    <s v="Nairobi"/>
    <x v="2"/>
    <x v="2"/>
    <x v="4"/>
    <x v="4"/>
    <x v="332"/>
    <n v="589.14"/>
    <n v="1300.58"/>
    <n v="5.5E-2"/>
    <b v="0"/>
    <n v="11"/>
    <n v="13519.529099999998"/>
    <n v="6480.54"/>
    <n v="7038.989099999998"/>
    <n v="0.52065342275863724"/>
    <s v="Medium"/>
  </r>
  <r>
    <s v="ORD-2024-760799"/>
    <d v="2024-02-03T00:00:00"/>
    <s v="Feb-2024"/>
    <s v="Q1-2024"/>
    <d v="2024-02-19T00:00:00"/>
    <d v="2024-02-19T00:00:00"/>
    <x v="29"/>
    <x v="3"/>
    <x v="10"/>
    <s v="Shenzhen"/>
    <x v="1"/>
    <x v="4"/>
    <x v="2"/>
    <x v="5"/>
    <x v="333"/>
    <n v="993.75"/>
    <n v="1310.29"/>
    <n v="0.215"/>
    <b v="0"/>
    <n v="19"/>
    <n v="19542.975350000001"/>
    <n v="18881.25"/>
    <n v="661.72535000000062"/>
    <n v="3.3860010471742245E-2"/>
    <s v="Medium"/>
  </r>
  <r>
    <s v="ORD-2023-580751"/>
    <d v="2023-12-24T00:00:00"/>
    <s v="Dec-2023"/>
    <s v="Q4-2023"/>
    <d v="2024-01-13T00:00:00"/>
    <d v="2024-01-13T00:00:00"/>
    <x v="14"/>
    <x v="3"/>
    <x v="7"/>
    <s v="Nagoya"/>
    <x v="5"/>
    <x v="2"/>
    <x v="4"/>
    <x v="5"/>
    <x v="334"/>
    <n v="625.37"/>
    <n v="1319.04"/>
    <n v="7.3999999999999996E-2"/>
    <b v="0"/>
    <n v="8"/>
    <n v="9771.4483199999995"/>
    <n v="5002.96"/>
    <n v="4768.4883199999995"/>
    <n v="0.48800220436513547"/>
    <s v="Medium"/>
  </r>
  <r>
    <s v="ORD-2024-921935"/>
    <d v="2024-01-01T00:00:00"/>
    <s v="Jan-2024"/>
    <s v="Q1-2024"/>
    <d v="2024-01-27T00:00:00"/>
    <d v="2024-01-27T00:00:00"/>
    <x v="24"/>
    <x v="0"/>
    <x v="0"/>
    <s v="Manchester"/>
    <x v="5"/>
    <x v="3"/>
    <x v="0"/>
    <x v="2"/>
    <x v="335"/>
    <n v="657.45"/>
    <n v="1325.96"/>
    <n v="0.16700000000000001"/>
    <b v="0"/>
    <n v="21"/>
    <n v="23195.01828"/>
    <n v="13806.45"/>
    <n v="9388.5682799999995"/>
    <n v="0.40476658249048808"/>
    <s v="Medium"/>
  </r>
  <r>
    <s v="ORD-2024-381197"/>
    <d v="2024-11-01T00:00:00"/>
    <s v="Nov-2024"/>
    <s v="Q4-2024"/>
    <d v="2024-11-12T00:00:00"/>
    <d v="2024-11-12T00:00:00"/>
    <x v="10"/>
    <x v="0"/>
    <x v="6"/>
    <s v="Frankfurt"/>
    <x v="2"/>
    <x v="4"/>
    <x v="4"/>
    <x v="6"/>
    <x v="336"/>
    <n v="599.84"/>
    <n v="1330.85"/>
    <n v="0.115"/>
    <b v="0"/>
    <n v="11"/>
    <n v="12955.824749999998"/>
    <n v="6598.2400000000007"/>
    <n v="6357.5847499999973"/>
    <n v="0.49071246892252063"/>
    <s v="Medium"/>
  </r>
  <r>
    <s v="ORD-2024-988736"/>
    <d v="2024-09-09T00:00:00"/>
    <s v="Sep-2024"/>
    <s v="Q3-2024"/>
    <d v="2024-10-01T00:00:00"/>
    <d v="2024-10-01T00:00:00"/>
    <x v="13"/>
    <x v="3"/>
    <x v="10"/>
    <s v="Shenzhen"/>
    <x v="2"/>
    <x v="2"/>
    <x v="5"/>
    <x v="6"/>
    <x v="337"/>
    <n v="1166.18"/>
    <n v="1335.02"/>
    <n v="0.128"/>
    <b v="0"/>
    <n v="6"/>
    <n v="6984.8246399999998"/>
    <n v="6997.08"/>
    <n v="-12.25536000000011"/>
    <n v="-1.7545694604582242E-3"/>
    <s v="Medium"/>
  </r>
  <r>
    <s v="ORD-2025-509940"/>
    <d v="2025-05-16T00:00:00"/>
    <s v="May-2025"/>
    <s v="Q2-2025"/>
    <d v="2025-05-27T00:00:00"/>
    <d v="2025-05-27T00:00:00"/>
    <x v="10"/>
    <x v="3"/>
    <x v="10"/>
    <s v="Beijing"/>
    <x v="3"/>
    <x v="4"/>
    <x v="6"/>
    <x v="3"/>
    <x v="338"/>
    <n v="918.12"/>
    <n v="1337.69"/>
    <n v="9.5000000000000001E-2"/>
    <b v="0"/>
    <n v="8"/>
    <n v="9684.8756000000012"/>
    <n v="7344.96"/>
    <n v="2339.9156000000012"/>
    <n v="0.24160512707050164"/>
    <s v="Medium"/>
  </r>
  <r>
    <s v="ORD-2024-219735"/>
    <d v="2024-04-03T00:00:00"/>
    <s v="Apr-2024"/>
    <s v="Q2-2024"/>
    <d v="2024-04-07T00:00:00"/>
    <d v="2024-04-07T00:00:00"/>
    <x v="17"/>
    <x v="2"/>
    <x v="5"/>
    <s v="Brasília"/>
    <x v="4"/>
    <x v="2"/>
    <x v="9"/>
    <x v="3"/>
    <x v="339"/>
    <n v="1023.27"/>
    <n v="1343.64"/>
    <n v="0.13300000000000001"/>
    <b v="0"/>
    <n v="7"/>
    <n v="8154.5511600000009"/>
    <n v="7162.8899999999994"/>
    <n v="991.66116000000147"/>
    <n v="0.12160830688810116"/>
    <s v="Medium"/>
  </r>
  <r>
    <s v="ORD-2025-683043"/>
    <d v="2025-08-13T00:00:00"/>
    <s v="Aug-2025"/>
    <s v="Q3-2025"/>
    <d v="2025-09-03T00:00:00"/>
    <d v="2025-09-03T00:00:00"/>
    <x v="20"/>
    <x v="0"/>
    <x v="2"/>
    <s v="Paris"/>
    <x v="5"/>
    <x v="0"/>
    <x v="1"/>
    <x v="3"/>
    <x v="340"/>
    <n v="603.47"/>
    <n v="1344.05"/>
    <n v="0.20499999999999999"/>
    <b v="0"/>
    <n v="18"/>
    <n v="19233.355499999998"/>
    <n v="10862.460000000001"/>
    <n v="8370.8954999999969"/>
    <n v="0.43522803392262976"/>
    <s v="Medium"/>
  </r>
  <r>
    <s v="ORD-2023-382272"/>
    <d v="2023-05-20T00:00:00"/>
    <s v="May-2023"/>
    <s v="Q2-2023"/>
    <d v="2023-05-18T00:00:00"/>
    <d v="2023-06-03T00:00:00"/>
    <x v="7"/>
    <x v="1"/>
    <x v="4"/>
    <s v="Durban"/>
    <x v="0"/>
    <x v="3"/>
    <x v="13"/>
    <x v="4"/>
    <x v="341"/>
    <n v="917.88"/>
    <n v="1347.92"/>
    <n v="0"/>
    <b v="0"/>
    <n v="5"/>
    <n v="6739.6"/>
    <n v="4589.3999999999996"/>
    <n v="2150.2000000000007"/>
    <n v="0.3190397056205117"/>
    <s v="Medium"/>
  </r>
  <r>
    <s v="ORD-2023-842488"/>
    <d v="2023-10-31T00:00:00"/>
    <s v="Oct-2023"/>
    <s v="Q4-2023"/>
    <d v="2023-11-02T00:00:00"/>
    <d v="2023-11-02T00:00:00"/>
    <x v="9"/>
    <x v="1"/>
    <x v="1"/>
    <s v="Kisumu"/>
    <x v="5"/>
    <x v="0"/>
    <x v="11"/>
    <x v="2"/>
    <x v="342"/>
    <n v="867.89"/>
    <n v="1349.94"/>
    <n v="0.184"/>
    <b v="0"/>
    <n v="10"/>
    <n v="11015.510400000003"/>
    <n v="8678.9"/>
    <n v="2336.6104000000032"/>
    <n v="0.21212003031652557"/>
    <s v="Medium"/>
  </r>
  <r>
    <s v="ORD-2024-640340"/>
    <d v="2024-10-22T00:00:00"/>
    <s v="Oct-2024"/>
    <s v="Q4-2024"/>
    <d v="2024-10-29T00:00:00"/>
    <d v="2024-10-29T00:00:00"/>
    <x v="11"/>
    <x v="1"/>
    <x v="8"/>
    <s v="Port Harcourt"/>
    <x v="3"/>
    <x v="3"/>
    <x v="7"/>
    <x v="0"/>
    <x v="343"/>
    <n v="1023.06"/>
    <n v="1355.61"/>
    <n v="0.153"/>
    <b v="0"/>
    <n v="23"/>
    <n v="26408.63841"/>
    <n v="23530.379999999997"/>
    <n v="2878.2584100000022"/>
    <n v="0.10898927711888809"/>
    <s v="Medium"/>
  </r>
  <r>
    <s v="ORD-2025-683247"/>
    <d v="2025-03-10T00:00:00"/>
    <s v="Mar-2025"/>
    <s v="Q1-2025"/>
    <d v="2025-04-04T00:00:00"/>
    <d v="2025-04-04T00:00:00"/>
    <x v="1"/>
    <x v="3"/>
    <x v="7"/>
    <s v="Osaka"/>
    <x v="0"/>
    <x v="2"/>
    <x v="2"/>
    <x v="6"/>
    <x v="344"/>
    <n v="783.72"/>
    <n v="1355.94"/>
    <n v="0.187"/>
    <b v="0"/>
    <n v="4"/>
    <n v="4409.5168800000001"/>
    <n v="3134.88"/>
    <n v="1274.63688"/>
    <n v="0.28906497348525856"/>
    <s v="Medium"/>
  </r>
  <r>
    <s v="ORD-2024-571797"/>
    <d v="2024-07-11T00:00:00"/>
    <s v="Jul-2024"/>
    <s v="Q3-2024"/>
    <d v="2024-07-31T00:00:00"/>
    <d v="2024-07-31T00:00:00"/>
    <x v="14"/>
    <x v="3"/>
    <x v="10"/>
    <s v="Shenzhen"/>
    <x v="2"/>
    <x v="4"/>
    <x v="14"/>
    <x v="3"/>
    <x v="345"/>
    <n v="647.26"/>
    <n v="1374.72"/>
    <n v="6.6000000000000003E-2"/>
    <b v="0"/>
    <n v="22"/>
    <n v="28247.74656"/>
    <n v="14239.72"/>
    <n v="14008.02656"/>
    <n v="0.49589890401508901"/>
    <s v="Medium"/>
  </r>
  <r>
    <s v="ORD-2023-334213"/>
    <d v="2023-08-19T00:00:00"/>
    <s v="Aug-2023"/>
    <s v="Q3-2023"/>
    <d v="2023-08-23T00:00:00"/>
    <d v="2023-08-23T00:00:00"/>
    <x v="17"/>
    <x v="1"/>
    <x v="8"/>
    <s v="Abuja"/>
    <x v="1"/>
    <x v="4"/>
    <x v="3"/>
    <x v="0"/>
    <x v="346"/>
    <n v="790.63"/>
    <n v="1382.31"/>
    <n v="0.10100000000000001"/>
    <b v="0"/>
    <n v="7"/>
    <n v="8698.8768300000011"/>
    <n v="5534.41"/>
    <n v="3164.4668300000012"/>
    <n v="0.36377878338116448"/>
    <s v="Medium"/>
  </r>
  <r>
    <s v="ORD-2024-892173"/>
    <d v="2024-01-18T00:00:00"/>
    <s v="Jan-2024"/>
    <s v="Q1-2024"/>
    <d v="2024-02-03T00:00:00"/>
    <d v="2024-02-03T00:00:00"/>
    <x v="29"/>
    <x v="1"/>
    <x v="4"/>
    <s v="Cape Town"/>
    <x v="4"/>
    <x v="3"/>
    <x v="5"/>
    <x v="6"/>
    <x v="347"/>
    <n v="666.23"/>
    <n v="1382.91"/>
    <n v="0.17599999999999999"/>
    <b v="0"/>
    <n v="13"/>
    <n v="14813.731920000002"/>
    <n v="8660.99"/>
    <n v="6152.7419200000022"/>
    <n v="0.41534043907553048"/>
    <s v="Medium"/>
  </r>
  <r>
    <s v="ORD-2025-779659"/>
    <d v="2025-07-03T00:00:00"/>
    <s v="Jul-2025"/>
    <s v="Q3-2025"/>
    <d v="2025-07-23T00:00:00"/>
    <d v="2025-07-23T00:00:00"/>
    <x v="14"/>
    <x v="3"/>
    <x v="10"/>
    <s v="Beijing"/>
    <x v="1"/>
    <x v="4"/>
    <x v="7"/>
    <x v="4"/>
    <x v="348"/>
    <n v="647.36"/>
    <n v="1383.6"/>
    <n v="7.3999999999999996E-2"/>
    <b v="0"/>
    <n v="12"/>
    <n v="15374.563199999999"/>
    <n v="7768.32"/>
    <n v="7606.243199999999"/>
    <n v="0.49472906000997802"/>
    <s v="Medium"/>
  </r>
  <r>
    <s v="ORD-2025-881624"/>
    <d v="2025-02-21T00:00:00"/>
    <s v="Feb-2025"/>
    <s v="Q1-2025"/>
    <d v="2025-03-21T00:00:00"/>
    <d v="2025-03-21T00:00:00"/>
    <x v="27"/>
    <x v="1"/>
    <x v="8"/>
    <s v="Abuja"/>
    <x v="3"/>
    <x v="1"/>
    <x v="1"/>
    <x v="3"/>
    <x v="349"/>
    <n v="1437.39"/>
    <n v="1388.31"/>
    <n v="0.13800000000000001"/>
    <b v="0"/>
    <n v="18"/>
    <n v="21541.017959999997"/>
    <n v="25873.02"/>
    <n v="-4332.002040000003"/>
    <n v="-0.20110479681341872"/>
    <s v="Medium"/>
  </r>
  <r>
    <s v="ORD-2024-155337"/>
    <d v="2024-05-21T00:00:00"/>
    <s v="May-2024"/>
    <s v="Q2-2024"/>
    <d v="2024-05-27T00:00:00"/>
    <d v="2024-05-27T00:00:00"/>
    <x v="18"/>
    <x v="1"/>
    <x v="4"/>
    <s v="Johannesburg"/>
    <x v="4"/>
    <x v="4"/>
    <x v="7"/>
    <x v="4"/>
    <x v="350"/>
    <n v="1157.51"/>
    <n v="1394.3"/>
    <n v="0.27800000000000002"/>
    <b v="0"/>
    <n v="12"/>
    <n v="12080.215199999999"/>
    <n v="13890.119999999999"/>
    <n v="-1809.9048000000003"/>
    <n v="-0.14982388724333326"/>
    <s v="Medium"/>
  </r>
  <r>
    <s v="ORD-2023-304451"/>
    <d v="2023-10-07T00:00:00"/>
    <s v="Oct-2023"/>
    <s v="Q4-2023"/>
    <d v="2023-10-23T00:00:00"/>
    <d v="2023-10-23T00:00:00"/>
    <x v="29"/>
    <x v="3"/>
    <x v="9"/>
    <s v="Hyderabad"/>
    <x v="2"/>
    <x v="0"/>
    <x v="14"/>
    <x v="0"/>
    <x v="351"/>
    <n v="906.81"/>
    <n v="1395.56"/>
    <n v="0.185"/>
    <b v="0"/>
    <n v="6"/>
    <n v="6824.2884000000004"/>
    <n v="5440.86"/>
    <n v="1383.4284000000007"/>
    <n v="0.20272126834498974"/>
    <s v="Medium"/>
  </r>
  <r>
    <s v="ORD-2024-599522"/>
    <d v="2024-04-19T00:00:00"/>
    <s v="Apr-2024"/>
    <s v="Q2-2024"/>
    <d v="2024-05-06T00:00:00"/>
    <d v="2024-05-06T00:00:00"/>
    <x v="25"/>
    <x v="1"/>
    <x v="8"/>
    <s v="Port Harcourt"/>
    <x v="4"/>
    <x v="4"/>
    <x v="13"/>
    <x v="6"/>
    <x v="352"/>
    <n v="865.33"/>
    <n v="1395.64"/>
    <n v="0.17499999999999999"/>
    <b v="0"/>
    <n v="13"/>
    <n v="14968.239"/>
    <n v="11249.29"/>
    <n v="3718.9489999999987"/>
    <n v="0.24845601409758347"/>
    <s v="Medium"/>
  </r>
  <r>
    <s v="ORD-2023-308124"/>
    <d v="2023-04-19T00:00:00"/>
    <s v="Apr-2023"/>
    <s v="Q2-2023"/>
    <d v="2023-04-30T00:00:00"/>
    <d v="2023-04-30T00:00:00"/>
    <x v="10"/>
    <x v="3"/>
    <x v="9"/>
    <s v="Delhi"/>
    <x v="1"/>
    <x v="0"/>
    <x v="13"/>
    <x v="1"/>
    <x v="353"/>
    <n v="826.55"/>
    <n v="1397.05"/>
    <n v="0.16900000000000001"/>
    <b v="0"/>
    <n v="28"/>
    <n v="32506.559399999998"/>
    <n v="23143.399999999998"/>
    <n v="9363.1594000000005"/>
    <n v="0.28803907804527601"/>
    <s v="Medium"/>
  </r>
  <r>
    <s v="ORD-2023-107265"/>
    <d v="2023-04-22T00:00:00"/>
    <s v="Apr-2023"/>
    <s v="Q2-2023"/>
    <d v="2023-05-14T00:00:00"/>
    <d v="2023-05-14T00:00:00"/>
    <x v="13"/>
    <x v="3"/>
    <x v="7"/>
    <s v="Nagoya"/>
    <x v="3"/>
    <x v="0"/>
    <x v="13"/>
    <x v="2"/>
    <x v="354"/>
    <n v="1209.22"/>
    <n v="1404.33"/>
    <n v="0.10299999999999999"/>
    <b v="0"/>
    <n v="11"/>
    <n v="13856.52411"/>
    <n v="13301.42"/>
    <n v="555.10411000000022"/>
    <n v="4.0060848275751328E-2"/>
    <s v="Medium"/>
  </r>
  <r>
    <s v="ORD-2023-374486"/>
    <d v="2023-06-24T00:00:00"/>
    <s v="Jun-2023"/>
    <s v="Q2-2023"/>
    <d v="2023-06-23T00:00:00"/>
    <d v="2023-07-08T00:00:00"/>
    <x v="7"/>
    <x v="2"/>
    <x v="5"/>
    <s v="Rio de Janeiro"/>
    <x v="4"/>
    <x v="0"/>
    <x v="10"/>
    <x v="6"/>
    <x v="355"/>
    <n v="804.01"/>
    <n v="1405.07"/>
    <n v="9.6000000000000002E-2"/>
    <b v="0"/>
    <n v="8"/>
    <n v="10161.46624"/>
    <n v="6432.08"/>
    <n v="3729.3862399999998"/>
    <n v="0.36701260939287439"/>
    <s v="Medium"/>
  </r>
  <r>
    <s v="ORD-2024-947056"/>
    <d v="2024-07-31T00:00:00"/>
    <s v="Jul-2024"/>
    <s v="Q3-2024"/>
    <d v="2024-08-15T00:00:00"/>
    <d v="2024-08-15T00:00:00"/>
    <x v="21"/>
    <x v="3"/>
    <x v="7"/>
    <s v="Tokyo"/>
    <x v="0"/>
    <x v="1"/>
    <x v="6"/>
    <x v="0"/>
    <x v="356"/>
    <n v="1252.52"/>
    <n v="1417.24"/>
    <n v="0.192"/>
    <b v="0"/>
    <n v="5"/>
    <n v="5725.6496000000006"/>
    <n v="6262.6"/>
    <n v="-536.95039999999972"/>
    <n v="-9.3779821943696953E-2"/>
    <s v="Medium"/>
  </r>
  <r>
    <s v="ORD-2023-536542"/>
    <d v="2023-06-10T00:00:00"/>
    <s v="Jun-2023"/>
    <s v="Q2-2023"/>
    <d v="2023-06-18T00:00:00"/>
    <d v="2023-06-18T00:00:00"/>
    <x v="16"/>
    <x v="1"/>
    <x v="1"/>
    <s v="Nakuru"/>
    <x v="3"/>
    <x v="2"/>
    <x v="2"/>
    <x v="3"/>
    <x v="357"/>
    <n v="894.23"/>
    <n v="1421.55"/>
    <n v="0.109"/>
    <b v="0"/>
    <n v="3"/>
    <n v="3799.8031499999997"/>
    <n v="2682.69"/>
    <n v="1117.1131499999997"/>
    <n v="0.29399237431549574"/>
    <s v="Medium"/>
  </r>
  <r>
    <s v="ORD-2023-621393"/>
    <d v="2023-07-07T00:00:00"/>
    <s v="Jul-2023"/>
    <s v="Q3-2023"/>
    <d v="2023-07-13T00:00:00"/>
    <d v="2023-07-13T00:00:00"/>
    <x v="18"/>
    <x v="1"/>
    <x v="4"/>
    <s v="Cape Town"/>
    <x v="1"/>
    <x v="1"/>
    <x v="4"/>
    <x v="2"/>
    <x v="358"/>
    <n v="612.59"/>
    <n v="1424.74"/>
    <n v="4.3999999999999997E-2"/>
    <b v="0"/>
    <n v="15"/>
    <n v="20430.771599999996"/>
    <n v="9188.85"/>
    <n v="11241.921599999996"/>
    <n v="0.55024459281802152"/>
    <s v="Medium"/>
  </r>
  <r>
    <s v="ORD-2023-700699"/>
    <d v="2023-01-12T00:00:00"/>
    <s v="Jan-2023"/>
    <s v="Q1-2023"/>
    <d v="2023-01-26T00:00:00"/>
    <d v="2023-01-26T00:00:00"/>
    <x v="7"/>
    <x v="3"/>
    <x v="10"/>
    <s v="Shenzhen"/>
    <x v="4"/>
    <x v="0"/>
    <x v="7"/>
    <x v="6"/>
    <x v="359"/>
    <n v="1083.0899999999999"/>
    <n v="1425.87"/>
    <n v="0"/>
    <b v="0"/>
    <n v="8"/>
    <n v="11406.96"/>
    <n v="8664.7199999999993"/>
    <n v="2742.24"/>
    <n v="0.24040059752992909"/>
    <s v="Medium"/>
  </r>
  <r>
    <s v="ORD-2025-191328"/>
    <d v="2025-05-10T00:00:00"/>
    <s v="May-2025"/>
    <s v="Q2-2025"/>
    <d v="2025-05-27T00:00:00"/>
    <d v="2025-05-27T00:00:00"/>
    <x v="25"/>
    <x v="2"/>
    <x v="11"/>
    <s v="Vancouver"/>
    <x v="5"/>
    <x v="2"/>
    <x v="8"/>
    <x v="4"/>
    <x v="360"/>
    <n v="862.89"/>
    <n v="1426.03"/>
    <n v="5.6000000000000001E-2"/>
    <b v="0"/>
    <n v="19"/>
    <n v="25577.274079999999"/>
    <n v="16394.91"/>
    <n v="9182.3640799999994"/>
    <n v="0.35900479665188778"/>
    <s v="Medium"/>
  </r>
  <r>
    <s v="ORD-2023-664790"/>
    <d v="2023-04-16T00:00:00"/>
    <s v="Apr-2023"/>
    <s v="Q2-2023"/>
    <d v="2023-04-23T00:00:00"/>
    <d v="2023-04-23T00:00:00"/>
    <x v="11"/>
    <x v="2"/>
    <x v="3"/>
    <s v="Austin"/>
    <x v="0"/>
    <x v="3"/>
    <x v="11"/>
    <x v="6"/>
    <x v="361"/>
    <n v="1099.1500000000001"/>
    <n v="1431.37"/>
    <n v="0.104"/>
    <b v="0"/>
    <n v="8"/>
    <n v="10260.060159999999"/>
    <n v="8793.2000000000007"/>
    <n v="1466.8601599999984"/>
    <n v="0.14296798821109433"/>
    <s v="Medium"/>
  </r>
  <r>
    <s v="ORD-2024-588972"/>
    <d v="2024-11-02T00:00:00"/>
    <s v="Nov-2024"/>
    <s v="Q4-2024"/>
    <d v="2024-11-29T00:00:00"/>
    <d v="2024-11-29T00:00:00"/>
    <x v="4"/>
    <x v="2"/>
    <x v="5"/>
    <s v="Brasília"/>
    <x v="1"/>
    <x v="2"/>
    <x v="1"/>
    <x v="1"/>
    <x v="362"/>
    <n v="1363.51"/>
    <n v="1433.9"/>
    <n v="5.7000000000000002E-2"/>
    <b v="0"/>
    <n v="8"/>
    <n v="10817.3416"/>
    <n v="10908.08"/>
    <n v="-90.738400000000183"/>
    <n v="-8.3882346842037592E-3"/>
    <s v="Medium"/>
  </r>
  <r>
    <s v="ORD-2023-921939"/>
    <d v="2023-06-23T00:00:00"/>
    <s v="Jun-2023"/>
    <s v="Q2-2023"/>
    <d v="2023-07-18T00:00:00"/>
    <d v="2023-07-18T00:00:00"/>
    <x v="1"/>
    <x v="2"/>
    <x v="11"/>
    <s v="Vancouver"/>
    <x v="3"/>
    <x v="4"/>
    <x v="9"/>
    <x v="3"/>
    <x v="363"/>
    <n v="807.02"/>
    <n v="1435.54"/>
    <n v="0"/>
    <b v="0"/>
    <n v="23"/>
    <n v="33017.42"/>
    <n v="18561.46"/>
    <n v="14455.96"/>
    <n v="0.43782827368098415"/>
    <s v="Medium"/>
  </r>
  <r>
    <s v="ORD-2024-745822"/>
    <d v="2024-03-31T00:00:00"/>
    <s v="Mar-2024"/>
    <s v="Q1-2024"/>
    <d v="2024-04-17T00:00:00"/>
    <d v="2024-04-17T00:00:00"/>
    <x v="25"/>
    <x v="0"/>
    <x v="6"/>
    <s v="Frankfurt"/>
    <x v="5"/>
    <x v="2"/>
    <x v="2"/>
    <x v="0"/>
    <x v="364"/>
    <n v="1025.51"/>
    <n v="1436.54"/>
    <n v="0.13900000000000001"/>
    <b v="0"/>
    <n v="28"/>
    <n v="34632.106319999999"/>
    <n v="28714.28"/>
    <n v="5917.8263200000001"/>
    <n v="0.17087688127656453"/>
    <s v="Medium"/>
  </r>
  <r>
    <s v="ORD-2025-762301"/>
    <d v="2025-05-02T00:00:00"/>
    <s v="May-2025"/>
    <s v="Q2-2025"/>
    <d v="2025-05-13T00:00:00"/>
    <d v="2025-05-13T00:00:00"/>
    <x v="10"/>
    <x v="1"/>
    <x v="1"/>
    <s v="Nakuru"/>
    <x v="1"/>
    <x v="4"/>
    <x v="13"/>
    <x v="2"/>
    <x v="365"/>
    <n v="1057.5999999999999"/>
    <n v="1437.06"/>
    <n v="0.20499999999999999"/>
    <b v="0"/>
    <n v="4"/>
    <n v="4569.8508000000002"/>
    <n v="4230.3999999999996"/>
    <n v="339.45080000000053"/>
    <n v="7.4280499485891424E-2"/>
    <s v="Medium"/>
  </r>
  <r>
    <s v="ORD-2024-890180"/>
    <d v="2024-01-20T00:00:00"/>
    <s v="Jan-2024"/>
    <s v="Q1-2024"/>
    <d v="2024-02-13T00:00:00"/>
    <d v="2024-02-13T00:00:00"/>
    <x v="30"/>
    <x v="0"/>
    <x v="2"/>
    <s v="Marseille"/>
    <x v="0"/>
    <x v="0"/>
    <x v="2"/>
    <x v="6"/>
    <x v="366"/>
    <n v="643.53"/>
    <n v="1439.01"/>
    <n v="0"/>
    <b v="0"/>
    <n v="15"/>
    <n v="21585.15"/>
    <n v="9652.9499999999989"/>
    <n v="11932.200000000003"/>
    <n v="0.55279671440782208"/>
    <s v="Medium"/>
  </r>
  <r>
    <s v="ORD-2024-102866"/>
    <d v="2024-12-12T00:00:00"/>
    <s v="Dec-2024"/>
    <s v="Q4-2024"/>
    <d v="2024-12-20T00:00:00"/>
    <d v="2024-12-20T00:00:00"/>
    <x v="16"/>
    <x v="3"/>
    <x v="7"/>
    <s v="Tokyo"/>
    <x v="0"/>
    <x v="0"/>
    <x v="4"/>
    <x v="5"/>
    <x v="367"/>
    <n v="1202.47"/>
    <n v="1444.72"/>
    <n v="0.24099999999999999"/>
    <b v="0"/>
    <n v="17"/>
    <n v="18641.222160000001"/>
    <n v="20441.990000000002"/>
    <n v="-1800.7678400000004"/>
    <n v="-9.6601382921343834E-2"/>
    <s v="Medium"/>
  </r>
  <r>
    <s v="ORD-2025-332931"/>
    <d v="2025-02-15T00:00:00"/>
    <s v="Feb-2025"/>
    <s v="Q1-2025"/>
    <d v="2025-03-01T00:00:00"/>
    <d v="2025-03-01T00:00:00"/>
    <x v="7"/>
    <x v="1"/>
    <x v="1"/>
    <s v="Mombasa"/>
    <x v="5"/>
    <x v="2"/>
    <x v="5"/>
    <x v="2"/>
    <x v="368"/>
    <n v="1162.8599999999999"/>
    <n v="1447.68"/>
    <n v="8.6999999999999994E-2"/>
    <b v="0"/>
    <n v="12"/>
    <n v="15860.782080000001"/>
    <n v="13954.32"/>
    <n v="1906.4620800000012"/>
    <n v="0.12019975247021369"/>
    <s v="Medium"/>
  </r>
  <r>
    <s v="ORD-2023-479747"/>
    <d v="2023-07-14T00:00:00"/>
    <s v="Jul-2023"/>
    <s v="Q3-2023"/>
    <d v="2023-07-14T00:00:00"/>
    <d v="2023-07-14T00:00:00"/>
    <x v="15"/>
    <x v="1"/>
    <x v="8"/>
    <s v="Lagos"/>
    <x v="5"/>
    <x v="0"/>
    <x v="1"/>
    <x v="2"/>
    <x v="369"/>
    <n v="956.38"/>
    <n v="1454.22"/>
    <n v="3.9E-2"/>
    <b v="0"/>
    <n v="19"/>
    <n v="26552.60298"/>
    <n v="18171.22"/>
    <n v="8381.3829799999985"/>
    <n v="0.31565202802576603"/>
    <s v="Medium"/>
  </r>
  <r>
    <s v="ORD-2025-789245"/>
    <d v="2025-07-23T00:00:00"/>
    <s v="Jul-2025"/>
    <s v="Q3-2025"/>
    <d v="2025-08-17T00:00:00"/>
    <d v="2025-08-17T00:00:00"/>
    <x v="1"/>
    <x v="0"/>
    <x v="0"/>
    <s v="Birmingham"/>
    <x v="5"/>
    <x v="4"/>
    <x v="1"/>
    <x v="6"/>
    <x v="370"/>
    <n v="1142.06"/>
    <n v="1455"/>
    <n v="7.8E-2"/>
    <b v="0"/>
    <n v="28"/>
    <n v="37562.28"/>
    <n v="31977.68"/>
    <n v="5584.5999999999985"/>
    <n v="0.1486757459877302"/>
    <s v="Medium"/>
  </r>
  <r>
    <s v="ORD-2024-939873"/>
    <d v="2024-04-12T00:00:00"/>
    <s v="Apr-2024"/>
    <s v="Q2-2024"/>
    <d v="2024-05-07T00:00:00"/>
    <d v="2024-05-07T00:00:00"/>
    <x v="1"/>
    <x v="1"/>
    <x v="4"/>
    <s v="Johannesburg"/>
    <x v="5"/>
    <x v="3"/>
    <x v="13"/>
    <x v="5"/>
    <x v="371"/>
    <n v="1376.51"/>
    <n v="1455.91"/>
    <n v="0.185"/>
    <b v="0"/>
    <n v="17"/>
    <n v="20171.63305"/>
    <n v="23400.67"/>
    <n v="-3229.0369499999979"/>
    <n v="-0.1600781127634085"/>
    <s v="Medium"/>
  </r>
  <r>
    <s v="ORD-2025-289139"/>
    <d v="2025-08-10T00:00:00"/>
    <s v="Aug-2025"/>
    <s v="Q3-2025"/>
    <d v="2025-08-30T00:00:00"/>
    <d v="2025-08-30T00:00:00"/>
    <x v="14"/>
    <x v="2"/>
    <x v="3"/>
    <s v="San Francisco"/>
    <x v="0"/>
    <x v="1"/>
    <x v="12"/>
    <x v="6"/>
    <x v="372"/>
    <n v="933.29"/>
    <n v="1456.81"/>
    <n v="0.123"/>
    <b v="0"/>
    <n v="13"/>
    <n v="16609.090809999998"/>
    <n v="12132.77"/>
    <n v="4476.3208099999974"/>
    <n v="0.26951028573489977"/>
    <s v="Medium"/>
  </r>
  <r>
    <s v="ORD-2023-575584"/>
    <d v="2023-01-30T00:00:00"/>
    <s v="Jan-2023"/>
    <s v="Q1-2023"/>
    <d v="2023-02-21T00:00:00"/>
    <d v="2023-02-21T00:00:00"/>
    <x v="13"/>
    <x v="0"/>
    <x v="6"/>
    <s v="Munich"/>
    <x v="1"/>
    <x v="1"/>
    <x v="14"/>
    <x v="1"/>
    <x v="373"/>
    <n v="1142.8800000000001"/>
    <n v="1465.29"/>
    <n v="0.186"/>
    <b v="0"/>
    <n v="7"/>
    <n v="8349.2224200000001"/>
    <n v="8000.1600000000008"/>
    <n v="349.06241999999929"/>
    <n v="4.1807775915017401E-2"/>
    <s v="Medium"/>
  </r>
  <r>
    <s v="ORD-2024-764468"/>
    <d v="2024-02-01T00:00:00"/>
    <s v="Feb-2024"/>
    <s v="Q1-2024"/>
    <d v="2024-02-21T00:00:00"/>
    <d v="2024-02-21T00:00:00"/>
    <x v="14"/>
    <x v="0"/>
    <x v="2"/>
    <s v="Paris"/>
    <x v="1"/>
    <x v="1"/>
    <x v="13"/>
    <x v="1"/>
    <x v="374"/>
    <n v="656.2"/>
    <n v="1467.17"/>
    <n v="1.7999999999999999E-2"/>
    <b v="0"/>
    <n v="5"/>
    <n v="7203.8047000000006"/>
    <n v="3281"/>
    <n v="3922.8047000000006"/>
    <n v="0.54454623124360946"/>
    <s v="Medium"/>
  </r>
  <r>
    <s v="ORD-2024-389102"/>
    <d v="2024-06-15T00:00:00"/>
    <s v="Jun-2024"/>
    <s v="Q2-2024"/>
    <d v="2024-07-06T00:00:00"/>
    <d v="2024-07-06T00:00:00"/>
    <x v="20"/>
    <x v="2"/>
    <x v="11"/>
    <s v="Toronto"/>
    <x v="3"/>
    <x v="3"/>
    <x v="5"/>
    <x v="6"/>
    <x v="375"/>
    <n v="817.23"/>
    <n v="1467.17"/>
    <n v="0.245"/>
    <b v="0"/>
    <n v="9"/>
    <n v="9969.4201499999999"/>
    <n v="7355.07"/>
    <n v="2614.3501500000002"/>
    <n v="0.26223693160328893"/>
    <s v="Medium"/>
  </r>
  <r>
    <s v="ORD-2025-485946"/>
    <d v="2025-06-15T00:00:00"/>
    <s v="Jun-2025"/>
    <s v="Q2-2025"/>
    <d v="2025-06-30T00:00:00"/>
    <d v="2025-06-30T00:00:00"/>
    <x v="21"/>
    <x v="1"/>
    <x v="4"/>
    <s v="Johannesburg"/>
    <x v="1"/>
    <x v="2"/>
    <x v="8"/>
    <x v="0"/>
    <x v="376"/>
    <n v="1487.59"/>
    <n v="1480.83"/>
    <n v="8.9999999999999993E-3"/>
    <b v="0"/>
    <n v="11"/>
    <n v="16142.527829999999"/>
    <n v="16363.49"/>
    <n v="-220.9621700000007"/>
    <n v="-1.3688201273492908E-2"/>
    <s v="Medium"/>
  </r>
  <r>
    <s v="ORD-2024-687073"/>
    <d v="2024-03-11T00:00:00"/>
    <s v="Mar-2024"/>
    <s v="Q1-2024"/>
    <d v="2024-03-29T00:00:00"/>
    <d v="2024-03-29T00:00:00"/>
    <x v="8"/>
    <x v="2"/>
    <x v="3"/>
    <s v="New York"/>
    <x v="0"/>
    <x v="0"/>
    <x v="7"/>
    <x v="0"/>
    <x v="377"/>
    <n v="710.98"/>
    <n v="1481.45"/>
    <n v="0.21099999999999999"/>
    <b v="0"/>
    <n v="9"/>
    <n v="10519.776450000001"/>
    <n v="6398.82"/>
    <n v="4120.9564500000015"/>
    <n v="0.39173422264120461"/>
    <s v="Medium"/>
  </r>
  <r>
    <s v="ORD-2023-302041"/>
    <d v="2023-10-04T00:00:00"/>
    <s v="Oct-2023"/>
    <s v="Q4-2023"/>
    <d v="2023-10-29T00:00:00"/>
    <d v="2023-10-29T00:00:00"/>
    <x v="1"/>
    <x v="2"/>
    <x v="3"/>
    <s v="San Francisco"/>
    <x v="1"/>
    <x v="3"/>
    <x v="11"/>
    <x v="2"/>
    <x v="378"/>
    <n v="1239.8399999999999"/>
    <n v="1482.75"/>
    <n v="6.7000000000000004E-2"/>
    <b v="0"/>
    <n v="4"/>
    <n v="5533.6230000000005"/>
    <n v="4959.3599999999997"/>
    <n v="574.26300000000083"/>
    <n v="0.10377703721413634"/>
    <s v="Medium"/>
  </r>
  <r>
    <s v="ORD-2025-831576"/>
    <d v="2025-09-15T00:00:00"/>
    <s v="Sep-2025"/>
    <s v="Q3-2025"/>
    <d v="2025-09-25T00:00:00"/>
    <d v="2025-09-25T00:00:00"/>
    <x v="3"/>
    <x v="3"/>
    <x v="9"/>
    <s v="Delhi"/>
    <x v="2"/>
    <x v="0"/>
    <x v="13"/>
    <x v="3"/>
    <x v="379"/>
    <n v="1488.91"/>
    <n v="1483.74"/>
    <n v="0.16800000000000001"/>
    <b v="0"/>
    <n v="24"/>
    <n v="29627.320319999999"/>
    <n v="35733.840000000004"/>
    <n v="-6106.5196800000049"/>
    <n v="-0.20611110333450519"/>
    <s v="Medium"/>
  </r>
  <r>
    <s v="ORD-2024-925626"/>
    <d v="2024-11-04T00:00:00"/>
    <s v="Nov-2024"/>
    <s v="Q4-2024"/>
    <d v="2024-11-05T00:00:00"/>
    <d v="2024-11-05T00:00:00"/>
    <x v="26"/>
    <x v="0"/>
    <x v="0"/>
    <s v="London"/>
    <x v="0"/>
    <x v="0"/>
    <x v="7"/>
    <x v="6"/>
    <x v="380"/>
    <n v="840.68"/>
    <n v="1493.53"/>
    <n v="0"/>
    <b v="0"/>
    <n v="27"/>
    <n v="40325.31"/>
    <n v="22698.359999999997"/>
    <n v="17626.95"/>
    <n v="0.43711877230454027"/>
    <s v="Medium"/>
  </r>
  <r>
    <s v="ORD-2023-343322"/>
    <d v="2023-08-19T00:00:00"/>
    <s v="Aug-2023"/>
    <s v="Q3-2023"/>
    <d v="2023-09-12T00:00:00"/>
    <d v="2023-09-12T00:00:00"/>
    <x v="30"/>
    <x v="2"/>
    <x v="11"/>
    <s v="Vancouver"/>
    <x v="3"/>
    <x v="0"/>
    <x v="1"/>
    <x v="6"/>
    <x v="381"/>
    <n v="1183.95"/>
    <n v="1503.53"/>
    <n v="0.24099999999999999"/>
    <b v="0"/>
    <n v="16"/>
    <n v="18258.868320000001"/>
    <n v="18943.2"/>
    <n v="-684.33167999999932"/>
    <n v="-3.7479413729623705E-2"/>
    <s v="Medium"/>
  </r>
  <r>
    <s v="ORD-2024-892879"/>
    <d v="2024-07-09T00:00:00"/>
    <s v="Jul-2024"/>
    <s v="Q3-2024"/>
    <d v="2024-08-08T00:00:00"/>
    <d v="2024-08-08T00:00:00"/>
    <x v="0"/>
    <x v="0"/>
    <x v="2"/>
    <s v="Marseille"/>
    <x v="0"/>
    <x v="2"/>
    <x v="3"/>
    <x v="4"/>
    <x v="382"/>
    <n v="1062.3800000000001"/>
    <n v="1503.96"/>
    <n v="0.18"/>
    <b v="0"/>
    <n v="6"/>
    <n v="7399.4832000000006"/>
    <n v="6374.2800000000007"/>
    <n v="1025.2031999999999"/>
    <n v="0.13855064905073369"/>
    <s v="Medium"/>
  </r>
  <r>
    <s v="ORD-2024-134084"/>
    <d v="2024-06-04T00:00:00"/>
    <s v="Jun-2024"/>
    <s v="Q2-2024"/>
    <d v="2024-06-16T00:00:00"/>
    <d v="2024-06-16T00:00:00"/>
    <x v="22"/>
    <x v="3"/>
    <x v="10"/>
    <s v="Shanghai"/>
    <x v="0"/>
    <x v="0"/>
    <x v="3"/>
    <x v="6"/>
    <x v="383"/>
    <n v="918.42"/>
    <n v="1511.71"/>
    <n v="0.02"/>
    <b v="0"/>
    <n v="8"/>
    <n v="11851.806399999999"/>
    <n v="7347.36"/>
    <n v="4504.4463999999998"/>
    <n v="0.38006412254590999"/>
    <s v="Medium"/>
  </r>
  <r>
    <s v="ORD-2024-366010"/>
    <d v="2024-01-13T00:00:00"/>
    <s v="Jan-2024"/>
    <s v="Q1-2024"/>
    <d v="2024-02-05T00:00:00"/>
    <d v="2024-02-05T00:00:00"/>
    <x v="23"/>
    <x v="0"/>
    <x v="6"/>
    <s v="Frankfurt"/>
    <x v="5"/>
    <x v="2"/>
    <x v="4"/>
    <x v="5"/>
    <x v="384"/>
    <n v="1017.93"/>
    <n v="1529.14"/>
    <n v="0.155"/>
    <b v="0"/>
    <n v="12"/>
    <n v="15505.479600000001"/>
    <n v="12215.16"/>
    <n v="3290.3196000000007"/>
    <n v="0.21220366508366503"/>
    <s v="Medium"/>
  </r>
  <r>
    <s v="ORD-2023-855675"/>
    <d v="2023-02-05T00:00:00"/>
    <s v="Feb-2023"/>
    <s v="Q1-2023"/>
    <d v="2023-02-28T00:00:00"/>
    <d v="2023-02-28T00:00:00"/>
    <x v="23"/>
    <x v="2"/>
    <x v="3"/>
    <s v="Austin"/>
    <x v="4"/>
    <x v="3"/>
    <x v="5"/>
    <x v="3"/>
    <x v="385"/>
    <n v="1214.49"/>
    <n v="1533.95"/>
    <n v="0"/>
    <b v="0"/>
    <n v="11"/>
    <n v="16873.45"/>
    <n v="13359.39"/>
    <n v="3514.0600000000013"/>
    <n v="0.20825972163369086"/>
    <s v="Medium"/>
  </r>
  <r>
    <s v="ORD-2024-979401"/>
    <d v="2024-02-08T00:00:00"/>
    <s v="Feb-2024"/>
    <s v="Q1-2024"/>
    <d v="2024-02-09T00:00:00"/>
    <d v="2024-02-09T00:00:00"/>
    <x v="26"/>
    <x v="1"/>
    <x v="1"/>
    <s v="Mombasa"/>
    <x v="0"/>
    <x v="2"/>
    <x v="6"/>
    <x v="4"/>
    <x v="386"/>
    <n v="1233.52"/>
    <n v="1543.76"/>
    <n v="0.126"/>
    <b v="0"/>
    <n v="13"/>
    <n v="17540.201120000002"/>
    <n v="16035.76"/>
    <n v="1504.4411200000013"/>
    <n v="8.5771030201277493E-2"/>
    <s v="Medium"/>
  </r>
  <r>
    <s v="ORD-2023-586275"/>
    <d v="2023-01-20T00:00:00"/>
    <s v="Jan-2023"/>
    <s v="Q1-2023"/>
    <d v="2023-02-03T00:00:00"/>
    <d v="2023-02-03T00:00:00"/>
    <x v="7"/>
    <x v="1"/>
    <x v="1"/>
    <s v="Kisumu"/>
    <x v="0"/>
    <x v="0"/>
    <x v="7"/>
    <x v="1"/>
    <x v="387"/>
    <n v="884.36"/>
    <n v="1545.34"/>
    <n v="0.24299999999999999"/>
    <b v="0"/>
    <n v="41"/>
    <n v="47962.717579999997"/>
    <n v="36258.76"/>
    <n v="11703.957579999995"/>
    <n v="0.24402198562827965"/>
    <s v="Medium"/>
  </r>
  <r>
    <s v="ORD-2024-817997"/>
    <d v="2024-07-28T00:00:00"/>
    <s v="Jul-2024"/>
    <s v="Q3-2024"/>
    <d v="2024-08-23T00:00:00"/>
    <d v="2024-08-23T00:00:00"/>
    <x v="24"/>
    <x v="3"/>
    <x v="9"/>
    <s v="Hyderabad"/>
    <x v="0"/>
    <x v="0"/>
    <x v="3"/>
    <x v="1"/>
    <x v="388"/>
    <n v="1339.24"/>
    <n v="1558.89"/>
    <n v="0.192"/>
    <b v="0"/>
    <n v="24"/>
    <n v="30229.994880000002"/>
    <n v="32141.760000000002"/>
    <n v="-1911.76512"/>
    <n v="-6.3240669659021781E-2"/>
    <s v="Medium"/>
  </r>
  <r>
    <s v="ORD-2025-149156"/>
    <d v="2025-01-10T00:00:00"/>
    <s v="Jan-2025"/>
    <s v="Q1-2025"/>
    <d v="2025-02-06T00:00:00"/>
    <d v="2025-02-06T00:00:00"/>
    <x v="4"/>
    <x v="2"/>
    <x v="5"/>
    <s v="Brasília"/>
    <x v="4"/>
    <x v="0"/>
    <x v="4"/>
    <x v="5"/>
    <x v="389"/>
    <n v="725.62"/>
    <n v="1559.19"/>
    <n v="0.19"/>
    <b v="0"/>
    <n v="12"/>
    <n v="15155.326800000001"/>
    <n v="8707.44"/>
    <n v="6447.8868000000002"/>
    <n v="0.42545349797405885"/>
    <s v="Medium"/>
  </r>
  <r>
    <s v="ORD-2024-668926"/>
    <d v="2024-10-23T00:00:00"/>
    <s v="Oct-2024"/>
    <s v="Q4-2024"/>
    <d v="2024-11-14T00:00:00"/>
    <d v="2024-11-14T00:00:00"/>
    <x v="13"/>
    <x v="3"/>
    <x v="7"/>
    <s v="Osaka"/>
    <x v="4"/>
    <x v="2"/>
    <x v="4"/>
    <x v="3"/>
    <x v="390"/>
    <n v="1406.4"/>
    <n v="1564.76"/>
    <n v="0.185"/>
    <b v="0"/>
    <n v="17"/>
    <n v="21679.749799999998"/>
    <n v="23908.800000000003"/>
    <n v="-2229.0502000000051"/>
    <n v="-0.10281715520536151"/>
    <s v="Medium"/>
  </r>
  <r>
    <s v="ORD-2023-172095"/>
    <d v="2023-05-24T00:00:00"/>
    <s v="May-2023"/>
    <s v="Q2-2023"/>
    <d v="2023-06-21T00:00:00"/>
    <d v="2023-06-21T00:00:00"/>
    <x v="27"/>
    <x v="2"/>
    <x v="3"/>
    <s v="Austin"/>
    <x v="1"/>
    <x v="1"/>
    <x v="14"/>
    <x v="0"/>
    <x v="391"/>
    <n v="813.97"/>
    <n v="1568.83"/>
    <n v="1.7000000000000001E-2"/>
    <b v="0"/>
    <n v="15"/>
    <n v="23132.398349999996"/>
    <n v="12209.550000000001"/>
    <n v="10922.848349999995"/>
    <n v="0.4721883215364911"/>
    <s v="Medium"/>
  </r>
  <r>
    <s v="ORD-2023-545150"/>
    <d v="2023-04-06T00:00:00"/>
    <s v="Apr-2023"/>
    <s v="Q2-2023"/>
    <d v="2023-04-08T00:00:00"/>
    <d v="2023-04-08T00:00:00"/>
    <x v="9"/>
    <x v="1"/>
    <x v="8"/>
    <s v="Abuja"/>
    <x v="1"/>
    <x v="1"/>
    <x v="12"/>
    <x v="0"/>
    <x v="392"/>
    <n v="720.35"/>
    <n v="1571.66"/>
    <n v="0.107"/>
    <b v="0"/>
    <n v="23"/>
    <n v="32280.32474"/>
    <n v="16568.05"/>
    <n v="15712.274740000001"/>
    <n v="0.4867446305622265"/>
    <s v="Medium"/>
  </r>
  <r>
    <s v="ORD-2024-635626"/>
    <d v="2024-08-27T00:00:00"/>
    <s v="Aug-2024"/>
    <s v="Q3-2024"/>
    <d v="2024-09-19T00:00:00"/>
    <d v="2024-09-19T00:00:00"/>
    <x v="23"/>
    <x v="0"/>
    <x v="6"/>
    <s v="Berlin"/>
    <x v="1"/>
    <x v="2"/>
    <x v="0"/>
    <x v="0"/>
    <x v="393"/>
    <n v="1024.01"/>
    <n v="1580.97"/>
    <n v="3.6999999999999998E-2"/>
    <b v="0"/>
    <n v="27"/>
    <n v="41106.800970000004"/>
    <n v="27648.27"/>
    <n v="13458.530970000003"/>
    <n v="0.3274039976942531"/>
    <s v="Medium"/>
  </r>
  <r>
    <s v="ORD-2024-647571"/>
    <d v="2024-02-06T00:00:00"/>
    <s v="Feb-2024"/>
    <s v="Q1-2024"/>
    <d v="2024-02-28T00:00:00"/>
    <d v="2024-02-28T00:00:00"/>
    <x v="13"/>
    <x v="1"/>
    <x v="1"/>
    <s v="Kisumu"/>
    <x v="4"/>
    <x v="4"/>
    <x v="12"/>
    <x v="0"/>
    <x v="394"/>
    <n v="834.93"/>
    <n v="1588.53"/>
    <n v="0.126"/>
    <b v="0"/>
    <n v="6"/>
    <n v="8330.2513199999994"/>
    <n v="5009.58"/>
    <n v="3320.6713199999995"/>
    <n v="0.39862798761274343"/>
    <s v="Medium"/>
  </r>
  <r>
    <s v="ORD-2023-946143"/>
    <d v="2023-03-14T00:00:00"/>
    <s v="Mar-2023"/>
    <s v="Q1-2023"/>
    <d v="2023-03-30T00:00:00"/>
    <d v="2023-03-30T00:00:00"/>
    <x v="29"/>
    <x v="1"/>
    <x v="4"/>
    <s v="Cape Town"/>
    <x v="2"/>
    <x v="3"/>
    <x v="12"/>
    <x v="4"/>
    <x v="395"/>
    <n v="1309.77"/>
    <n v="1589.07"/>
    <n v="0.10199999999999999"/>
    <b v="0"/>
    <n v="10"/>
    <n v="14269.848599999999"/>
    <n v="13097.7"/>
    <n v="1172.1485999999986"/>
    <n v="8.2141628328137886E-2"/>
    <s v="Medium"/>
  </r>
  <r>
    <s v="ORD-2024-993481"/>
    <d v="2024-08-18T00:00:00"/>
    <s v="Aug-2024"/>
    <s v="Q3-2024"/>
    <d v="2024-09-12T00:00:00"/>
    <d v="2024-09-12T00:00:00"/>
    <x v="1"/>
    <x v="3"/>
    <x v="9"/>
    <s v="Mumbai"/>
    <x v="2"/>
    <x v="1"/>
    <x v="8"/>
    <x v="3"/>
    <x v="396"/>
    <n v="1154.03"/>
    <n v="1590.36"/>
    <n v="0"/>
    <b v="0"/>
    <n v="18"/>
    <n v="28626.48"/>
    <n v="20772.54"/>
    <n v="7853.9399999999987"/>
    <n v="0.27435926456902837"/>
    <s v="Medium"/>
  </r>
  <r>
    <s v="ORD-2024-277241"/>
    <d v="2024-01-28T00:00:00"/>
    <s v="Jan-2024"/>
    <s v="Q1-2024"/>
    <d v="2024-01-30T00:00:00"/>
    <d v="2024-01-30T00:00:00"/>
    <x v="9"/>
    <x v="1"/>
    <x v="4"/>
    <s v="Cape Town"/>
    <x v="2"/>
    <x v="2"/>
    <x v="6"/>
    <x v="2"/>
    <x v="397"/>
    <n v="798.45"/>
    <n v="1592.02"/>
    <n v="6.6000000000000003E-2"/>
    <b v="0"/>
    <n v="18"/>
    <n v="26765.040239999998"/>
    <n v="14372.1"/>
    <n v="12392.940239999998"/>
    <n v="0.46302714768494585"/>
    <s v="Medium"/>
  </r>
  <r>
    <s v="ORD-2024-713332"/>
    <d v="2024-06-05T00:00:00"/>
    <s v="Jun-2024"/>
    <s v="Q2-2024"/>
    <d v="2024-06-23T00:00:00"/>
    <d v="2024-06-23T00:00:00"/>
    <x v="8"/>
    <x v="1"/>
    <x v="1"/>
    <s v="Nairobi"/>
    <x v="2"/>
    <x v="3"/>
    <x v="0"/>
    <x v="5"/>
    <x v="398"/>
    <n v="1208.74"/>
    <n v="1594.78"/>
    <n v="5.8999999999999997E-2"/>
    <b v="0"/>
    <n v="39"/>
    <n v="58526.83122"/>
    <n v="47140.86"/>
    <n v="11385.971219999999"/>
    <n v="0.1945427589817838"/>
    <s v="Medium"/>
  </r>
  <r>
    <s v="ORD-2024-331408"/>
    <d v="2024-02-01T00:00:00"/>
    <s v="Feb-2024"/>
    <s v="Q1-2024"/>
    <d v="2024-02-01T00:00:00"/>
    <d v="2024-02-01T00:00:00"/>
    <x v="15"/>
    <x v="2"/>
    <x v="3"/>
    <s v="Austin"/>
    <x v="2"/>
    <x v="3"/>
    <x v="2"/>
    <x v="6"/>
    <x v="399"/>
    <n v="714.43"/>
    <n v="1595.52"/>
    <n v="0.19400000000000001"/>
    <b v="0"/>
    <n v="14"/>
    <n v="18003.847679999999"/>
    <n v="10002.019999999999"/>
    <n v="8001.8276800000003"/>
    <n v="0.44445097638151093"/>
    <s v="Medium"/>
  </r>
  <r>
    <s v="ORD-2024-527858"/>
    <d v="2024-05-07T00:00:00"/>
    <s v="May-2024"/>
    <s v="Q2-2024"/>
    <d v="2024-05-12T00:00:00"/>
    <d v="2024-05-12T00:00:00"/>
    <x v="28"/>
    <x v="1"/>
    <x v="8"/>
    <s v="Abuja"/>
    <x v="4"/>
    <x v="3"/>
    <x v="5"/>
    <x v="5"/>
    <x v="400"/>
    <n v="1163.99"/>
    <n v="1617.85"/>
    <n v="0.127"/>
    <b v="0"/>
    <n v="14"/>
    <n v="19773.362699999998"/>
    <n v="16295.86"/>
    <n v="3477.5026999999973"/>
    <n v="0.17586804797749436"/>
    <s v="Medium"/>
  </r>
  <r>
    <s v="ORD-2023-281890"/>
    <d v="2023-03-13T00:00:00"/>
    <s v="Mar-2023"/>
    <s v="Q1-2023"/>
    <d v="2023-04-04T00:00:00"/>
    <d v="2023-04-04T00:00:00"/>
    <x v="13"/>
    <x v="1"/>
    <x v="4"/>
    <s v="Durban"/>
    <x v="1"/>
    <x v="0"/>
    <x v="13"/>
    <x v="4"/>
    <x v="401"/>
    <n v="1113.7"/>
    <n v="1620.6"/>
    <n v="0.13900000000000001"/>
    <b v="0"/>
    <n v="11"/>
    <n v="15348.702599999999"/>
    <n v="12250.7"/>
    <n v="3098.002599999998"/>
    <n v="0.20184133348182787"/>
    <s v="Medium"/>
  </r>
  <r>
    <s v="ORD-2025-474368"/>
    <d v="2025-04-27T00:00:00"/>
    <s v="Apr-2025"/>
    <s v="Q2-2025"/>
    <d v="2025-05-17T00:00:00"/>
    <d v="2025-05-17T00:00:00"/>
    <x v="14"/>
    <x v="2"/>
    <x v="3"/>
    <s v="Austin"/>
    <x v="0"/>
    <x v="2"/>
    <x v="9"/>
    <x v="3"/>
    <x v="402"/>
    <n v="932.26"/>
    <n v="1624.67"/>
    <n v="0.23499999999999999"/>
    <b v="0"/>
    <n v="28"/>
    <n v="34800.431400000001"/>
    <n v="26103.279999999999"/>
    <n v="8697.1514000000025"/>
    <n v="0.24991504559337163"/>
    <s v="Medium"/>
  </r>
  <r>
    <s v="ORD-2024-402240"/>
    <d v="2024-05-01T00:00:00"/>
    <s v="May-2024"/>
    <s v="Q2-2024"/>
    <d v="2024-05-26T00:00:00"/>
    <d v="2024-05-26T00:00:00"/>
    <x v="1"/>
    <x v="0"/>
    <x v="6"/>
    <s v="Berlin"/>
    <x v="4"/>
    <x v="0"/>
    <x v="4"/>
    <x v="1"/>
    <x v="403"/>
    <n v="930.71"/>
    <n v="1625.42"/>
    <n v="0.13800000000000001"/>
    <b v="0"/>
    <n v="7"/>
    <n v="9807.7842799999999"/>
    <n v="6514.97"/>
    <n v="3292.8142799999996"/>
    <n v="0.33573477821231196"/>
    <s v="Medium"/>
  </r>
  <r>
    <s v="ORD-2025-823055"/>
    <d v="2025-09-08T00:00:00"/>
    <s v="Sep-2025"/>
    <s v="Q3-2025"/>
    <d v="2025-10-05T00:00:00"/>
    <d v="2025-10-05T00:00:00"/>
    <x v="4"/>
    <x v="2"/>
    <x v="5"/>
    <s v="Rio de Janeiro"/>
    <x v="5"/>
    <x v="4"/>
    <x v="8"/>
    <x v="0"/>
    <x v="404"/>
    <n v="660.78"/>
    <n v="1630.39"/>
    <n v="0.218"/>
    <b v="0"/>
    <n v="13"/>
    <n v="16574.544740000001"/>
    <n v="8590.14"/>
    <n v="7984.4047400000018"/>
    <n v="0.48172694123724097"/>
    <s v="Medium"/>
  </r>
  <r>
    <s v="ORD-2024-836421"/>
    <d v="2024-12-14T00:00:00"/>
    <s v="Dec-2024"/>
    <s v="Q4-2024"/>
    <d v="2025-01-12T00:00:00"/>
    <d v="2025-01-12T00:00:00"/>
    <x v="12"/>
    <x v="3"/>
    <x v="10"/>
    <s v="Shenzhen"/>
    <x v="5"/>
    <x v="4"/>
    <x v="3"/>
    <x v="4"/>
    <x v="405"/>
    <n v="1412.15"/>
    <n v="1631.04"/>
    <n v="8.9999999999999993E-3"/>
    <b v="0"/>
    <n v="6"/>
    <n v="9698.1638399999993"/>
    <n v="8472.9000000000015"/>
    <n v="1225.2638399999978"/>
    <n v="0.12633977526203535"/>
    <s v="Medium"/>
  </r>
  <r>
    <s v="ORD-2023-261081"/>
    <d v="2023-07-24T00:00:00"/>
    <s v="Jul-2023"/>
    <s v="Q3-2023"/>
    <d v="2023-08-19T00:00:00"/>
    <d v="2023-08-19T00:00:00"/>
    <x v="24"/>
    <x v="1"/>
    <x v="1"/>
    <s v="Nairobi"/>
    <x v="3"/>
    <x v="3"/>
    <x v="7"/>
    <x v="2"/>
    <x v="406"/>
    <n v="661.45"/>
    <n v="1634.86"/>
    <n v="0"/>
    <b v="0"/>
    <n v="24"/>
    <n v="39236.639999999999"/>
    <n v="15874.800000000001"/>
    <n v="23361.839999999997"/>
    <n v="0.59540878118003981"/>
    <s v="Medium"/>
  </r>
  <r>
    <s v="ORD-2024-972999"/>
    <d v="2024-09-06T00:00:00"/>
    <s v="Sep-2024"/>
    <s v="Q3-2024"/>
    <d v="2024-10-04T00:00:00"/>
    <d v="2024-10-04T00:00:00"/>
    <x v="27"/>
    <x v="1"/>
    <x v="4"/>
    <s v="Cape Town"/>
    <x v="0"/>
    <x v="1"/>
    <x v="0"/>
    <x v="0"/>
    <x v="407"/>
    <n v="1174.17"/>
    <n v="1641.61"/>
    <n v="0.122"/>
    <b v="0"/>
    <n v="9"/>
    <n v="12972.00222"/>
    <n v="10567.53"/>
    <n v="2404.4722199999997"/>
    <n v="0.18535860380079394"/>
    <s v="High"/>
  </r>
  <r>
    <s v="ORD-2023-912395"/>
    <d v="2023-07-26T00:00:00"/>
    <s v="Jul-2023"/>
    <s v="Q3-2023"/>
    <d v="2023-08-25T00:00:00"/>
    <d v="2023-08-25T00:00:00"/>
    <x v="0"/>
    <x v="2"/>
    <x v="3"/>
    <s v="New York"/>
    <x v="2"/>
    <x v="0"/>
    <x v="7"/>
    <x v="2"/>
    <x v="408"/>
    <n v="1261.48"/>
    <n v="1643.18"/>
    <n v="0.151"/>
    <b v="0"/>
    <n v="23"/>
    <n v="32086.37586"/>
    <n v="29014.04"/>
    <n v="3072.3358599999992"/>
    <n v="9.5752037357079045E-2"/>
    <s v="High"/>
  </r>
  <r>
    <s v="ORD-2023-356427"/>
    <d v="2023-04-13T00:00:00"/>
    <s v="Apr-2023"/>
    <s v="Q2-2023"/>
    <d v="2023-05-02T00:00:00"/>
    <d v="2023-05-02T00:00:00"/>
    <x v="19"/>
    <x v="2"/>
    <x v="11"/>
    <s v="Montreal"/>
    <x v="2"/>
    <x v="3"/>
    <x v="10"/>
    <x v="0"/>
    <x v="409"/>
    <n v="671.05"/>
    <n v="1645.48"/>
    <n v="0.13700000000000001"/>
    <b v="0"/>
    <n v="6"/>
    <n v="8520.2954399999999"/>
    <n v="4026.2999999999997"/>
    <n v="4493.9954400000006"/>
    <n v="0.52744596377517172"/>
    <s v="High"/>
  </r>
  <r>
    <s v="ORD-2024-704056"/>
    <d v="2024-06-23T00:00:00"/>
    <s v="Jun-2024"/>
    <s v="Q2-2024"/>
    <d v="2024-06-25T00:00:00"/>
    <d v="2024-06-25T00:00:00"/>
    <x v="9"/>
    <x v="0"/>
    <x v="0"/>
    <s v="Birmingham"/>
    <x v="1"/>
    <x v="1"/>
    <x v="5"/>
    <x v="2"/>
    <x v="410"/>
    <n v="951.44"/>
    <n v="1646.43"/>
    <n v="0.11"/>
    <b v="0"/>
    <n v="24"/>
    <n v="35167.7448"/>
    <n v="22834.560000000001"/>
    <n v="12333.184799999999"/>
    <n v="0.35069592520473475"/>
    <s v="High"/>
  </r>
  <r>
    <s v="ORD-2024-499009"/>
    <d v="2024-01-25T00:00:00"/>
    <s v="Jan-2024"/>
    <s v="Q1-2024"/>
    <d v="2024-01-27T00:00:00"/>
    <d v="2024-01-27T00:00:00"/>
    <x v="9"/>
    <x v="2"/>
    <x v="5"/>
    <s v="São Paulo"/>
    <x v="4"/>
    <x v="1"/>
    <x v="9"/>
    <x v="5"/>
    <x v="411"/>
    <n v="1410.97"/>
    <n v="1650.75"/>
    <n v="0.13500000000000001"/>
    <b v="0"/>
    <n v="6"/>
    <n v="8567.3924999999999"/>
    <n v="8465.82"/>
    <n v="101.57250000000022"/>
    <n v="1.1855707556295596E-2"/>
    <s v="High"/>
  </r>
  <r>
    <s v="ORD-2024-553449"/>
    <d v="2024-08-27T00:00:00"/>
    <s v="Aug-2024"/>
    <s v="Q3-2024"/>
    <d v="2024-09-18T00:00:00"/>
    <d v="2024-09-18T00:00:00"/>
    <x v="13"/>
    <x v="3"/>
    <x v="9"/>
    <s v="Delhi"/>
    <x v="2"/>
    <x v="2"/>
    <x v="4"/>
    <x v="4"/>
    <x v="412"/>
    <n v="896.75"/>
    <n v="1651.14"/>
    <n v="2.5000000000000001E-2"/>
    <b v="0"/>
    <n v="15"/>
    <n v="24147.922500000001"/>
    <n v="13451.25"/>
    <n v="10696.672500000001"/>
    <n v="0.44296450346815552"/>
    <s v="High"/>
  </r>
  <r>
    <s v="ORD-2025-248586"/>
    <d v="2025-09-12T00:00:00"/>
    <s v="Sep-2025"/>
    <s v="Q3-2025"/>
    <d v="2025-09-30T00:00:00"/>
    <d v="2025-09-30T00:00:00"/>
    <x v="8"/>
    <x v="3"/>
    <x v="7"/>
    <s v="Nagoya"/>
    <x v="4"/>
    <x v="1"/>
    <x v="6"/>
    <x v="0"/>
    <x v="413"/>
    <n v="1212.99"/>
    <n v="1653.64"/>
    <n v="0.107"/>
    <b v="0"/>
    <n v="8"/>
    <n v="11813.604160000001"/>
    <n v="9703.92"/>
    <n v="2109.6841600000007"/>
    <n v="0.17858090819931455"/>
    <s v="High"/>
  </r>
  <r>
    <s v="ORD-2024-555229"/>
    <d v="2024-05-18T00:00:00"/>
    <s v="May-2024"/>
    <s v="Q2-2024"/>
    <d v="2024-05-22T00:00:00"/>
    <d v="2024-05-22T00:00:00"/>
    <x v="17"/>
    <x v="1"/>
    <x v="1"/>
    <s v="Nairobi"/>
    <x v="0"/>
    <x v="2"/>
    <x v="2"/>
    <x v="2"/>
    <x v="414"/>
    <n v="857.42"/>
    <n v="1658.92"/>
    <n v="0.122"/>
    <b v="0"/>
    <n v="9"/>
    <n v="13108.78584"/>
    <n v="7716.78"/>
    <n v="5392.0058400000007"/>
    <n v="0.41132763215544305"/>
    <s v="High"/>
  </r>
  <r>
    <s v="ORD-2025-548982"/>
    <d v="2025-04-07T00:00:00"/>
    <s v="Apr-2025"/>
    <s v="Q2-2025"/>
    <d v="2025-04-11T00:00:00"/>
    <d v="2025-04-11T00:00:00"/>
    <x v="17"/>
    <x v="0"/>
    <x v="2"/>
    <s v="Lyon"/>
    <x v="5"/>
    <x v="0"/>
    <x v="10"/>
    <x v="1"/>
    <x v="415"/>
    <n v="754.77"/>
    <n v="1666.18"/>
    <n v="0.13900000000000001"/>
    <b v="0"/>
    <n v="14"/>
    <n v="20084.133720000002"/>
    <n v="10566.779999999999"/>
    <n v="9517.3537200000028"/>
    <n v="0.47387424584424653"/>
    <s v="High"/>
  </r>
  <r>
    <s v="ORD-2024-855600"/>
    <d v="2024-04-29T00:00:00"/>
    <s v="Apr-2024"/>
    <s v="Q2-2024"/>
    <d v="2024-05-19T00:00:00"/>
    <d v="2024-05-19T00:00:00"/>
    <x v="14"/>
    <x v="0"/>
    <x v="6"/>
    <s v="Frankfurt"/>
    <x v="3"/>
    <x v="1"/>
    <x v="8"/>
    <x v="5"/>
    <x v="416"/>
    <n v="668.97"/>
    <n v="1667.44"/>
    <n v="3.4000000000000002E-2"/>
    <b v="0"/>
    <n v="15"/>
    <n v="24161.205600000001"/>
    <n v="10034.550000000001"/>
    <n v="14126.6556"/>
    <n v="0.58468339013679016"/>
    <s v="High"/>
  </r>
  <r>
    <s v="ORD-2023-744942"/>
    <d v="2023-02-23T00:00:00"/>
    <s v="Feb-2023"/>
    <s v="Q1-2023"/>
    <d v="2023-03-18T00:00:00"/>
    <d v="2023-03-18T00:00:00"/>
    <x v="23"/>
    <x v="3"/>
    <x v="10"/>
    <s v="Beijing"/>
    <x v="5"/>
    <x v="3"/>
    <x v="12"/>
    <x v="6"/>
    <x v="417"/>
    <n v="770.11"/>
    <n v="1667.82"/>
    <n v="6.9000000000000006E-2"/>
    <b v="0"/>
    <n v="7"/>
    <n v="10869.182940000001"/>
    <n v="5390.77"/>
    <n v="5478.4129400000002"/>
    <n v="0.50403171703355287"/>
    <s v="High"/>
  </r>
  <r>
    <s v="ORD-2024-594592"/>
    <d v="2024-04-06T00:00:00"/>
    <s v="Apr-2024"/>
    <s v="Q2-2024"/>
    <d v="2024-04-25T00:00:00"/>
    <d v="2024-04-25T00:00:00"/>
    <x v="19"/>
    <x v="3"/>
    <x v="10"/>
    <s v="Shanghai"/>
    <x v="0"/>
    <x v="0"/>
    <x v="12"/>
    <x v="4"/>
    <x v="418"/>
    <n v="1366.48"/>
    <n v="1678.14"/>
    <n v="0.154"/>
    <b v="0"/>
    <n v="10"/>
    <n v="14197.064400000001"/>
    <n v="13664.8"/>
    <n v="532.26440000000184"/>
    <n v="3.7491159087790132E-2"/>
    <s v="High"/>
  </r>
  <r>
    <s v="ORD-2023-178249"/>
    <d v="2023-12-29T00:00:00"/>
    <s v="Dec-2023"/>
    <s v="Q4-2023"/>
    <d v="2024-01-20T00:00:00"/>
    <d v="2024-01-20T00:00:00"/>
    <x v="13"/>
    <x v="1"/>
    <x v="1"/>
    <s v="Kisumu"/>
    <x v="0"/>
    <x v="2"/>
    <x v="5"/>
    <x v="3"/>
    <x v="419"/>
    <n v="1395.49"/>
    <n v="1679.42"/>
    <n v="0.20300000000000001"/>
    <b v="0"/>
    <n v="12"/>
    <n v="16061.972879999999"/>
    <n v="16745.88"/>
    <n v="-683.90712000000167"/>
    <n v="-4.2579272490964493E-2"/>
    <s v="High"/>
  </r>
  <r>
    <s v="ORD-2024-251426"/>
    <d v="2024-03-09T00:00:00"/>
    <s v="Mar-2024"/>
    <s v="Q1-2024"/>
    <d v="2024-03-26T00:00:00"/>
    <d v="2024-03-26T00:00:00"/>
    <x v="25"/>
    <x v="2"/>
    <x v="3"/>
    <s v="San Francisco"/>
    <x v="5"/>
    <x v="2"/>
    <x v="1"/>
    <x v="3"/>
    <x v="420"/>
    <n v="1137.4100000000001"/>
    <n v="1680.93"/>
    <n v="0.254"/>
    <b v="0"/>
    <n v="9"/>
    <n v="11285.764020000001"/>
    <n v="10236.69"/>
    <n v="1049.07402"/>
    <n v="9.2955516183121464E-2"/>
    <s v="High"/>
  </r>
  <r>
    <s v="ORD-2025-276968"/>
    <d v="2025-02-25T00:00:00"/>
    <s v="Feb-2025"/>
    <s v="Q1-2025"/>
    <d v="2025-03-17T00:00:00"/>
    <d v="2025-03-17T00:00:00"/>
    <x v="14"/>
    <x v="2"/>
    <x v="3"/>
    <s v="San Francisco"/>
    <x v="4"/>
    <x v="1"/>
    <x v="2"/>
    <x v="3"/>
    <x v="421"/>
    <n v="1205.26"/>
    <n v="1696.35"/>
    <n v="1.9E-2"/>
    <b v="0"/>
    <n v="6"/>
    <n v="9984.7160999999978"/>
    <n v="7231.5599999999995"/>
    <n v="2753.1560999999983"/>
    <n v="0.27573704374028213"/>
    <s v="High"/>
  </r>
  <r>
    <s v="ORD-2025-705398"/>
    <d v="2025-02-17T00:00:00"/>
    <s v="Feb-2025"/>
    <s v="Q1-2025"/>
    <d v="2025-02-15T00:00:00"/>
    <d v="2025-03-03T00:00:00"/>
    <x v="7"/>
    <x v="2"/>
    <x v="11"/>
    <s v="Toronto"/>
    <x v="1"/>
    <x v="0"/>
    <x v="0"/>
    <x v="4"/>
    <x v="422"/>
    <n v="1133.47"/>
    <n v="1698.75"/>
    <n v="4.2999999999999997E-2"/>
    <b v="0"/>
    <n v="5"/>
    <n v="8128.5187499999993"/>
    <n v="5667.35"/>
    <n v="2461.1687499999989"/>
    <n v="0.30278194904821976"/>
    <s v="High"/>
  </r>
  <r>
    <s v="ORD-2023-623293"/>
    <d v="2023-10-12T00:00:00"/>
    <s v="Oct-2023"/>
    <s v="Q4-2023"/>
    <d v="2023-10-29T00:00:00"/>
    <d v="2023-10-29T00:00:00"/>
    <x v="25"/>
    <x v="3"/>
    <x v="7"/>
    <s v="Nagoya"/>
    <x v="4"/>
    <x v="2"/>
    <x v="2"/>
    <x v="3"/>
    <x v="423"/>
    <n v="1102.19"/>
    <n v="1711.16"/>
    <n v="0.151"/>
    <b v="0"/>
    <n v="10"/>
    <n v="14527.748400000002"/>
    <n v="11021.900000000001"/>
    <n v="3505.8484000000008"/>
    <n v="0.24132083675127525"/>
    <s v="High"/>
  </r>
  <r>
    <s v="ORD-2025-960931"/>
    <d v="2025-08-20T00:00:00"/>
    <s v="Aug-2025"/>
    <s v="Q3-2025"/>
    <d v="2025-08-26T00:00:00"/>
    <d v="2025-08-26T00:00:00"/>
    <x v="18"/>
    <x v="2"/>
    <x v="3"/>
    <s v="New York"/>
    <x v="0"/>
    <x v="0"/>
    <x v="7"/>
    <x v="1"/>
    <x v="424"/>
    <n v="1304.95"/>
    <n v="1712.03"/>
    <n v="0.21199999999999999"/>
    <b v="0"/>
    <n v="8"/>
    <n v="10792.637119999999"/>
    <n v="10439.6"/>
    <n v="353.03711999999905"/>
    <n v="3.2710922833287949E-2"/>
    <s v="High"/>
  </r>
  <r>
    <s v="ORD-2024-243988"/>
    <d v="2024-03-13T00:00:00"/>
    <s v="Mar-2024"/>
    <s v="Q1-2024"/>
    <d v="2024-04-06T00:00:00"/>
    <d v="2024-04-06T00:00:00"/>
    <x v="30"/>
    <x v="1"/>
    <x v="8"/>
    <s v="Abuja"/>
    <x v="2"/>
    <x v="3"/>
    <x v="5"/>
    <x v="4"/>
    <x v="425"/>
    <n v="1232.78"/>
    <n v="1731.75"/>
    <n v="9.2999999999999999E-2"/>
    <b v="0"/>
    <n v="16"/>
    <n v="25131.155999999999"/>
    <n v="19724.48"/>
    <n v="5406.6759999999995"/>
    <n v="0.21513837246484005"/>
    <s v="High"/>
  </r>
  <r>
    <s v="ORD-2025-718992"/>
    <d v="2025-06-24T00:00:00"/>
    <s v="Jun-2025"/>
    <s v="Q2-2025"/>
    <d v="2025-07-10T00:00:00"/>
    <d v="2025-07-10T00:00:00"/>
    <x v="29"/>
    <x v="3"/>
    <x v="10"/>
    <s v="Shanghai"/>
    <x v="3"/>
    <x v="2"/>
    <x v="9"/>
    <x v="4"/>
    <x v="426"/>
    <n v="757.19"/>
    <n v="1735.41"/>
    <n v="0.13600000000000001"/>
    <b v="0"/>
    <n v="8"/>
    <n v="11995.153920000001"/>
    <n v="6057.52"/>
    <n v="5937.6339200000002"/>
    <n v="0.4950027285685718"/>
    <s v="High"/>
  </r>
  <r>
    <s v="ORD-2024-390951"/>
    <d v="2024-12-20T00:00:00"/>
    <s v="Dec-2024"/>
    <s v="Q4-2024"/>
    <d v="2025-01-14T00:00:00"/>
    <d v="2025-01-14T00:00:00"/>
    <x v="1"/>
    <x v="3"/>
    <x v="9"/>
    <s v="Delhi"/>
    <x v="1"/>
    <x v="0"/>
    <x v="7"/>
    <x v="6"/>
    <x v="427"/>
    <n v="1361.34"/>
    <n v="1737.9"/>
    <n v="7.6999999999999999E-2"/>
    <b v="0"/>
    <n v="14"/>
    <n v="22457.143800000002"/>
    <n v="19058.759999999998"/>
    <n v="3398.3838000000032"/>
    <n v="0.15132751654731813"/>
    <s v="High"/>
  </r>
  <r>
    <s v="ORD-2024-296582"/>
    <d v="2024-01-11T00:00:00"/>
    <s v="Jan-2024"/>
    <s v="Q1-2024"/>
    <d v="2024-02-02T00:00:00"/>
    <d v="2024-02-02T00:00:00"/>
    <x v="13"/>
    <x v="1"/>
    <x v="4"/>
    <s v="Durban"/>
    <x v="2"/>
    <x v="4"/>
    <x v="12"/>
    <x v="1"/>
    <x v="428"/>
    <n v="1206.2"/>
    <n v="1759.79"/>
    <n v="0"/>
    <b v="0"/>
    <n v="6"/>
    <n v="10558.74"/>
    <n v="7237.2000000000007"/>
    <n v="3321.5399999999991"/>
    <n v="0.31457730751964713"/>
    <s v="High"/>
  </r>
  <r>
    <s v="ORD-2024-805860"/>
    <d v="2024-09-13T00:00:00"/>
    <s v="Sep-2024"/>
    <s v="Q3-2024"/>
    <d v="2024-10-02T00:00:00"/>
    <d v="2024-10-02T00:00:00"/>
    <x v="19"/>
    <x v="1"/>
    <x v="1"/>
    <s v="Mombasa"/>
    <x v="1"/>
    <x v="0"/>
    <x v="7"/>
    <x v="3"/>
    <x v="429"/>
    <n v="1338.99"/>
    <n v="1765.76"/>
    <n v="0.126"/>
    <b v="0"/>
    <n v="24"/>
    <n v="37038.581760000001"/>
    <n v="32135.760000000002"/>
    <n v="4902.8217599999989"/>
    <n v="0.1323706666677725"/>
    <s v="High"/>
  </r>
  <r>
    <s v="ORD-2023-369160"/>
    <d v="2023-07-24T00:00:00"/>
    <s v="Jul-2023"/>
    <s v="Q3-2023"/>
    <d v="2023-08-13T00:00:00"/>
    <d v="2023-08-13T00:00:00"/>
    <x v="14"/>
    <x v="2"/>
    <x v="11"/>
    <s v="Montreal"/>
    <x v="5"/>
    <x v="2"/>
    <x v="8"/>
    <x v="0"/>
    <x v="430"/>
    <n v="1082.3800000000001"/>
    <n v="1766.55"/>
    <n v="0.16400000000000001"/>
    <b v="0"/>
    <n v="20"/>
    <n v="29536.716"/>
    <n v="21647.600000000002"/>
    <n v="7889.1159999999982"/>
    <n v="0.26709523157550752"/>
    <s v="High"/>
  </r>
  <r>
    <s v="ORD-2023-159821"/>
    <d v="2023-07-01T00:00:00"/>
    <s v="Jul-2023"/>
    <s v="Q3-2023"/>
    <d v="2023-07-08T00:00:00"/>
    <d v="2023-07-08T00:00:00"/>
    <x v="11"/>
    <x v="1"/>
    <x v="8"/>
    <s v="Port Harcourt"/>
    <x v="0"/>
    <x v="0"/>
    <x v="13"/>
    <x v="5"/>
    <x v="431"/>
    <n v="834.26"/>
    <n v="1780.56"/>
    <n v="1.4E-2"/>
    <b v="0"/>
    <n v="47"/>
    <n v="82514.711519999997"/>
    <n v="39210.22"/>
    <n v="43304.491519999996"/>
    <n v="0.5248093427497933"/>
    <s v="High"/>
  </r>
  <r>
    <s v="ORD-2024-964950"/>
    <d v="2024-10-10T00:00:00"/>
    <s v="Oct-2024"/>
    <s v="Q4-2024"/>
    <d v="2024-10-11T00:00:00"/>
    <d v="2024-10-11T00:00:00"/>
    <x v="26"/>
    <x v="0"/>
    <x v="0"/>
    <s v="Manchester"/>
    <x v="4"/>
    <x v="3"/>
    <x v="5"/>
    <x v="4"/>
    <x v="432"/>
    <n v="1389.46"/>
    <n v="1784.7"/>
    <n v="0.14599999999999999"/>
    <b v="0"/>
    <n v="33"/>
    <n v="50296.415399999998"/>
    <n v="45852.18"/>
    <n v="4444.2353999999978"/>
    <n v="8.8360877503011831E-2"/>
    <s v="High"/>
  </r>
  <r>
    <s v="ORD-2024-442776"/>
    <d v="2024-06-30T00:00:00"/>
    <s v="Jun-2024"/>
    <s v="Q2-2024"/>
    <d v="2024-07-21T00:00:00"/>
    <d v="2024-07-21T00:00:00"/>
    <x v="20"/>
    <x v="1"/>
    <x v="1"/>
    <s v="Kisumu"/>
    <x v="1"/>
    <x v="0"/>
    <x v="12"/>
    <x v="5"/>
    <x v="433"/>
    <n v="753.43"/>
    <n v="1787.2"/>
    <n v="7.2999999999999995E-2"/>
    <b v="0"/>
    <n v="9"/>
    <n v="14910.609600000002"/>
    <n v="6780.87"/>
    <n v="8129.7396000000017"/>
    <n v="0.54523187301476939"/>
    <s v="High"/>
  </r>
  <r>
    <s v="ORD-2023-292714"/>
    <d v="2023-07-10T00:00:00"/>
    <s v="Jul-2023"/>
    <s v="Q3-2023"/>
    <d v="2023-08-01T00:00:00"/>
    <d v="2023-08-01T00:00:00"/>
    <x v="13"/>
    <x v="0"/>
    <x v="2"/>
    <s v="Marseille"/>
    <x v="2"/>
    <x v="1"/>
    <x v="4"/>
    <x v="6"/>
    <x v="434"/>
    <n v="1303.56"/>
    <n v="1791.37"/>
    <n v="0.126"/>
    <b v="0"/>
    <n v="22"/>
    <n v="34444.462359999998"/>
    <n v="28678.32"/>
    <n v="5766.142359999998"/>
    <n v="0.16740404596055358"/>
    <s v="High"/>
  </r>
  <r>
    <s v="ORD-2025-646342"/>
    <d v="2025-08-02T00:00:00"/>
    <s v="Aug-2025"/>
    <s v="Q3-2025"/>
    <d v="2025-08-08T00:00:00"/>
    <d v="2025-08-08T00:00:00"/>
    <x v="18"/>
    <x v="3"/>
    <x v="7"/>
    <s v="Osaka"/>
    <x v="2"/>
    <x v="2"/>
    <x v="9"/>
    <x v="5"/>
    <x v="435"/>
    <n v="1225.94"/>
    <n v="1793.08"/>
    <n v="0.13600000000000001"/>
    <b v="0"/>
    <n v="22"/>
    <n v="34082.864639999993"/>
    <n v="26970.68"/>
    <n v="7112.1846399999922"/>
    <n v="0.20867332353434462"/>
    <s v="High"/>
  </r>
  <r>
    <s v="ORD-2023-562894"/>
    <d v="2023-02-23T00:00:00"/>
    <s v="Feb-2023"/>
    <s v="Q1-2023"/>
    <d v="2023-03-25T00:00:00"/>
    <d v="2023-03-25T00:00:00"/>
    <x v="0"/>
    <x v="2"/>
    <x v="11"/>
    <s v="Montreal"/>
    <x v="3"/>
    <x v="4"/>
    <x v="0"/>
    <x v="3"/>
    <x v="436"/>
    <n v="1242.6600000000001"/>
    <n v="1794.07"/>
    <n v="8.8999999999999996E-2"/>
    <b v="0"/>
    <n v="16"/>
    <n v="26150.364320000001"/>
    <n v="19882.560000000001"/>
    <n v="6267.8043199999993"/>
    <n v="0.23968325042440553"/>
    <s v="High"/>
  </r>
  <r>
    <s v="ORD-2024-223618"/>
    <d v="2024-06-10T00:00:00"/>
    <s v="Jun-2024"/>
    <s v="Q2-2024"/>
    <d v="2024-06-11T00:00:00"/>
    <d v="2024-06-11T00:00:00"/>
    <x v="26"/>
    <x v="0"/>
    <x v="0"/>
    <s v="Birmingham"/>
    <x v="1"/>
    <x v="1"/>
    <x v="7"/>
    <x v="5"/>
    <x v="437"/>
    <n v="1187.1300000000001"/>
    <n v="1795.17"/>
    <n v="1.2E-2"/>
    <b v="0"/>
    <n v="17"/>
    <n v="30151.675319999998"/>
    <n v="20181.210000000003"/>
    <n v="9970.4653199999957"/>
    <n v="0.33067699271046663"/>
    <s v="High"/>
  </r>
  <r>
    <s v="ORD-2024-907733"/>
    <d v="2024-03-09T00:00:00"/>
    <s v="Mar-2024"/>
    <s v="Q1-2024"/>
    <d v="2024-03-22T00:00:00"/>
    <d v="2024-03-22T00:00:00"/>
    <x v="6"/>
    <x v="0"/>
    <x v="0"/>
    <s v="Manchester"/>
    <x v="2"/>
    <x v="4"/>
    <x v="10"/>
    <x v="5"/>
    <x v="438"/>
    <n v="985.45"/>
    <n v="1802.44"/>
    <n v="8.9999999999999993E-3"/>
    <b v="0"/>
    <n v="19"/>
    <n v="33938.142760000002"/>
    <n v="18723.55"/>
    <n v="15214.592760000003"/>
    <n v="0.44830363486867486"/>
    <s v="High"/>
  </r>
  <r>
    <s v="ORD-2024-687100"/>
    <d v="2024-09-10T00:00:00"/>
    <s v="Sep-2024"/>
    <s v="Q3-2024"/>
    <d v="2024-10-07T00:00:00"/>
    <d v="2024-10-07T00:00:00"/>
    <x v="4"/>
    <x v="1"/>
    <x v="1"/>
    <s v="Kisumu"/>
    <x v="2"/>
    <x v="0"/>
    <x v="5"/>
    <x v="6"/>
    <x v="439"/>
    <n v="1248.3900000000001"/>
    <n v="1805.11"/>
    <n v="0.20300000000000001"/>
    <b v="0"/>
    <n v="11"/>
    <n v="15825.399369999997"/>
    <n v="13732.29"/>
    <n v="2093.1093699999965"/>
    <n v="0.13226265707820786"/>
    <s v="High"/>
  </r>
  <r>
    <s v="ORD-2025-330203"/>
    <d v="2025-03-25T00:00:00"/>
    <s v="Mar-2025"/>
    <s v="Q1-2025"/>
    <d v="2025-04-17T00:00:00"/>
    <d v="2025-04-17T00:00:00"/>
    <x v="23"/>
    <x v="0"/>
    <x v="0"/>
    <s v="London"/>
    <x v="2"/>
    <x v="0"/>
    <x v="2"/>
    <x v="1"/>
    <x v="440"/>
    <n v="1421.19"/>
    <n v="1808.26"/>
    <n v="0.104"/>
    <b v="0"/>
    <n v="13"/>
    <n v="21062.61248"/>
    <n v="18475.47"/>
    <n v="2587.1424799999986"/>
    <n v="0.12283103449093123"/>
    <s v="High"/>
  </r>
  <r>
    <s v="ORD-2024-301260"/>
    <d v="2024-07-29T00:00:00"/>
    <s v="Jul-2024"/>
    <s v="Q3-2024"/>
    <d v="2024-07-31T00:00:00"/>
    <d v="2024-07-31T00:00:00"/>
    <x v="9"/>
    <x v="2"/>
    <x v="3"/>
    <s v="New York"/>
    <x v="5"/>
    <x v="1"/>
    <x v="1"/>
    <x v="6"/>
    <x v="441"/>
    <n v="798.97"/>
    <n v="1814.06"/>
    <n v="0.122"/>
    <b v="0"/>
    <n v="16"/>
    <n v="25483.91488"/>
    <n v="12783.52"/>
    <n v="12700.39488"/>
    <n v="0.49836906691159061"/>
    <s v="High"/>
  </r>
  <r>
    <s v="ORD-2024-333192"/>
    <d v="2024-10-29T00:00:00"/>
    <s v="Oct-2024"/>
    <s v="Q4-2024"/>
    <d v="2024-11-04T00:00:00"/>
    <d v="2024-11-04T00:00:00"/>
    <x v="18"/>
    <x v="1"/>
    <x v="1"/>
    <s v="Nairobi"/>
    <x v="0"/>
    <x v="3"/>
    <x v="7"/>
    <x v="6"/>
    <x v="442"/>
    <n v="805.81"/>
    <n v="1823.04"/>
    <n v="0"/>
    <b v="0"/>
    <n v="11"/>
    <n v="20053.439999999999"/>
    <n v="8863.91"/>
    <n v="11189.529999999999"/>
    <n v="0.55798556257679477"/>
    <s v="High"/>
  </r>
  <r>
    <s v="ORD-2024-966651"/>
    <d v="2024-10-14T00:00:00"/>
    <s v="Oct-2024"/>
    <s v="Q4-2024"/>
    <d v="2024-11-08T00:00:00"/>
    <d v="2024-11-08T00:00:00"/>
    <x v="1"/>
    <x v="1"/>
    <x v="8"/>
    <s v="Lagos"/>
    <x v="3"/>
    <x v="4"/>
    <x v="11"/>
    <x v="1"/>
    <x v="443"/>
    <n v="859.35"/>
    <n v="1825.61"/>
    <n v="0.187"/>
    <b v="0"/>
    <n v="24"/>
    <n v="35621.302319999995"/>
    <n v="20624.400000000001"/>
    <n v="14996.902319999994"/>
    <n v="0.42100937762681989"/>
    <s v="High"/>
  </r>
  <r>
    <s v="ORD-2024-766980"/>
    <d v="2024-11-04T00:00:00"/>
    <s v="Nov-2024"/>
    <s v="Q4-2024"/>
    <d v="2024-11-07T00:00:00"/>
    <d v="2024-11-07T00:00:00"/>
    <x v="5"/>
    <x v="0"/>
    <x v="2"/>
    <s v="Lyon"/>
    <x v="0"/>
    <x v="4"/>
    <x v="11"/>
    <x v="0"/>
    <x v="444"/>
    <n v="740.68"/>
    <n v="1837.19"/>
    <n v="0.19700000000000001"/>
    <b v="0"/>
    <n v="17"/>
    <n v="25079.480689999997"/>
    <n v="12591.56"/>
    <n v="12487.920689999997"/>
    <n v="0.4979337827748298"/>
    <s v="High"/>
  </r>
  <r>
    <s v="ORD-2024-331226"/>
    <d v="2024-11-30T00:00:00"/>
    <s v="Nov-2024"/>
    <s v="Q4-2024"/>
    <d v="2024-12-19T00:00:00"/>
    <d v="2024-12-19T00:00:00"/>
    <x v="19"/>
    <x v="1"/>
    <x v="1"/>
    <s v="Kisumu"/>
    <x v="0"/>
    <x v="4"/>
    <x v="5"/>
    <x v="3"/>
    <x v="445"/>
    <n v="1195.98"/>
    <n v="1841.9"/>
    <n v="5.5E-2"/>
    <b v="0"/>
    <n v="19"/>
    <n v="33071.3145"/>
    <n v="22723.62"/>
    <n v="10347.694500000001"/>
    <n v="0.31289032977506842"/>
    <s v="High"/>
  </r>
  <r>
    <s v="ORD-2023-243704"/>
    <d v="2023-08-29T00:00:00"/>
    <s v="Aug-2023"/>
    <s v="Q3-2023"/>
    <d v="2023-09-19T00:00:00"/>
    <d v="2023-09-19T00:00:00"/>
    <x v="20"/>
    <x v="0"/>
    <x v="2"/>
    <s v="Lyon"/>
    <x v="1"/>
    <x v="2"/>
    <x v="4"/>
    <x v="6"/>
    <x v="446"/>
    <n v="784.46"/>
    <n v="1843.51"/>
    <n v="0.13800000000000001"/>
    <b v="0"/>
    <n v="23"/>
    <n v="36549.429260000004"/>
    <n v="18042.580000000002"/>
    <n v="18506.849260000003"/>
    <n v="0.50635125184441798"/>
    <s v="High"/>
  </r>
  <r>
    <s v="ORD-2024-584090"/>
    <d v="2024-06-07T00:00:00"/>
    <s v="Jun-2024"/>
    <s v="Q2-2024"/>
    <d v="2024-06-26T00:00:00"/>
    <d v="2024-06-26T00:00:00"/>
    <x v="19"/>
    <x v="0"/>
    <x v="6"/>
    <s v="Berlin"/>
    <x v="4"/>
    <x v="1"/>
    <x v="7"/>
    <x v="4"/>
    <x v="447"/>
    <n v="1064.32"/>
    <n v="1848.39"/>
    <n v="7.2999999999999995E-2"/>
    <b v="0"/>
    <n v="38"/>
    <n v="65111.38614000001"/>
    <n v="40444.159999999996"/>
    <n v="24667.226140000013"/>
    <n v="0.3788465827921631"/>
    <s v="High"/>
  </r>
  <r>
    <s v="ORD-2024-329104"/>
    <d v="2024-05-23T00:00:00"/>
    <s v="May-2024"/>
    <s v="Q2-2024"/>
    <d v="2024-06-14T00:00:00"/>
    <d v="2024-06-14T00:00:00"/>
    <x v="13"/>
    <x v="0"/>
    <x v="2"/>
    <s v="Marseille"/>
    <x v="1"/>
    <x v="4"/>
    <x v="9"/>
    <x v="0"/>
    <x v="448"/>
    <n v="1481.74"/>
    <n v="1848.97"/>
    <n v="0.254"/>
    <b v="0"/>
    <n v="9"/>
    <n v="12413.98458"/>
    <n v="13335.66"/>
    <n v="-921.67541999999958"/>
    <n v="-7.4244930309072407E-2"/>
    <s v="High"/>
  </r>
  <r>
    <s v="ORD-2024-783321"/>
    <d v="2024-11-20T00:00:00"/>
    <s v="Nov-2024"/>
    <s v="Q4-2024"/>
    <d v="2024-12-15T00:00:00"/>
    <d v="2024-12-15T00:00:00"/>
    <x v="1"/>
    <x v="0"/>
    <x v="2"/>
    <s v="Paris"/>
    <x v="0"/>
    <x v="4"/>
    <x v="14"/>
    <x v="6"/>
    <x v="449"/>
    <n v="1203.58"/>
    <n v="1856.16"/>
    <n v="0.129"/>
    <b v="0"/>
    <n v="22"/>
    <n v="35567.737920000007"/>
    <n v="26478.76"/>
    <n v="9088.9779200000085"/>
    <n v="0.25553994860295032"/>
    <s v="High"/>
  </r>
  <r>
    <s v="ORD-2024-776337"/>
    <d v="2024-11-12T00:00:00"/>
    <s v="Nov-2024"/>
    <s v="Q4-2024"/>
    <d v="2024-11-21T00:00:00"/>
    <d v="2024-11-21T00:00:00"/>
    <x v="2"/>
    <x v="3"/>
    <x v="9"/>
    <s v="Mumbai"/>
    <x v="0"/>
    <x v="2"/>
    <x v="2"/>
    <x v="5"/>
    <x v="450"/>
    <n v="903.41"/>
    <n v="1860.41"/>
    <n v="0.108"/>
    <b v="0"/>
    <n v="5"/>
    <n v="8297.4286000000011"/>
    <n v="4517.05"/>
    <n v="3780.3786000000009"/>
    <n v="0.455608451996803"/>
    <s v="High"/>
  </r>
  <r>
    <s v="ORD-2024-202166"/>
    <d v="2024-05-05T00:00:00"/>
    <s v="May-2024"/>
    <s v="Q2-2024"/>
    <d v="2024-05-18T00:00:00"/>
    <d v="2024-05-18T00:00:00"/>
    <x v="6"/>
    <x v="0"/>
    <x v="2"/>
    <s v="Marseille"/>
    <x v="0"/>
    <x v="1"/>
    <x v="13"/>
    <x v="4"/>
    <x v="451"/>
    <n v="1264.04"/>
    <n v="1870.89"/>
    <n v="0"/>
    <b v="0"/>
    <n v="13"/>
    <n v="24321.57"/>
    <n v="16432.52"/>
    <n v="7889.0499999999993"/>
    <n v="0.32436433996653996"/>
    <s v="High"/>
  </r>
  <r>
    <s v="ORD-2023-809913"/>
    <d v="2023-04-21T00:00:00"/>
    <s v="Apr-2023"/>
    <s v="Q2-2023"/>
    <d v="2023-05-10T00:00:00"/>
    <d v="2023-05-10T00:00:00"/>
    <x v="19"/>
    <x v="3"/>
    <x v="10"/>
    <s v="Shanghai"/>
    <x v="0"/>
    <x v="0"/>
    <x v="13"/>
    <x v="4"/>
    <x v="452"/>
    <n v="882.33"/>
    <n v="1880.15"/>
    <n v="0.05"/>
    <b v="0"/>
    <n v="5"/>
    <n v="8930.7124999999996"/>
    <n v="4411.6500000000005"/>
    <n v="4519.0624999999991"/>
    <n v="0.50601365792482955"/>
    <s v="High"/>
  </r>
  <r>
    <s v="ORD-2024-638884"/>
    <d v="2024-05-28T00:00:00"/>
    <s v="May-2024"/>
    <s v="Q2-2024"/>
    <d v="2024-05-26T00:00:00"/>
    <d v="2024-06-11T00:00:00"/>
    <x v="7"/>
    <x v="1"/>
    <x v="8"/>
    <s v="Abuja"/>
    <x v="3"/>
    <x v="4"/>
    <x v="6"/>
    <x v="2"/>
    <x v="453"/>
    <n v="1227.08"/>
    <n v="1896.62"/>
    <n v="0"/>
    <b v="0"/>
    <n v="18"/>
    <n v="34139.159999999996"/>
    <n v="22087.439999999999"/>
    <n v="12051.719999999998"/>
    <n v="0.353017473189147"/>
    <s v="High"/>
  </r>
  <r>
    <s v="ORD-2025-532859"/>
    <d v="2025-03-11T00:00:00"/>
    <s v="Mar-2025"/>
    <s v="Q1-2025"/>
    <d v="2025-03-27T00:00:00"/>
    <d v="2025-03-27T00:00:00"/>
    <x v="29"/>
    <x v="3"/>
    <x v="7"/>
    <s v="Tokyo"/>
    <x v="3"/>
    <x v="3"/>
    <x v="4"/>
    <x v="6"/>
    <x v="454"/>
    <n v="1317.58"/>
    <n v="1897.74"/>
    <n v="8.1000000000000003E-2"/>
    <b v="0"/>
    <n v="6"/>
    <n v="10464.138360000001"/>
    <n v="7905.48"/>
    <n v="2558.6583600000013"/>
    <n v="0.24451687009230266"/>
    <s v="High"/>
  </r>
  <r>
    <s v="ORD-2025-915869"/>
    <d v="2025-02-06T00:00:00"/>
    <s v="Feb-2025"/>
    <s v="Q1-2025"/>
    <d v="2025-02-15T00:00:00"/>
    <d v="2025-02-15T00:00:00"/>
    <x v="2"/>
    <x v="2"/>
    <x v="5"/>
    <s v="São Paulo"/>
    <x v="4"/>
    <x v="3"/>
    <x v="6"/>
    <x v="1"/>
    <x v="455"/>
    <n v="837.39"/>
    <n v="1905.42"/>
    <n v="3.2000000000000001E-2"/>
    <b v="0"/>
    <n v="18"/>
    <n v="33200.038079999998"/>
    <n v="15073.02"/>
    <n v="18127.018079999998"/>
    <n v="0.54599389423350919"/>
    <s v="High"/>
  </r>
  <r>
    <s v="ORD-2024-906395"/>
    <d v="2024-03-10T00:00:00"/>
    <s v="Mar-2024"/>
    <s v="Q1-2024"/>
    <d v="2024-04-09T00:00:00"/>
    <d v="2024-04-09T00:00:00"/>
    <x v="0"/>
    <x v="0"/>
    <x v="2"/>
    <s v="Lyon"/>
    <x v="0"/>
    <x v="2"/>
    <x v="1"/>
    <x v="4"/>
    <x v="456"/>
    <n v="1176.56"/>
    <n v="1911.89"/>
    <n v="0.11899999999999999"/>
    <b v="0"/>
    <n v="20"/>
    <n v="33687.501800000005"/>
    <n v="23531.199999999997"/>
    <n v="10156.301800000008"/>
    <n v="0.30148575160892477"/>
    <s v="High"/>
  </r>
  <r>
    <s v="ORD-2024-247979"/>
    <d v="2024-11-02T00:00:00"/>
    <s v="Nov-2024"/>
    <s v="Q4-2024"/>
    <d v="2024-11-18T00:00:00"/>
    <d v="2024-11-18T00:00:00"/>
    <x v="29"/>
    <x v="3"/>
    <x v="9"/>
    <s v="Mumbai"/>
    <x v="1"/>
    <x v="3"/>
    <x v="11"/>
    <x v="0"/>
    <x v="457"/>
    <n v="1233.58"/>
    <n v="1912.51"/>
    <n v="0.255"/>
    <b v="0"/>
    <n v="51"/>
    <n v="72665.817450000002"/>
    <n v="62912.579999999994"/>
    <n v="9753.2374500000078"/>
    <n v="0.134220432553601"/>
    <s v="High"/>
  </r>
  <r>
    <s v="ORD-2025-898843"/>
    <d v="2025-02-02T00:00:00"/>
    <s v="Feb-2025"/>
    <s v="Q1-2025"/>
    <d v="2025-03-04T00:00:00"/>
    <d v="2025-03-04T00:00:00"/>
    <x v="0"/>
    <x v="3"/>
    <x v="7"/>
    <s v="Osaka"/>
    <x v="5"/>
    <x v="3"/>
    <x v="5"/>
    <x v="2"/>
    <x v="458"/>
    <n v="766.59"/>
    <n v="1912.8"/>
    <n v="0.19600000000000001"/>
    <b v="0"/>
    <n v="5"/>
    <n v="7689.4560000000001"/>
    <n v="3832.9500000000003"/>
    <n v="3856.5059999999999"/>
    <n v="0.50153170783472845"/>
    <s v="High"/>
  </r>
  <r>
    <s v="ORD-2023-664749"/>
    <d v="2023-08-27T00:00:00"/>
    <s v="Aug-2023"/>
    <s v="Q3-2023"/>
    <d v="2023-09-11T00:00:00"/>
    <d v="2023-09-11T00:00:00"/>
    <x v="21"/>
    <x v="0"/>
    <x v="0"/>
    <s v="London"/>
    <x v="2"/>
    <x v="1"/>
    <x v="9"/>
    <x v="6"/>
    <x v="459"/>
    <n v="943.79"/>
    <n v="1913.76"/>
    <n v="9.0999999999999998E-2"/>
    <b v="0"/>
    <n v="9"/>
    <n v="15656.47056"/>
    <n v="8494.11"/>
    <n v="7162.3605599999992"/>
    <n v="0.45746967891338081"/>
    <s v="High"/>
  </r>
  <r>
    <s v="ORD-2025-331237"/>
    <d v="2025-03-24T00:00:00"/>
    <s v="Mar-2025"/>
    <s v="Q1-2025"/>
    <d v="2025-03-25T00:00:00"/>
    <d v="2025-03-25T00:00:00"/>
    <x v="26"/>
    <x v="3"/>
    <x v="10"/>
    <s v="Beijing"/>
    <x v="4"/>
    <x v="4"/>
    <x v="14"/>
    <x v="1"/>
    <x v="460"/>
    <n v="1133.03"/>
    <n v="1921.51"/>
    <n v="0.10100000000000001"/>
    <b v="0"/>
    <n v="5"/>
    <n v="8637.1874499999994"/>
    <n v="5665.15"/>
    <n v="2972.0374499999998"/>
    <n v="0.3440978289755654"/>
    <s v="High"/>
  </r>
  <r>
    <s v="ORD-2023-867175"/>
    <d v="2023-08-10T00:00:00"/>
    <s v="Aug-2023"/>
    <s v="Q3-2023"/>
    <d v="2023-08-15T00:00:00"/>
    <d v="2023-08-15T00:00:00"/>
    <x v="28"/>
    <x v="2"/>
    <x v="5"/>
    <s v="São Paulo"/>
    <x v="5"/>
    <x v="2"/>
    <x v="14"/>
    <x v="1"/>
    <x v="461"/>
    <n v="1307.52"/>
    <n v="1921.65"/>
    <n v="0.123"/>
    <b v="0"/>
    <n v="13"/>
    <n v="21908.731650000002"/>
    <n v="16997.759999999998"/>
    <n v="4910.9716500000031"/>
    <n v="0.22415590863289445"/>
    <s v="High"/>
  </r>
  <r>
    <s v="ORD-2025-803803"/>
    <d v="2025-08-28T00:00:00"/>
    <s v="Aug-2025"/>
    <s v="Q3-2025"/>
    <d v="2025-09-05T00:00:00"/>
    <d v="2025-09-05T00:00:00"/>
    <x v="16"/>
    <x v="1"/>
    <x v="8"/>
    <s v="Port Harcourt"/>
    <x v="1"/>
    <x v="1"/>
    <x v="10"/>
    <x v="5"/>
    <x v="462"/>
    <n v="1271.0999999999999"/>
    <n v="1932.42"/>
    <n v="0.25"/>
    <b v="0"/>
    <n v="21"/>
    <n v="30435.614999999998"/>
    <n v="26693.1"/>
    <n v="3742.5149999999994"/>
    <n v="0.12296498690760807"/>
    <s v="High"/>
  </r>
  <r>
    <s v="ORD-2024-206311"/>
    <d v="2024-01-13T00:00:00"/>
    <s v="Jan-2024"/>
    <s v="Q1-2024"/>
    <d v="2024-01-15T00:00:00"/>
    <d v="2024-01-15T00:00:00"/>
    <x v="9"/>
    <x v="2"/>
    <x v="3"/>
    <s v="San Francisco"/>
    <x v="4"/>
    <x v="2"/>
    <x v="10"/>
    <x v="4"/>
    <x v="463"/>
    <n v="1061.3699999999999"/>
    <n v="1938.33"/>
    <n v="0.17"/>
    <b v="0"/>
    <n v="4"/>
    <n v="6435.2555999999995"/>
    <n v="4245.4799999999996"/>
    <n v="2189.7755999999999"/>
    <n v="0.34027795259600879"/>
    <s v="High"/>
  </r>
  <r>
    <s v="ORD-2024-444710"/>
    <d v="2024-09-22T00:00:00"/>
    <s v="Sep-2024"/>
    <s v="Q3-2024"/>
    <d v="2024-10-01T00:00:00"/>
    <d v="2024-10-01T00:00:00"/>
    <x v="2"/>
    <x v="2"/>
    <x v="5"/>
    <s v="São Paulo"/>
    <x v="4"/>
    <x v="4"/>
    <x v="12"/>
    <x v="0"/>
    <x v="464"/>
    <n v="1378.8"/>
    <n v="1952.04"/>
    <n v="0.159"/>
    <b v="0"/>
    <n v="19"/>
    <n v="31191.64716"/>
    <n v="26197.200000000001"/>
    <n v="4994.4471599999997"/>
    <n v="0.16012130216723058"/>
    <s v="High"/>
  </r>
  <r>
    <s v="ORD-2025-662997"/>
    <d v="2025-03-31T00:00:00"/>
    <s v="Mar-2025"/>
    <s v="Q1-2025"/>
    <d v="2025-04-04T00:00:00"/>
    <d v="2025-04-04T00:00:00"/>
    <x v="17"/>
    <x v="1"/>
    <x v="1"/>
    <s v="Nakuru"/>
    <x v="0"/>
    <x v="2"/>
    <x v="8"/>
    <x v="5"/>
    <x v="465"/>
    <n v="862.08"/>
    <n v="1952.83"/>
    <n v="0"/>
    <b v="0"/>
    <n v="7"/>
    <n v="13669.81"/>
    <n v="6034.56"/>
    <n v="7635.2499999999991"/>
    <n v="0.5585483631447693"/>
    <s v="High"/>
  </r>
  <r>
    <s v="ORD-2023-674887"/>
    <d v="2023-12-16T00:00:00"/>
    <s v="Dec-2023"/>
    <s v="Q4-2023"/>
    <d v="2023-12-19T00:00:00"/>
    <d v="2023-12-19T00:00:00"/>
    <x v="5"/>
    <x v="3"/>
    <x v="10"/>
    <s v="Beijing"/>
    <x v="5"/>
    <x v="0"/>
    <x v="13"/>
    <x v="2"/>
    <x v="466"/>
    <n v="1415.05"/>
    <n v="1972.38"/>
    <n v="0"/>
    <b v="0"/>
    <n v="12"/>
    <n v="23668.560000000001"/>
    <n v="16980.599999999999"/>
    <n v="6687.9600000000028"/>
    <n v="0.28256725377462771"/>
    <s v="High"/>
  </r>
  <r>
    <s v="ORD-2025-874124"/>
    <d v="2025-05-14T00:00:00"/>
    <s v="May-2025"/>
    <s v="Q2-2025"/>
    <d v="2025-05-12T00:00:00"/>
    <d v="2025-05-28T00:00:00"/>
    <x v="7"/>
    <x v="2"/>
    <x v="11"/>
    <s v="Vancouver"/>
    <x v="4"/>
    <x v="3"/>
    <x v="6"/>
    <x v="6"/>
    <x v="467"/>
    <n v="883.5"/>
    <n v="1978.91"/>
    <n v="5.3999999999999999E-2"/>
    <b v="0"/>
    <n v="27"/>
    <n v="50545.319219999998"/>
    <n v="23854.5"/>
    <n v="26690.819219999998"/>
    <n v="0.52805718970390547"/>
    <s v="High"/>
  </r>
  <r>
    <s v="ORD-2025-766923"/>
    <d v="2025-02-15T00:00:00"/>
    <s v="Feb-2025"/>
    <s v="Q1-2025"/>
    <d v="2025-02-15T00:00:00"/>
    <d v="2025-02-15T00:00:00"/>
    <x v="15"/>
    <x v="0"/>
    <x v="6"/>
    <s v="Frankfurt"/>
    <x v="1"/>
    <x v="1"/>
    <x v="5"/>
    <x v="2"/>
    <x v="468"/>
    <n v="815.83"/>
    <n v="1982.18"/>
    <n v="0.127"/>
    <b v="0"/>
    <n v="6"/>
    <n v="10382.65884"/>
    <n v="4894.9800000000005"/>
    <n v="5487.6788399999996"/>
    <n v="0.52854272923408507"/>
    <s v="High"/>
  </r>
  <r>
    <s v="ORD-2025-944081"/>
    <d v="2025-03-25T00:00:00"/>
    <s v="Mar-2025"/>
    <s v="Q1-2025"/>
    <d v="2025-03-26T00:00:00"/>
    <d v="2025-03-26T00:00:00"/>
    <x v="26"/>
    <x v="1"/>
    <x v="8"/>
    <s v="Lagos"/>
    <x v="5"/>
    <x v="3"/>
    <x v="14"/>
    <x v="2"/>
    <x v="469"/>
    <n v="1450.43"/>
    <n v="1994.67"/>
    <n v="0.1"/>
    <b v="0"/>
    <n v="24"/>
    <n v="43084.872000000003"/>
    <n v="34810.32"/>
    <n v="8274.5520000000033"/>
    <n v="0.19205237513529116"/>
    <s v="High"/>
  </r>
  <r>
    <s v="ORD-2025-440093"/>
    <d v="2025-04-16T00:00:00"/>
    <s v="Apr-2025"/>
    <s v="Q2-2025"/>
    <d v="2025-04-26T00:00:00"/>
    <d v="2025-04-26T00:00:00"/>
    <x v="3"/>
    <x v="1"/>
    <x v="8"/>
    <s v="Port Harcourt"/>
    <x v="3"/>
    <x v="1"/>
    <x v="6"/>
    <x v="5"/>
    <x v="470"/>
    <n v="1457.44"/>
    <n v="1996.81"/>
    <n v="0.126"/>
    <b v="0"/>
    <n v="23"/>
    <n v="40139.874619999995"/>
    <n v="33521.120000000003"/>
    <n v="6618.7546199999924"/>
    <n v="0.16489225944672353"/>
    <s v="High"/>
  </r>
  <r>
    <s v="ORD-2024-192263"/>
    <d v="2024-11-21T00:00:00"/>
    <s v="Nov-2024"/>
    <s v="Q4-2024"/>
    <d v="2024-12-21T00:00:00"/>
    <d v="2024-12-21T00:00:00"/>
    <x v="0"/>
    <x v="0"/>
    <x v="2"/>
    <s v="Marseille"/>
    <x v="1"/>
    <x v="2"/>
    <x v="1"/>
    <x v="0"/>
    <x v="471"/>
    <n v="1122.68"/>
    <n v="1997.19"/>
    <n v="0.186"/>
    <b v="0"/>
    <n v="3"/>
    <n v="4877.1379800000004"/>
    <n v="3368.04"/>
    <n v="1509.0979800000005"/>
    <n v="0.30942285951073306"/>
    <s v="High"/>
  </r>
  <r>
    <s v="ORD-2023-422918"/>
    <d v="2023-02-28T00:00:00"/>
    <s v="Feb-2023"/>
    <s v="Q1-2023"/>
    <d v="2023-03-20T00:00:00"/>
    <d v="2023-03-20T00:00:00"/>
    <x v="14"/>
    <x v="0"/>
    <x v="6"/>
    <s v="Berlin"/>
    <x v="1"/>
    <x v="2"/>
    <x v="2"/>
    <x v="5"/>
    <x v="472"/>
    <n v="1200.78"/>
    <n v="2001.17"/>
    <n v="0.29199999999999998"/>
    <b v="0"/>
    <n v="18"/>
    <n v="25502.910479999999"/>
    <n v="21614.04"/>
    <n v="3888.8704799999978"/>
    <n v="0.15248732034132906"/>
    <s v="High"/>
  </r>
  <r>
    <s v="ORD-2024-647473"/>
    <d v="2024-02-17T00:00:00"/>
    <s v="Feb-2024"/>
    <s v="Q1-2024"/>
    <d v="2024-03-04T00:00:00"/>
    <d v="2024-03-04T00:00:00"/>
    <x v="29"/>
    <x v="3"/>
    <x v="9"/>
    <s v="Delhi"/>
    <x v="1"/>
    <x v="1"/>
    <x v="6"/>
    <x v="3"/>
    <x v="473"/>
    <n v="1231.8"/>
    <n v="2015.99"/>
    <n v="0.26100000000000001"/>
    <b v="0"/>
    <n v="6"/>
    <n v="8938.8996600000009"/>
    <n v="7390.7999999999993"/>
    <n v="1548.0996600000017"/>
    <n v="0.17318682599464391"/>
    <s v="High"/>
  </r>
  <r>
    <s v="ORD-2023-139236"/>
    <d v="2023-03-03T00:00:00"/>
    <s v="Mar-2023"/>
    <s v="Q1-2023"/>
    <d v="2023-03-20T00:00:00"/>
    <d v="2023-03-20T00:00:00"/>
    <x v="25"/>
    <x v="3"/>
    <x v="7"/>
    <s v="Nagoya"/>
    <x v="1"/>
    <x v="4"/>
    <x v="0"/>
    <x v="1"/>
    <x v="474"/>
    <n v="1171.17"/>
    <n v="2030.64"/>
    <n v="0.157"/>
    <b v="0"/>
    <n v="11"/>
    <n v="18830.12472"/>
    <n v="12882.87"/>
    <n v="5947.254719999999"/>
    <n v="0.31583724528830415"/>
    <s v="High"/>
  </r>
  <r>
    <s v="ORD-2024-901115"/>
    <d v="2024-07-25T00:00:00"/>
    <s v="Jul-2024"/>
    <s v="Q3-2024"/>
    <d v="2024-08-02T00:00:00"/>
    <d v="2024-08-02T00:00:00"/>
    <x v="16"/>
    <x v="2"/>
    <x v="11"/>
    <s v="Montreal"/>
    <x v="2"/>
    <x v="2"/>
    <x v="3"/>
    <x v="2"/>
    <x v="475"/>
    <n v="986.81"/>
    <n v="2050.31"/>
    <n v="0.10299999999999999"/>
    <b v="0"/>
    <n v="43"/>
    <n v="79082.507010000001"/>
    <n v="42432.829999999994"/>
    <n v="36649.677010000007"/>
    <n v="0.46343595310358138"/>
    <s v="High"/>
  </r>
  <r>
    <s v="ORD-2023-854471"/>
    <d v="2023-03-06T00:00:00"/>
    <s v="Mar-2023"/>
    <s v="Q1-2023"/>
    <d v="2023-04-04T00:00:00"/>
    <d v="2023-04-04T00:00:00"/>
    <x v="12"/>
    <x v="3"/>
    <x v="10"/>
    <s v="Beijing"/>
    <x v="1"/>
    <x v="2"/>
    <x v="8"/>
    <x v="0"/>
    <x v="476"/>
    <n v="1126.29"/>
    <n v="2050.87"/>
    <n v="6.4000000000000001E-2"/>
    <b v="0"/>
    <n v="7"/>
    <n v="13437.300239999999"/>
    <n v="7884.03"/>
    <n v="5553.2702399999989"/>
    <n v="0.41327276616690373"/>
    <s v="High"/>
  </r>
  <r>
    <s v="ORD-2023-884625"/>
    <d v="2023-02-19T00:00:00"/>
    <s v="Feb-2023"/>
    <s v="Q1-2023"/>
    <d v="2023-03-12T00:00:00"/>
    <d v="2023-03-12T00:00:00"/>
    <x v="20"/>
    <x v="0"/>
    <x v="6"/>
    <s v="Berlin"/>
    <x v="1"/>
    <x v="2"/>
    <x v="5"/>
    <x v="0"/>
    <x v="477"/>
    <n v="1234.81"/>
    <n v="2055.2399999999998"/>
    <n v="5.2999999999999999E-2"/>
    <b v="0"/>
    <n v="44"/>
    <n v="85637.740319999997"/>
    <n v="54331.64"/>
    <n v="31306.100319999998"/>
    <n v="0.36556429680441616"/>
    <s v="High"/>
  </r>
  <r>
    <s v="ORD-2023-450877"/>
    <d v="2023-09-21T00:00:00"/>
    <s v="Sep-2023"/>
    <s v="Q3-2023"/>
    <d v="2023-10-10T00:00:00"/>
    <d v="2023-10-10T00:00:00"/>
    <x v="19"/>
    <x v="3"/>
    <x v="7"/>
    <s v="Tokyo"/>
    <x v="5"/>
    <x v="4"/>
    <x v="0"/>
    <x v="4"/>
    <x v="478"/>
    <n v="845.63"/>
    <n v="2062.12"/>
    <n v="0.13400000000000001"/>
    <b v="0"/>
    <n v="5"/>
    <n v="8928.9795999999988"/>
    <n v="4228.1499999999996"/>
    <n v="4700.8295999999991"/>
    <n v="0.52646884757133949"/>
    <s v="High"/>
  </r>
  <r>
    <s v="ORD-2025-629393"/>
    <d v="2025-07-21T00:00:00"/>
    <s v="Jul-2025"/>
    <s v="Q3-2025"/>
    <d v="2025-08-07T00:00:00"/>
    <d v="2025-08-07T00:00:00"/>
    <x v="25"/>
    <x v="1"/>
    <x v="8"/>
    <s v="Lagos"/>
    <x v="3"/>
    <x v="2"/>
    <x v="7"/>
    <x v="2"/>
    <x v="479"/>
    <n v="1204.95"/>
    <n v="2065.73"/>
    <n v="0.13600000000000001"/>
    <b v="0"/>
    <n v="10"/>
    <n v="17847.907199999998"/>
    <n v="12049.5"/>
    <n v="5798.4071999999978"/>
    <n v="0.32487882949100039"/>
    <s v="High"/>
  </r>
  <r>
    <s v="ORD-2023-244375"/>
    <d v="2023-06-03T00:00:00"/>
    <s v="Jun-2023"/>
    <s v="Q2-2023"/>
    <d v="2023-07-01T00:00:00"/>
    <d v="2023-07-01T00:00:00"/>
    <x v="27"/>
    <x v="2"/>
    <x v="5"/>
    <s v="Brasília"/>
    <x v="1"/>
    <x v="1"/>
    <x v="13"/>
    <x v="4"/>
    <x v="480"/>
    <n v="860.4"/>
    <n v="2066.6"/>
    <n v="0.01"/>
    <b v="0"/>
    <n v="3"/>
    <n v="6137.8019999999988"/>
    <n v="2581.1999999999998"/>
    <n v="3556.601999999999"/>
    <n v="0.57945857491004105"/>
    <s v="High"/>
  </r>
  <r>
    <s v="ORD-2023-211715"/>
    <d v="2023-10-30T00:00:00"/>
    <s v="Oct-2023"/>
    <s v="Q4-2023"/>
    <d v="2023-11-14T00:00:00"/>
    <d v="2023-11-14T00:00:00"/>
    <x v="21"/>
    <x v="3"/>
    <x v="9"/>
    <s v="Bengaluru"/>
    <x v="0"/>
    <x v="4"/>
    <x v="6"/>
    <x v="5"/>
    <x v="481"/>
    <n v="953.46"/>
    <n v="2066.75"/>
    <n v="0.13800000000000001"/>
    <b v="0"/>
    <n v="5"/>
    <n v="8907.6924999999992"/>
    <n v="4767.3"/>
    <n v="4140.392499999999"/>
    <n v="0.46481089238318446"/>
    <s v="High"/>
  </r>
  <r>
    <s v="ORD-2023-638181"/>
    <d v="2023-05-20T00:00:00"/>
    <s v="May-2023"/>
    <s v="Q2-2023"/>
    <d v="2023-06-07T00:00:00"/>
    <d v="2023-06-07T00:00:00"/>
    <x v="8"/>
    <x v="1"/>
    <x v="8"/>
    <s v="Port Harcourt"/>
    <x v="3"/>
    <x v="3"/>
    <x v="10"/>
    <x v="4"/>
    <x v="482"/>
    <n v="1120.06"/>
    <n v="2068.21"/>
    <n v="7.8E-2"/>
    <b v="0"/>
    <n v="12"/>
    <n v="22882.675440000003"/>
    <n v="13440.72"/>
    <n v="9441.9554400000034"/>
    <n v="0.41262462795303284"/>
    <s v="High"/>
  </r>
  <r>
    <s v="ORD-2023-594700"/>
    <d v="2023-07-18T00:00:00"/>
    <s v="Jul-2023"/>
    <s v="Q3-2023"/>
    <d v="2023-07-22T00:00:00"/>
    <d v="2023-07-22T00:00:00"/>
    <x v="17"/>
    <x v="2"/>
    <x v="5"/>
    <s v="São Paulo"/>
    <x v="2"/>
    <x v="2"/>
    <x v="6"/>
    <x v="1"/>
    <x v="483"/>
    <n v="1269.55"/>
    <n v="2071.1"/>
    <n v="0.129"/>
    <b v="0"/>
    <n v="22"/>
    <n v="39686.4182"/>
    <n v="27930.1"/>
    <n v="11756.318200000002"/>
    <n v="0.29623026549672354"/>
    <s v="High"/>
  </r>
  <r>
    <s v="ORD-2024-257550"/>
    <d v="2024-12-27T00:00:00"/>
    <s v="Dec-2024"/>
    <s v="Q4-2024"/>
    <d v="2024-12-29T00:00:00"/>
    <d v="2024-12-29T00:00:00"/>
    <x v="9"/>
    <x v="2"/>
    <x v="11"/>
    <s v="Vancouver"/>
    <x v="3"/>
    <x v="1"/>
    <x v="8"/>
    <x v="2"/>
    <x v="484"/>
    <n v="1146.72"/>
    <n v="2074.34"/>
    <n v="0.111"/>
    <b v="0"/>
    <n v="8"/>
    <n v="14752.706080000002"/>
    <n v="9173.76"/>
    <n v="5578.9460800000015"/>
    <n v="0.37816425337472737"/>
    <s v="High"/>
  </r>
  <r>
    <s v="ORD-2025-673091"/>
    <d v="2025-05-07T00:00:00"/>
    <s v="May-2025"/>
    <s v="Q2-2025"/>
    <d v="2025-05-13T00:00:00"/>
    <d v="2025-05-13T00:00:00"/>
    <x v="18"/>
    <x v="3"/>
    <x v="9"/>
    <s v="Bengaluru"/>
    <x v="3"/>
    <x v="2"/>
    <x v="3"/>
    <x v="3"/>
    <x v="485"/>
    <n v="935.98"/>
    <n v="2077.69"/>
    <n v="0.17499999999999999"/>
    <b v="0"/>
    <n v="24"/>
    <n v="41138.261999999995"/>
    <n v="22463.52"/>
    <n v="18674.741999999995"/>
    <n v="0.45395067978321491"/>
    <s v="High"/>
  </r>
  <r>
    <s v="ORD-2023-271836"/>
    <d v="2023-02-07T00:00:00"/>
    <s v="Feb-2023"/>
    <s v="Q1-2023"/>
    <d v="2023-02-12T00:00:00"/>
    <d v="2023-02-12T00:00:00"/>
    <x v="28"/>
    <x v="2"/>
    <x v="5"/>
    <s v="São Paulo"/>
    <x v="5"/>
    <x v="4"/>
    <x v="9"/>
    <x v="4"/>
    <x v="486"/>
    <n v="948.55"/>
    <n v="2089.16"/>
    <n v="7.0000000000000001E-3"/>
    <b v="0"/>
    <n v="12"/>
    <n v="24894.430559999997"/>
    <n v="11382.599999999999"/>
    <n v="13511.830559999999"/>
    <n v="0.54276519912492427"/>
    <s v="High"/>
  </r>
  <r>
    <s v="ORD-2024-451005"/>
    <d v="2024-06-30T00:00:00"/>
    <s v="Jun-2024"/>
    <s v="Q2-2024"/>
    <d v="2024-06-28T00:00:00"/>
    <d v="2024-07-14T00:00:00"/>
    <x v="7"/>
    <x v="2"/>
    <x v="5"/>
    <s v="Rio de Janeiro"/>
    <x v="1"/>
    <x v="2"/>
    <x v="5"/>
    <x v="2"/>
    <x v="487"/>
    <n v="1112.98"/>
    <n v="2095.73"/>
    <n v="7.1999999999999995E-2"/>
    <b v="0"/>
    <n v="17"/>
    <n v="33062.236480000007"/>
    <n v="18920.66"/>
    <n v="14141.576480000007"/>
    <n v="0.42772594916724777"/>
    <s v="High"/>
  </r>
  <r>
    <s v="ORD-2023-780206"/>
    <d v="2023-01-19T00:00:00"/>
    <s v="Jan-2023"/>
    <s v="Q1-2023"/>
    <d v="2023-02-03T00:00:00"/>
    <d v="2023-02-03T00:00:00"/>
    <x v="21"/>
    <x v="0"/>
    <x v="0"/>
    <s v="London"/>
    <x v="3"/>
    <x v="3"/>
    <x v="14"/>
    <x v="2"/>
    <x v="488"/>
    <n v="873.06"/>
    <n v="2101.5500000000002"/>
    <n v="6.6000000000000003E-2"/>
    <b v="0"/>
    <n v="10"/>
    <n v="19628.476999999999"/>
    <n v="8730.5999999999985"/>
    <n v="10897.877"/>
    <n v="0.55520746719167269"/>
    <s v="High"/>
  </r>
  <r>
    <s v="ORD-2023-667815"/>
    <d v="2023-10-21T00:00:00"/>
    <s v="Oct-2023"/>
    <s v="Q4-2023"/>
    <d v="2023-11-09T00:00:00"/>
    <d v="2023-11-09T00:00:00"/>
    <x v="19"/>
    <x v="0"/>
    <x v="0"/>
    <s v="London"/>
    <x v="4"/>
    <x v="2"/>
    <x v="13"/>
    <x v="2"/>
    <x v="489"/>
    <n v="1142.48"/>
    <n v="2105.5300000000002"/>
    <n v="0.20699999999999999"/>
    <b v="0"/>
    <n v="14"/>
    <n v="23375.594060000003"/>
    <n v="15994.720000000001"/>
    <n v="7380.8740600000019"/>
    <n v="0.31575129346680658"/>
    <s v="High"/>
  </r>
  <r>
    <s v="ORD-2025-929414"/>
    <d v="2025-06-26T00:00:00"/>
    <s v="Jun-2025"/>
    <s v="Q2-2025"/>
    <d v="2025-07-11T00:00:00"/>
    <d v="2025-07-11T00:00:00"/>
    <x v="21"/>
    <x v="1"/>
    <x v="8"/>
    <s v="Port Harcourt"/>
    <x v="1"/>
    <x v="4"/>
    <x v="13"/>
    <x v="5"/>
    <x v="490"/>
    <n v="1170.1500000000001"/>
    <n v="2115.19"/>
    <n v="9.1999999999999998E-2"/>
    <b v="0"/>
    <n v="23"/>
    <n v="44173.627960000005"/>
    <n v="26913.45"/>
    <n v="17260.177960000005"/>
    <n v="0.39073489674946776"/>
    <s v="High"/>
  </r>
  <r>
    <s v="ORD-2024-915495"/>
    <d v="2024-08-08T00:00:00"/>
    <s v="Aug-2024"/>
    <s v="Q3-2024"/>
    <d v="2024-08-20T00:00:00"/>
    <d v="2024-08-20T00:00:00"/>
    <x v="22"/>
    <x v="3"/>
    <x v="7"/>
    <s v="Osaka"/>
    <x v="1"/>
    <x v="0"/>
    <x v="2"/>
    <x v="1"/>
    <x v="491"/>
    <n v="1233.3599999999999"/>
    <n v="2120.4"/>
    <n v="0.17899999999999999"/>
    <b v="0"/>
    <n v="20"/>
    <n v="34816.968000000001"/>
    <n v="24667.199999999997"/>
    <n v="10149.768000000004"/>
    <n v="0.29151785991244278"/>
    <s v="High"/>
  </r>
  <r>
    <s v="ORD-2024-851993"/>
    <d v="2024-05-01T00:00:00"/>
    <s v="May-2024"/>
    <s v="Q2-2024"/>
    <d v="2024-05-16T00:00:00"/>
    <d v="2024-05-16T00:00:00"/>
    <x v="21"/>
    <x v="3"/>
    <x v="9"/>
    <s v="Bengaluru"/>
    <x v="1"/>
    <x v="0"/>
    <x v="5"/>
    <x v="4"/>
    <x v="492"/>
    <n v="901.19"/>
    <n v="2125.44"/>
    <n v="7.0999999999999994E-2"/>
    <b v="0"/>
    <n v="12"/>
    <n v="23694.405119999999"/>
    <n v="10814.28"/>
    <n v="12880.125119999999"/>
    <n v="0.54359352154100415"/>
    <s v="High"/>
  </r>
  <r>
    <s v="ORD-2023-109927"/>
    <d v="2023-07-22T00:00:00"/>
    <s v="Jul-2023"/>
    <s v="Q3-2023"/>
    <d v="2023-07-21T00:00:00"/>
    <d v="2023-08-05T00:00:00"/>
    <x v="7"/>
    <x v="3"/>
    <x v="9"/>
    <s v="Delhi"/>
    <x v="1"/>
    <x v="3"/>
    <x v="10"/>
    <x v="6"/>
    <x v="493"/>
    <n v="946.99"/>
    <n v="2132.19"/>
    <n v="0.16500000000000001"/>
    <b v="0"/>
    <n v="7"/>
    <n v="12462.65055"/>
    <n v="6628.93"/>
    <n v="5833.72055"/>
    <n v="0.46809629513362228"/>
    <s v="High"/>
  </r>
  <r>
    <s v="ORD-2023-368449"/>
    <d v="2023-10-09T00:00:00"/>
    <s v="Oct-2023"/>
    <s v="Q4-2023"/>
    <d v="2023-10-26T00:00:00"/>
    <d v="2023-10-26T00:00:00"/>
    <x v="25"/>
    <x v="3"/>
    <x v="10"/>
    <s v="Shanghai"/>
    <x v="2"/>
    <x v="1"/>
    <x v="8"/>
    <x v="4"/>
    <x v="494"/>
    <n v="1132.03"/>
    <n v="2137.21"/>
    <n v="0"/>
    <b v="0"/>
    <n v="35"/>
    <n v="74802.350000000006"/>
    <n v="39621.049999999996"/>
    <n v="35181.30000000001"/>
    <n v="0.47032345908918649"/>
    <s v="High"/>
  </r>
  <r>
    <s v="ORD-2024-201376"/>
    <d v="2024-02-18T00:00:00"/>
    <s v="Feb-2024"/>
    <s v="Q1-2024"/>
    <d v="2024-03-04T00:00:00"/>
    <d v="2024-03-04T00:00:00"/>
    <x v="21"/>
    <x v="1"/>
    <x v="1"/>
    <s v="Kisumu"/>
    <x v="5"/>
    <x v="2"/>
    <x v="12"/>
    <x v="6"/>
    <x v="495"/>
    <n v="928.68"/>
    <n v="2145.17"/>
    <n v="0.13600000000000001"/>
    <b v="0"/>
    <n v="16"/>
    <n v="29654.83008"/>
    <n v="14858.88"/>
    <n v="14795.950080000001"/>
    <n v="0.49893896003062177"/>
    <s v="High"/>
  </r>
  <r>
    <s v="ORD-2025-745263"/>
    <d v="2025-05-21T00:00:00"/>
    <s v="May-2025"/>
    <s v="Q2-2025"/>
    <d v="2025-05-19T00:00:00"/>
    <d v="2025-06-04T00:00:00"/>
    <x v="7"/>
    <x v="0"/>
    <x v="0"/>
    <s v="Birmingham"/>
    <x v="3"/>
    <x v="4"/>
    <x v="7"/>
    <x v="5"/>
    <x v="496"/>
    <n v="1015.16"/>
    <n v="2148.14"/>
    <n v="3.7999999999999999E-2"/>
    <b v="0"/>
    <n v="19"/>
    <n v="39263.702919999996"/>
    <n v="19288.04"/>
    <n v="19975.662919999995"/>
    <n v="0.50875647059322227"/>
    <s v="High"/>
  </r>
  <r>
    <s v="ORD-2023-715175"/>
    <d v="2023-06-15T00:00:00"/>
    <s v="Jun-2023"/>
    <s v="Q2-2023"/>
    <d v="2023-06-23T00:00:00"/>
    <d v="2023-06-23T00:00:00"/>
    <x v="16"/>
    <x v="2"/>
    <x v="3"/>
    <s v="San Francisco"/>
    <x v="2"/>
    <x v="3"/>
    <x v="11"/>
    <x v="0"/>
    <x v="497"/>
    <n v="1097.0899999999999"/>
    <n v="2182.31"/>
    <n v="0.112"/>
    <b v="0"/>
    <n v="9"/>
    <n v="17441.021520000002"/>
    <n v="9873.81"/>
    <n v="7567.2115200000026"/>
    <n v="0.43387432962699546"/>
    <s v="High"/>
  </r>
  <r>
    <s v="ORD-2025-795385"/>
    <d v="2025-06-01T00:00:00"/>
    <s v="Jun-2025"/>
    <s v="Q2-2025"/>
    <d v="2025-06-05T00:00:00"/>
    <d v="2025-06-05T00:00:00"/>
    <x v="17"/>
    <x v="0"/>
    <x v="6"/>
    <s v="Munich"/>
    <x v="3"/>
    <x v="2"/>
    <x v="7"/>
    <x v="4"/>
    <x v="498"/>
    <n v="1171.42"/>
    <n v="2187.8000000000002"/>
    <n v="0.23"/>
    <b v="0"/>
    <n v="15"/>
    <n v="25269.09"/>
    <n v="17571.300000000003"/>
    <n v="7697.7899999999972"/>
    <n v="0.30463265594447592"/>
    <s v="High"/>
  </r>
  <r>
    <s v="ORD-2023-728177"/>
    <d v="2023-12-18T00:00:00"/>
    <s v="Dec-2023"/>
    <s v="Q4-2023"/>
    <d v="2024-01-14T00:00:00"/>
    <d v="2024-01-14T00:00:00"/>
    <x v="4"/>
    <x v="3"/>
    <x v="9"/>
    <s v="Mumbai"/>
    <x v="2"/>
    <x v="3"/>
    <x v="0"/>
    <x v="1"/>
    <x v="499"/>
    <n v="1408.3"/>
    <n v="2193.13"/>
    <n v="7.0999999999999994E-2"/>
    <b v="0"/>
    <n v="7"/>
    <n v="14261.92439"/>
    <n v="9858.1"/>
    <n v="4403.8243899999998"/>
    <n v="0.30878191957656281"/>
    <s v="High"/>
  </r>
  <r>
    <s v="ORD-2025-188059"/>
    <d v="2025-06-27T00:00:00"/>
    <s v="Jun-2025"/>
    <s v="Q2-2025"/>
    <d v="2025-07-11T00:00:00"/>
    <d v="2025-07-11T00:00:00"/>
    <x v="7"/>
    <x v="3"/>
    <x v="10"/>
    <s v="Shanghai"/>
    <x v="1"/>
    <x v="1"/>
    <x v="5"/>
    <x v="1"/>
    <x v="500"/>
    <n v="1227.7"/>
    <n v="2197.23"/>
    <n v="9.9000000000000005E-2"/>
    <b v="0"/>
    <n v="22"/>
    <n v="43553.493060000001"/>
    <n v="27009.4"/>
    <n v="16544.093059999999"/>
    <n v="0.37985685871873898"/>
    <s v="High"/>
  </r>
  <r>
    <s v="ORD-2025-281062"/>
    <d v="2025-02-15T00:00:00"/>
    <s v="Feb-2025"/>
    <s v="Q1-2025"/>
    <d v="2025-02-27T00:00:00"/>
    <d v="2025-02-27T00:00:00"/>
    <x v="22"/>
    <x v="0"/>
    <x v="2"/>
    <s v="Lyon"/>
    <x v="4"/>
    <x v="2"/>
    <x v="12"/>
    <x v="2"/>
    <x v="501"/>
    <n v="1027.26"/>
    <n v="2200.41"/>
    <n v="8.7999999999999995E-2"/>
    <b v="0"/>
    <n v="6"/>
    <n v="12040.64352"/>
    <n v="6163.5599999999995"/>
    <n v="5877.0835200000001"/>
    <n v="0.48810377204822358"/>
    <s v="High"/>
  </r>
  <r>
    <s v="ORD-2024-510591"/>
    <d v="2024-04-03T00:00:00"/>
    <s v="Apr-2024"/>
    <s v="Q2-2024"/>
    <d v="2024-04-21T00:00:00"/>
    <d v="2024-04-21T00:00:00"/>
    <x v="8"/>
    <x v="2"/>
    <x v="5"/>
    <s v="Brasília"/>
    <x v="1"/>
    <x v="3"/>
    <x v="4"/>
    <x v="1"/>
    <x v="502"/>
    <n v="1176.69"/>
    <n v="2201.54"/>
    <n v="0.17"/>
    <b v="0"/>
    <n v="27"/>
    <n v="49336.511399999996"/>
    <n v="31770.63"/>
    <n v="17565.881399999995"/>
    <n v="0.35604222717701106"/>
    <s v="High"/>
  </r>
  <r>
    <s v="ORD-2024-237478"/>
    <d v="2024-10-03T00:00:00"/>
    <s v="Oct-2024"/>
    <s v="Q4-2024"/>
    <d v="2024-10-11T00:00:00"/>
    <d v="2024-10-11T00:00:00"/>
    <x v="16"/>
    <x v="3"/>
    <x v="10"/>
    <s v="Beijing"/>
    <x v="3"/>
    <x v="2"/>
    <x v="4"/>
    <x v="3"/>
    <x v="503"/>
    <n v="1132.6099999999999"/>
    <n v="2206.63"/>
    <n v="6.3E-2"/>
    <b v="0"/>
    <n v="20"/>
    <n v="41352.246200000009"/>
    <n v="22652.199999999997"/>
    <n v="18700.046200000012"/>
    <n v="0.45221355351671338"/>
    <s v="High"/>
  </r>
  <r>
    <s v="ORD-2024-626925"/>
    <d v="2024-06-07T00:00:00"/>
    <s v="Jun-2024"/>
    <s v="Q2-2024"/>
    <d v="2024-06-09T00:00:00"/>
    <d v="2024-06-09T00:00:00"/>
    <x v="9"/>
    <x v="3"/>
    <x v="10"/>
    <s v="Shanghai"/>
    <x v="0"/>
    <x v="0"/>
    <x v="11"/>
    <x v="0"/>
    <x v="504"/>
    <n v="1370.28"/>
    <n v="2209.66"/>
    <n v="0.13300000000000001"/>
    <b v="0"/>
    <n v="16"/>
    <n v="30652.403519999996"/>
    <n v="21924.48"/>
    <n v="8727.9235199999966"/>
    <n v="0.28473863442079589"/>
    <s v="High"/>
  </r>
  <r>
    <s v="ORD-2024-886939"/>
    <d v="2024-06-03T00:00:00"/>
    <s v="Jun-2024"/>
    <s v="Q2-2024"/>
    <d v="2024-06-24T00:00:00"/>
    <d v="2024-06-24T00:00:00"/>
    <x v="20"/>
    <x v="2"/>
    <x v="11"/>
    <s v="Toronto"/>
    <x v="1"/>
    <x v="2"/>
    <x v="14"/>
    <x v="0"/>
    <x v="505"/>
    <n v="1205.5"/>
    <n v="2210.17"/>
    <n v="0.104"/>
    <b v="0"/>
    <n v="23"/>
    <n v="45547.183360000003"/>
    <n v="27726.5"/>
    <n v="17820.683360000003"/>
    <n v="0.39125763758314652"/>
    <s v="High"/>
  </r>
  <r>
    <s v="ORD-2024-544865"/>
    <d v="2024-02-16T00:00:00"/>
    <s v="Feb-2024"/>
    <s v="Q1-2024"/>
    <d v="2024-03-04T00:00:00"/>
    <d v="2024-03-04T00:00:00"/>
    <x v="25"/>
    <x v="2"/>
    <x v="11"/>
    <s v="Montreal"/>
    <x v="4"/>
    <x v="0"/>
    <x v="0"/>
    <x v="5"/>
    <x v="506"/>
    <n v="1350.98"/>
    <n v="2210.4"/>
    <n v="0.26300000000000001"/>
    <b v="0"/>
    <n v="6"/>
    <n v="9774.3888000000006"/>
    <n v="8105.88"/>
    <n v="1668.5088000000005"/>
    <n v="0.17070211080615091"/>
    <s v="High"/>
  </r>
  <r>
    <s v="ORD-2023-184577"/>
    <d v="2023-05-17T00:00:00"/>
    <s v="May-2023"/>
    <s v="Q2-2023"/>
    <d v="2023-06-03T00:00:00"/>
    <d v="2023-06-03T00:00:00"/>
    <x v="25"/>
    <x v="3"/>
    <x v="10"/>
    <s v="Beijing"/>
    <x v="4"/>
    <x v="3"/>
    <x v="7"/>
    <x v="6"/>
    <x v="507"/>
    <n v="979.59"/>
    <n v="2210.94"/>
    <n v="0.15"/>
    <b v="0"/>
    <n v="11"/>
    <n v="20672.289000000001"/>
    <n v="10775.49"/>
    <n v="9896.7990000000009"/>
    <n v="0.47874712858358359"/>
    <s v="High"/>
  </r>
  <r>
    <s v="ORD-2024-948800"/>
    <d v="2024-03-27T00:00:00"/>
    <s v="Mar-2024"/>
    <s v="Q1-2024"/>
    <d v="2024-04-11T00:00:00"/>
    <d v="2024-04-11T00:00:00"/>
    <x v="21"/>
    <x v="2"/>
    <x v="3"/>
    <s v="San Francisco"/>
    <x v="1"/>
    <x v="2"/>
    <x v="11"/>
    <x v="1"/>
    <x v="508"/>
    <n v="1338.35"/>
    <n v="2247.14"/>
    <n v="0.115"/>
    <b v="0"/>
    <n v="40"/>
    <n v="79548.755999999994"/>
    <n v="53534"/>
    <n v="26014.755999999994"/>
    <n v="0.32702907384246205"/>
    <s v="High"/>
  </r>
  <r>
    <s v="ORD-2024-286833"/>
    <d v="2024-08-14T00:00:00"/>
    <s v="Aug-2024"/>
    <s v="Q3-2024"/>
    <d v="2024-09-04T00:00:00"/>
    <d v="2024-09-04T00:00:00"/>
    <x v="20"/>
    <x v="0"/>
    <x v="0"/>
    <s v="Manchester"/>
    <x v="4"/>
    <x v="4"/>
    <x v="3"/>
    <x v="3"/>
    <x v="509"/>
    <n v="1138.8"/>
    <n v="2250.81"/>
    <n v="0.123"/>
    <b v="0"/>
    <n v="12"/>
    <n v="23687.524440000001"/>
    <n v="13665.599999999999"/>
    <n v="10021.924440000003"/>
    <n v="0.42308872188756258"/>
    <s v="High"/>
  </r>
  <r>
    <s v="ORD-2023-906481"/>
    <d v="2023-05-02T00:00:00"/>
    <s v="May-2023"/>
    <s v="Q2-2023"/>
    <d v="2023-05-18T00:00:00"/>
    <d v="2023-05-18T00:00:00"/>
    <x v="29"/>
    <x v="3"/>
    <x v="9"/>
    <s v="Delhi"/>
    <x v="1"/>
    <x v="1"/>
    <x v="12"/>
    <x v="0"/>
    <x v="510"/>
    <n v="1463.92"/>
    <n v="2252.2399999999998"/>
    <n v="0.11799999999999999"/>
    <b v="0"/>
    <n v="44"/>
    <n v="87404.929919999995"/>
    <n v="64412.480000000003"/>
    <n v="22992.449919999992"/>
    <n v="0.26305667130040061"/>
    <s v="High"/>
  </r>
  <r>
    <s v="ORD-2025-964661"/>
    <d v="2025-02-04T00:00:00"/>
    <s v="Feb-2025"/>
    <s v="Q1-2025"/>
    <d v="2025-02-25T00:00:00"/>
    <d v="2025-02-25T00:00:00"/>
    <x v="20"/>
    <x v="0"/>
    <x v="0"/>
    <s v="Birmingham"/>
    <x v="0"/>
    <x v="1"/>
    <x v="0"/>
    <x v="0"/>
    <x v="511"/>
    <n v="1016.32"/>
    <n v="2253.42"/>
    <n v="5.5E-2"/>
    <b v="0"/>
    <n v="12"/>
    <n v="25553.782800000001"/>
    <n v="12195.84"/>
    <n v="13357.942800000001"/>
    <n v="0.52273837124419797"/>
    <s v="High"/>
  </r>
  <r>
    <s v="ORD-2023-825836"/>
    <d v="2023-07-19T00:00:00"/>
    <s v="Jul-2023"/>
    <s v="Q3-2023"/>
    <d v="2023-07-31T00:00:00"/>
    <d v="2023-07-31T00:00:00"/>
    <x v="22"/>
    <x v="2"/>
    <x v="5"/>
    <s v="Rio de Janeiro"/>
    <x v="0"/>
    <x v="0"/>
    <x v="8"/>
    <x v="0"/>
    <x v="512"/>
    <n v="1334.64"/>
    <n v="2273.42"/>
    <n v="0.11799999999999999"/>
    <b v="0"/>
    <n v="14"/>
    <n v="28072.190160000002"/>
    <n v="18684.960000000003"/>
    <n v="9387.2301599999992"/>
    <n v="0.33439607335575267"/>
    <s v="High"/>
  </r>
  <r>
    <s v="ORD-2025-700847"/>
    <d v="2025-05-21T00:00:00"/>
    <s v="May-2025"/>
    <s v="Q2-2025"/>
    <d v="2025-05-19T00:00:00"/>
    <d v="2025-06-04T00:00:00"/>
    <x v="7"/>
    <x v="1"/>
    <x v="4"/>
    <s v="Johannesburg"/>
    <x v="4"/>
    <x v="3"/>
    <x v="11"/>
    <x v="5"/>
    <x v="513"/>
    <n v="1263.8399999999999"/>
    <n v="2281.7199999999998"/>
    <n v="7.8E-2"/>
    <b v="0"/>
    <n v="15"/>
    <n v="31556.187599999997"/>
    <n v="18957.599999999999"/>
    <n v="12598.587599999999"/>
    <n v="0.39924301882398494"/>
    <s v="High"/>
  </r>
  <r>
    <s v="ORD-2023-885216"/>
    <d v="2023-08-03T00:00:00"/>
    <s v="Aug-2023"/>
    <s v="Q3-2023"/>
    <d v="2023-08-02T00:00:00"/>
    <d v="2023-08-17T00:00:00"/>
    <x v="7"/>
    <x v="3"/>
    <x v="10"/>
    <s v="Shanghai"/>
    <x v="4"/>
    <x v="2"/>
    <x v="3"/>
    <x v="1"/>
    <x v="514"/>
    <n v="1021.97"/>
    <n v="2296.25"/>
    <n v="0.161"/>
    <b v="0"/>
    <n v="26"/>
    <n v="50090.397499999999"/>
    <n v="26571.22"/>
    <n v="23519.177499999998"/>
    <n v="0.46953465482081669"/>
    <s v="High"/>
  </r>
  <r>
    <s v="ORD-2025-480172"/>
    <d v="2025-06-17T00:00:00"/>
    <s v="Jun-2025"/>
    <s v="Q2-2025"/>
    <d v="2025-07-05T00:00:00"/>
    <d v="2025-07-05T00:00:00"/>
    <x v="8"/>
    <x v="3"/>
    <x v="9"/>
    <s v="Delhi"/>
    <x v="2"/>
    <x v="1"/>
    <x v="5"/>
    <x v="5"/>
    <x v="515"/>
    <n v="982.93"/>
    <n v="2299.3000000000002"/>
    <n v="0.113"/>
    <b v="0"/>
    <n v="6"/>
    <n v="12236.874600000001"/>
    <n v="5897.58"/>
    <n v="6339.2946000000011"/>
    <n v="0.51804850562087157"/>
    <s v="High"/>
  </r>
  <r>
    <s v="ORD-2025-624006"/>
    <d v="2025-03-15T00:00:00"/>
    <s v="Mar-2025"/>
    <s v="Q1-2025"/>
    <d v="2025-03-29T00:00:00"/>
    <d v="2025-03-29T00:00:00"/>
    <x v="7"/>
    <x v="3"/>
    <x v="9"/>
    <s v="Mumbai"/>
    <x v="3"/>
    <x v="2"/>
    <x v="8"/>
    <x v="4"/>
    <x v="516"/>
    <n v="935.83"/>
    <n v="2303.46"/>
    <n v="0.105"/>
    <b v="0"/>
    <n v="9"/>
    <n v="18554.370299999999"/>
    <n v="8422.4700000000012"/>
    <n v="10131.900299999998"/>
    <n v="0.54606543559174292"/>
    <s v="High"/>
  </r>
  <r>
    <s v="ORD-2024-594527"/>
    <d v="2024-09-06T00:00:00"/>
    <s v="Sep-2024"/>
    <s v="Q3-2024"/>
    <d v="2024-09-04T00:00:00"/>
    <d v="2024-09-20T00:00:00"/>
    <x v="7"/>
    <x v="3"/>
    <x v="7"/>
    <s v="Osaka"/>
    <x v="0"/>
    <x v="2"/>
    <x v="13"/>
    <x v="5"/>
    <x v="517"/>
    <n v="1368.17"/>
    <n v="2307.75"/>
    <n v="0.16300000000000001"/>
    <b v="0"/>
    <n v="21"/>
    <n v="40563.321749999996"/>
    <n v="28731.57"/>
    <n v="11831.751749999996"/>
    <n v="0.29168596750831921"/>
    <s v="High"/>
  </r>
  <r>
    <s v="ORD-2025-997421"/>
    <d v="2025-05-21T00:00:00"/>
    <s v="May-2025"/>
    <s v="Q2-2025"/>
    <d v="2025-06-09T00:00:00"/>
    <d v="2025-06-09T00:00:00"/>
    <x v="19"/>
    <x v="2"/>
    <x v="5"/>
    <s v="São Paulo"/>
    <x v="4"/>
    <x v="4"/>
    <x v="13"/>
    <x v="4"/>
    <x v="518"/>
    <n v="1331.38"/>
    <n v="2309.56"/>
    <n v="0.14899999999999999"/>
    <b v="0"/>
    <n v="31"/>
    <n v="60928.502359999999"/>
    <n v="41272.780000000006"/>
    <n v="19655.722359999992"/>
    <n v="0.32260307735553528"/>
    <s v="High"/>
  </r>
  <r>
    <s v="ORD-2023-974506"/>
    <d v="2023-12-28T00:00:00"/>
    <s v="Dec-2023"/>
    <s v="Q4-2023"/>
    <d v="2024-01-01T00:00:00"/>
    <d v="2024-01-01T00:00:00"/>
    <x v="17"/>
    <x v="1"/>
    <x v="4"/>
    <s v="Cape Town"/>
    <x v="5"/>
    <x v="3"/>
    <x v="13"/>
    <x v="6"/>
    <x v="519"/>
    <n v="1141.8"/>
    <n v="2318.7399999999998"/>
    <n v="0.107"/>
    <b v="0"/>
    <n v="32"/>
    <n v="66260.314239999992"/>
    <n v="36537.599999999999"/>
    <n v="29722.714239999994"/>
    <n v="0.44857490612468304"/>
    <s v="High"/>
  </r>
  <r>
    <s v="ORD-2024-515105"/>
    <d v="2024-02-27T00:00:00"/>
    <s v="Feb-2024"/>
    <s v="Q1-2024"/>
    <d v="2024-03-26T00:00:00"/>
    <d v="2024-03-26T00:00:00"/>
    <x v="27"/>
    <x v="3"/>
    <x v="9"/>
    <s v="Mumbai"/>
    <x v="5"/>
    <x v="1"/>
    <x v="14"/>
    <x v="5"/>
    <x v="520"/>
    <n v="1035.19"/>
    <n v="2322.6999999999998"/>
    <n v="0.17299999999999999"/>
    <b v="0"/>
    <n v="8"/>
    <n v="15366.983199999999"/>
    <n v="8281.52"/>
    <n v="7085.4631999999983"/>
    <n v="0.46108355217047409"/>
    <s v="High"/>
  </r>
  <r>
    <s v="ORD-2023-867285"/>
    <d v="2023-04-12T00:00:00"/>
    <s v="Apr-2023"/>
    <s v="Q2-2023"/>
    <d v="2023-04-17T00:00:00"/>
    <d v="2023-04-17T00:00:00"/>
    <x v="28"/>
    <x v="0"/>
    <x v="2"/>
    <s v="Lyon"/>
    <x v="3"/>
    <x v="2"/>
    <x v="10"/>
    <x v="0"/>
    <x v="521"/>
    <n v="1087.81"/>
    <n v="2323.87"/>
    <n v="9.4E-2"/>
    <b v="0"/>
    <n v="13"/>
    <n v="27370.540859999997"/>
    <n v="14141.529999999999"/>
    <n v="13229.010859999999"/>
    <n v="0.48333026839572651"/>
    <s v="High"/>
  </r>
  <r>
    <s v="ORD-2024-580808"/>
    <d v="2024-06-16T00:00:00"/>
    <s v="Jun-2024"/>
    <s v="Q2-2024"/>
    <d v="2024-07-03T00:00:00"/>
    <d v="2024-07-03T00:00:00"/>
    <x v="25"/>
    <x v="1"/>
    <x v="4"/>
    <s v="Johannesburg"/>
    <x v="3"/>
    <x v="1"/>
    <x v="6"/>
    <x v="3"/>
    <x v="522"/>
    <n v="1173.83"/>
    <n v="2328.9"/>
    <n v="0.12"/>
    <b v="0"/>
    <n v="17"/>
    <n v="34840.344000000005"/>
    <n v="19955.11"/>
    <n v="14885.234000000004"/>
    <n v="0.42724130393201637"/>
    <s v="High"/>
  </r>
  <r>
    <s v="ORD-2023-619493"/>
    <d v="2023-02-27T00:00:00"/>
    <s v="Feb-2023"/>
    <s v="Q1-2023"/>
    <d v="2023-02-26T00:00:00"/>
    <d v="2023-03-13T00:00:00"/>
    <x v="7"/>
    <x v="2"/>
    <x v="3"/>
    <s v="San Francisco"/>
    <x v="4"/>
    <x v="4"/>
    <x v="5"/>
    <x v="1"/>
    <x v="523"/>
    <n v="1015.91"/>
    <n v="2331.48"/>
    <n v="0.14599999999999999"/>
    <b v="0"/>
    <n v="26"/>
    <n v="51768.181920000003"/>
    <n v="26413.66"/>
    <n v="25354.521920000003"/>
    <n v="0.48977037592669626"/>
    <s v="High"/>
  </r>
  <r>
    <s v="ORD-2024-686712"/>
    <d v="2024-10-02T00:00:00"/>
    <s v="Oct-2024"/>
    <s v="Q4-2024"/>
    <d v="2024-10-23T00:00:00"/>
    <d v="2024-10-23T00:00:00"/>
    <x v="20"/>
    <x v="1"/>
    <x v="4"/>
    <s v="Durban"/>
    <x v="0"/>
    <x v="1"/>
    <x v="13"/>
    <x v="4"/>
    <x v="524"/>
    <n v="1095.6099999999999"/>
    <n v="2366.5100000000002"/>
    <n v="0.152"/>
    <b v="0"/>
    <n v="9"/>
    <n v="18061.204320000004"/>
    <n v="9860.49"/>
    <n v="8200.7143200000046"/>
    <n v="0.4540513564158607"/>
    <s v="High"/>
  </r>
  <r>
    <s v="ORD-2025-843974"/>
    <d v="2025-07-20T00:00:00"/>
    <s v="Jul-2025"/>
    <s v="Q3-2025"/>
    <d v="2025-08-05T00:00:00"/>
    <d v="2025-08-05T00:00:00"/>
    <x v="29"/>
    <x v="2"/>
    <x v="5"/>
    <s v="Brasília"/>
    <x v="3"/>
    <x v="1"/>
    <x v="14"/>
    <x v="2"/>
    <x v="525"/>
    <n v="1068.17"/>
    <n v="2375.37"/>
    <n v="0.109"/>
    <b v="0"/>
    <n v="18"/>
    <n v="38096.18406"/>
    <n v="19227.060000000001"/>
    <n v="18869.124059999998"/>
    <n v="0.49530220744108822"/>
    <s v="High"/>
  </r>
  <r>
    <s v="ORD-2024-140633"/>
    <d v="2024-12-07T00:00:00"/>
    <s v="Dec-2024"/>
    <s v="Q4-2024"/>
    <d v="2024-12-26T00:00:00"/>
    <d v="2024-12-26T00:00:00"/>
    <x v="19"/>
    <x v="0"/>
    <x v="0"/>
    <s v="London"/>
    <x v="3"/>
    <x v="4"/>
    <x v="0"/>
    <x v="1"/>
    <x v="526"/>
    <n v="1035.24"/>
    <n v="2383.41"/>
    <n v="0.17"/>
    <b v="0"/>
    <n v="15"/>
    <n v="29673.454499999993"/>
    <n v="15528.6"/>
    <n v="14144.854499999992"/>
    <n v="0.47668378145860962"/>
    <s v="High"/>
  </r>
  <r>
    <s v="ORD-2023-961864"/>
    <d v="2023-12-07T00:00:00"/>
    <s v="Dec-2023"/>
    <s v="Q4-2023"/>
    <d v="2024-01-02T00:00:00"/>
    <d v="2024-01-02T00:00:00"/>
    <x v="24"/>
    <x v="0"/>
    <x v="6"/>
    <s v="Frankfurt"/>
    <x v="3"/>
    <x v="3"/>
    <x v="10"/>
    <x v="4"/>
    <x v="527"/>
    <n v="1071.99"/>
    <n v="2397.3000000000002"/>
    <n v="6.2E-2"/>
    <b v="0"/>
    <n v="18"/>
    <n v="40476.013200000001"/>
    <n v="19295.82"/>
    <n v="21180.193200000002"/>
    <n v="0.52327765324476183"/>
    <s v="High"/>
  </r>
  <r>
    <s v="ORD-2024-438404"/>
    <d v="2024-09-23T00:00:00"/>
    <s v="Sep-2024"/>
    <s v="Q3-2024"/>
    <d v="2024-10-18T00:00:00"/>
    <d v="2024-10-18T00:00:00"/>
    <x v="1"/>
    <x v="2"/>
    <x v="11"/>
    <s v="Vancouver"/>
    <x v="1"/>
    <x v="4"/>
    <x v="9"/>
    <x v="3"/>
    <x v="528"/>
    <n v="1297"/>
    <n v="2411.52"/>
    <n v="2.1000000000000001E-2"/>
    <b v="0"/>
    <n v="18"/>
    <n v="42495.805439999996"/>
    <n v="23346"/>
    <n v="19149.805439999996"/>
    <n v="0.45062813239385913"/>
    <s v="High"/>
  </r>
  <r>
    <s v="ORD-2024-819979"/>
    <d v="2024-05-28T00:00:00"/>
    <s v="May-2024"/>
    <s v="Q2-2024"/>
    <d v="2024-06-18T00:00:00"/>
    <d v="2024-06-18T00:00:00"/>
    <x v="20"/>
    <x v="0"/>
    <x v="6"/>
    <s v="Frankfurt"/>
    <x v="1"/>
    <x v="4"/>
    <x v="10"/>
    <x v="3"/>
    <x v="529"/>
    <n v="986.85"/>
    <n v="2422.1"/>
    <n v="7.5999999999999998E-2"/>
    <b v="0"/>
    <n v="10"/>
    <n v="22380.204000000002"/>
    <n v="9868.5"/>
    <n v="12511.704000000002"/>
    <n v="0.55905227673527913"/>
    <s v="High"/>
  </r>
  <r>
    <s v="ORD-2023-944052"/>
    <d v="2023-08-30T00:00:00"/>
    <s v="Aug-2023"/>
    <s v="Q3-2023"/>
    <d v="2023-09-03T00:00:00"/>
    <d v="2023-09-03T00:00:00"/>
    <x v="17"/>
    <x v="3"/>
    <x v="9"/>
    <s v="Delhi"/>
    <x v="1"/>
    <x v="1"/>
    <x v="5"/>
    <x v="2"/>
    <x v="530"/>
    <n v="1082.25"/>
    <n v="2433.34"/>
    <n v="0.27"/>
    <b v="0"/>
    <n v="4"/>
    <n v="7105.3528000000006"/>
    <n v="4329"/>
    <n v="2776.3528000000006"/>
    <n v="0.3907410199251472"/>
    <s v="High"/>
  </r>
  <r>
    <s v="ORD-2025-949776"/>
    <d v="2025-08-14T00:00:00"/>
    <s v="Aug-2025"/>
    <s v="Q3-2025"/>
    <d v="2025-09-11T00:00:00"/>
    <d v="2025-09-11T00:00:00"/>
    <x v="27"/>
    <x v="2"/>
    <x v="5"/>
    <s v="São Paulo"/>
    <x v="4"/>
    <x v="2"/>
    <x v="6"/>
    <x v="6"/>
    <x v="531"/>
    <n v="1203.02"/>
    <n v="2439.33"/>
    <n v="0"/>
    <b v="0"/>
    <n v="18"/>
    <n v="43907.94"/>
    <n v="21654.36"/>
    <n v="22253.58"/>
    <n v="0.50682359500354612"/>
    <s v="High"/>
  </r>
  <r>
    <s v="ORD-2023-390998"/>
    <d v="2023-04-19T00:00:00"/>
    <s v="Apr-2023"/>
    <s v="Q2-2023"/>
    <d v="2023-04-28T00:00:00"/>
    <d v="2023-04-28T00:00:00"/>
    <x v="2"/>
    <x v="0"/>
    <x v="6"/>
    <s v="Berlin"/>
    <x v="5"/>
    <x v="4"/>
    <x v="10"/>
    <x v="0"/>
    <x v="532"/>
    <n v="1178.42"/>
    <n v="2446.56"/>
    <n v="2.9000000000000001E-2"/>
    <b v="0"/>
    <n v="11"/>
    <n v="26131.70736"/>
    <n v="12962.62"/>
    <n v="13169.08736"/>
    <n v="0.5039505141618883"/>
    <s v="High"/>
  </r>
  <r>
    <s v="ORD-2023-488227"/>
    <d v="2023-09-08T00:00:00"/>
    <s v="Sep-2023"/>
    <s v="Q3-2023"/>
    <d v="2023-10-02T00:00:00"/>
    <d v="2023-10-02T00:00:00"/>
    <x v="30"/>
    <x v="2"/>
    <x v="11"/>
    <s v="Toronto"/>
    <x v="5"/>
    <x v="2"/>
    <x v="13"/>
    <x v="2"/>
    <x v="533"/>
    <n v="1299.03"/>
    <n v="2451.2199999999998"/>
    <n v="0.20799999999999999"/>
    <b v="0"/>
    <n v="8"/>
    <n v="15530.929919999999"/>
    <n v="10392.24"/>
    <n v="5138.6899199999989"/>
    <n v="0.3308681416032041"/>
    <s v="High"/>
  </r>
  <r>
    <s v="ORD-2023-632893"/>
    <d v="2023-05-07T00:00:00"/>
    <s v="May-2023"/>
    <s v="Q2-2023"/>
    <d v="2023-05-05T00:00:00"/>
    <d v="2023-05-21T00:00:00"/>
    <x v="7"/>
    <x v="1"/>
    <x v="8"/>
    <s v="Port Harcourt"/>
    <x v="4"/>
    <x v="1"/>
    <x v="13"/>
    <x v="4"/>
    <x v="534"/>
    <n v="1269.6500000000001"/>
    <n v="2462.77"/>
    <n v="0.107"/>
    <b v="0"/>
    <n v="8"/>
    <n v="17594.028880000002"/>
    <n v="10157.200000000001"/>
    <n v="7436.8288800000009"/>
    <n v="0.42269050089225502"/>
    <s v="High"/>
  </r>
  <r>
    <s v="ORD-2023-868734"/>
    <d v="2023-04-06T00:00:00"/>
    <s v="Apr-2023"/>
    <s v="Q2-2023"/>
    <d v="2023-04-27T00:00:00"/>
    <d v="2023-04-27T00:00:00"/>
    <x v="20"/>
    <x v="0"/>
    <x v="0"/>
    <s v="Manchester"/>
    <x v="3"/>
    <x v="3"/>
    <x v="1"/>
    <x v="6"/>
    <x v="535"/>
    <n v="1084.79"/>
    <n v="2484.9899999999998"/>
    <n v="3.4000000000000002E-2"/>
    <b v="0"/>
    <n v="18"/>
    <n v="43209.006119999991"/>
    <n v="19526.22"/>
    <n v="23682.78611999999"/>
    <n v="0.54809837685755114"/>
    <s v="High"/>
  </r>
  <r>
    <s v="ORD-2024-500890"/>
    <d v="2024-09-09T00:00:00"/>
    <s v="Sep-2024"/>
    <s v="Q3-2024"/>
    <d v="2024-10-08T00:00:00"/>
    <d v="2024-10-08T00:00:00"/>
    <x v="12"/>
    <x v="2"/>
    <x v="5"/>
    <s v="São Paulo"/>
    <x v="5"/>
    <x v="2"/>
    <x v="3"/>
    <x v="4"/>
    <x v="536"/>
    <n v="1010.33"/>
    <n v="2492.14"/>
    <n v="5.0999999999999997E-2"/>
    <b v="0"/>
    <n v="11"/>
    <n v="26015.449459999996"/>
    <n v="11113.630000000001"/>
    <n v="14901.819459999995"/>
    <n v="0.57280653493656752"/>
    <s v="High"/>
  </r>
  <r>
    <s v="ORD-2024-500511"/>
    <d v="2024-10-08T00:00:00"/>
    <s v="Oct-2024"/>
    <s v="Q4-2024"/>
    <d v="2024-10-08T00:00:00"/>
    <d v="2024-10-08T00:00:00"/>
    <x v="15"/>
    <x v="0"/>
    <x v="0"/>
    <s v="London"/>
    <x v="0"/>
    <x v="4"/>
    <x v="10"/>
    <x v="0"/>
    <x v="537"/>
    <n v="1108.1099999999999"/>
    <n v="2503.79"/>
    <n v="0.184"/>
    <b v="0"/>
    <n v="19"/>
    <n v="38818.760160000005"/>
    <n v="21054.089999999997"/>
    <n v="17764.670160000009"/>
    <n v="0.45763105485025896"/>
    <s v="High"/>
  </r>
  <r>
    <s v="ORD-2023-732585"/>
    <d v="2023-08-25T00:00:00"/>
    <s v="Aug-2023"/>
    <s v="Q3-2023"/>
    <d v="2023-09-16T00:00:00"/>
    <d v="2023-09-16T00:00:00"/>
    <x v="13"/>
    <x v="1"/>
    <x v="8"/>
    <s v="Abuja"/>
    <x v="0"/>
    <x v="1"/>
    <x v="5"/>
    <x v="3"/>
    <x v="538"/>
    <n v="1196.83"/>
    <n v="2513.5100000000002"/>
    <n v="8.3000000000000004E-2"/>
    <b v="0"/>
    <n v="7"/>
    <n v="16134.22069"/>
    <n v="8377.81"/>
    <n v="7756.4106900000006"/>
    <n v="0.48074281609445374"/>
    <s v="High"/>
  </r>
  <r>
    <s v="ORD-2023-195665"/>
    <d v="2023-12-19T00:00:00"/>
    <s v="Dec-2023"/>
    <s v="Q4-2023"/>
    <d v="2023-12-20T00:00:00"/>
    <d v="2023-12-20T00:00:00"/>
    <x v="26"/>
    <x v="2"/>
    <x v="5"/>
    <s v="Rio de Janeiro"/>
    <x v="2"/>
    <x v="3"/>
    <x v="3"/>
    <x v="3"/>
    <x v="539"/>
    <n v="1080.43"/>
    <n v="2529.15"/>
    <n v="0.14699999999999999"/>
    <b v="0"/>
    <n v="10"/>
    <n v="21573.6495"/>
    <n v="10804.300000000001"/>
    <n v="10769.349499999998"/>
    <n v="0.49918997247081437"/>
    <s v="High"/>
  </r>
  <r>
    <s v="ORD-2024-589570"/>
    <d v="2024-05-04T00:00:00"/>
    <s v="May-2024"/>
    <s v="Q2-2024"/>
    <d v="2024-05-29T00:00:00"/>
    <d v="2024-05-29T00:00:00"/>
    <x v="1"/>
    <x v="1"/>
    <x v="8"/>
    <s v="Abuja"/>
    <x v="4"/>
    <x v="1"/>
    <x v="11"/>
    <x v="0"/>
    <x v="540"/>
    <n v="1295.3399999999999"/>
    <n v="2530.81"/>
    <n v="3.1E-2"/>
    <b v="0"/>
    <n v="6"/>
    <n v="14714.12934"/>
    <n v="7772.0399999999991"/>
    <n v="6942.0893400000004"/>
    <n v="0.4717974933880798"/>
    <s v="High"/>
  </r>
  <r>
    <s v="ORD-2023-569862"/>
    <d v="2023-07-16T00:00:00"/>
    <s v="Jul-2023"/>
    <s v="Q3-2023"/>
    <d v="2023-08-13T00:00:00"/>
    <d v="2023-08-13T00:00:00"/>
    <x v="27"/>
    <x v="0"/>
    <x v="0"/>
    <s v="Manchester"/>
    <x v="4"/>
    <x v="4"/>
    <x v="3"/>
    <x v="5"/>
    <x v="541"/>
    <n v="1039.03"/>
    <n v="2545.81"/>
    <n v="0.216"/>
    <b v="0"/>
    <n v="21"/>
    <n v="41914.215840000004"/>
    <n v="21819.63"/>
    <n v="20094.585840000003"/>
    <n v="0.47942172929364774"/>
    <s v="High"/>
  </r>
  <r>
    <s v="ORD-2025-418232"/>
    <d v="2025-08-01T00:00:00"/>
    <s v="Aug-2025"/>
    <s v="Q3-2025"/>
    <d v="2025-08-21T00:00:00"/>
    <d v="2025-08-21T00:00:00"/>
    <x v="14"/>
    <x v="3"/>
    <x v="10"/>
    <s v="Shanghai"/>
    <x v="0"/>
    <x v="2"/>
    <x v="1"/>
    <x v="3"/>
    <x v="542"/>
    <n v="1220.4100000000001"/>
    <n v="2552.2199999999998"/>
    <n v="0.18099999999999999"/>
    <b v="0"/>
    <n v="14"/>
    <n v="29263.754519999995"/>
    <n v="17085.740000000002"/>
    <n v="12178.014519999993"/>
    <n v="0.41614668793360271"/>
    <s v="High"/>
  </r>
  <r>
    <s v="ORD-2024-500109"/>
    <d v="2024-05-18T00:00:00"/>
    <s v="May-2024"/>
    <s v="Q2-2024"/>
    <d v="2024-05-23T00:00:00"/>
    <d v="2024-05-23T00:00:00"/>
    <x v="28"/>
    <x v="2"/>
    <x v="3"/>
    <s v="Chicago"/>
    <x v="3"/>
    <x v="0"/>
    <x v="2"/>
    <x v="5"/>
    <x v="543"/>
    <n v="1274.5899999999999"/>
    <n v="2553.69"/>
    <n v="0.01"/>
    <b v="0"/>
    <n v="8"/>
    <n v="20225.2248"/>
    <n v="10196.719999999999"/>
    <n v="10028.504800000001"/>
    <n v="0.49584145042481803"/>
    <s v="High"/>
  </r>
  <r>
    <s v="ORD-2023-474313"/>
    <d v="2023-10-05T00:00:00"/>
    <s v="Oct-2023"/>
    <s v="Q4-2023"/>
    <d v="2023-10-06T00:00:00"/>
    <d v="2023-10-06T00:00:00"/>
    <x v="26"/>
    <x v="3"/>
    <x v="9"/>
    <s v="Bengaluru"/>
    <x v="4"/>
    <x v="4"/>
    <x v="1"/>
    <x v="4"/>
    <x v="544"/>
    <n v="1470.26"/>
    <n v="2562.5500000000002"/>
    <n v="0.17299999999999999"/>
    <b v="0"/>
    <n v="9"/>
    <n v="19073.059649999999"/>
    <n v="13232.34"/>
    <n v="5840.7196499999991"/>
    <n v="0.30622877279157462"/>
    <s v="High"/>
  </r>
  <r>
    <s v="ORD-2025-146850"/>
    <d v="2025-01-21T00:00:00"/>
    <s v="Jan-2025"/>
    <s v="Q1-2025"/>
    <d v="2025-02-14T00:00:00"/>
    <d v="2025-02-14T00:00:00"/>
    <x v="30"/>
    <x v="1"/>
    <x v="1"/>
    <s v="Nairobi"/>
    <x v="1"/>
    <x v="0"/>
    <x v="3"/>
    <x v="2"/>
    <x v="545"/>
    <n v="1030.44"/>
    <n v="2562.84"/>
    <n v="0.14799999999999999"/>
    <b v="0"/>
    <n v="13"/>
    <n v="28386.015839999996"/>
    <n v="13395.720000000001"/>
    <n v="14990.295839999995"/>
    <n v="0.52808734852027039"/>
    <s v="High"/>
  </r>
  <r>
    <s v="ORD-2024-862371"/>
    <d v="2024-09-07T00:00:00"/>
    <s v="Sep-2024"/>
    <s v="Q3-2024"/>
    <d v="2024-09-07T00:00:00"/>
    <d v="2024-09-07T00:00:00"/>
    <x v="15"/>
    <x v="3"/>
    <x v="9"/>
    <s v="Mumbai"/>
    <x v="5"/>
    <x v="3"/>
    <x v="4"/>
    <x v="1"/>
    <x v="546"/>
    <n v="1066.6500000000001"/>
    <n v="2569.77"/>
    <n v="0.13400000000000001"/>
    <b v="0"/>
    <n v="9"/>
    <n v="20028.787380000002"/>
    <n v="9599.85"/>
    <n v="10428.937380000001"/>
    <n v="0.52069739331368348"/>
    <s v="High"/>
  </r>
  <r>
    <s v="ORD-2023-521280"/>
    <d v="2023-05-27T00:00:00"/>
    <s v="May-2023"/>
    <s v="Q2-2023"/>
    <d v="2023-06-19T00:00:00"/>
    <d v="2023-06-19T00:00:00"/>
    <x v="23"/>
    <x v="0"/>
    <x v="6"/>
    <s v="Berlin"/>
    <x v="5"/>
    <x v="0"/>
    <x v="11"/>
    <x v="2"/>
    <x v="547"/>
    <n v="1471.58"/>
    <n v="2576.65"/>
    <n v="4.0000000000000001E-3"/>
    <b v="0"/>
    <n v="7"/>
    <n v="17964.4038"/>
    <n v="10301.06"/>
    <n v="7663.3438000000006"/>
    <n v="0.4265849223451546"/>
    <s v="High"/>
  </r>
  <r>
    <s v="ORD-2023-957692"/>
    <d v="2023-05-07T00:00:00"/>
    <s v="May-2023"/>
    <s v="Q2-2023"/>
    <d v="2023-05-20T00:00:00"/>
    <d v="2023-05-20T00:00:00"/>
    <x v="6"/>
    <x v="3"/>
    <x v="9"/>
    <s v="Mumbai"/>
    <x v="3"/>
    <x v="0"/>
    <x v="0"/>
    <x v="2"/>
    <x v="548"/>
    <n v="1443.28"/>
    <n v="2580.5700000000002"/>
    <n v="0"/>
    <b v="0"/>
    <n v="18"/>
    <n v="46450.26"/>
    <n v="25979.040000000001"/>
    <n v="20471.22"/>
    <n v="0.4407127107577008"/>
    <s v="High"/>
  </r>
  <r>
    <s v="ORD-2024-215294"/>
    <d v="2024-06-30T00:00:00"/>
    <s v="Jun-2024"/>
    <s v="Q2-2024"/>
    <d v="2024-07-14T00:00:00"/>
    <d v="2024-07-14T00:00:00"/>
    <x v="7"/>
    <x v="2"/>
    <x v="5"/>
    <s v="Brasília"/>
    <x v="5"/>
    <x v="0"/>
    <x v="8"/>
    <x v="2"/>
    <x v="549"/>
    <n v="1491.85"/>
    <n v="2583.02"/>
    <n v="0.16800000000000001"/>
    <b v="0"/>
    <n v="4"/>
    <n v="8596.2905599999995"/>
    <n v="5967.4"/>
    <n v="2628.8905599999998"/>
    <n v="0.30581685689321325"/>
    <s v="High"/>
  </r>
  <r>
    <s v="ORD-2025-779574"/>
    <d v="2025-09-10T00:00:00"/>
    <s v="Sep-2025"/>
    <s v="Q3-2025"/>
    <d v="2025-09-12T00:00:00"/>
    <d v="2025-09-12T00:00:00"/>
    <x v="9"/>
    <x v="3"/>
    <x v="7"/>
    <s v="Tokyo"/>
    <x v="2"/>
    <x v="4"/>
    <x v="11"/>
    <x v="4"/>
    <x v="550"/>
    <n v="1470.15"/>
    <n v="2593.7800000000002"/>
    <n v="0.11"/>
    <b v="0"/>
    <n v="12"/>
    <n v="27701.570400000001"/>
    <n v="17641.800000000003"/>
    <n v="10059.770399999998"/>
    <n v="0.36314801849645306"/>
    <s v="High"/>
  </r>
  <r>
    <s v="ORD-2024-732543"/>
    <d v="2024-10-24T00:00:00"/>
    <s v="Oct-2024"/>
    <s v="Q4-2024"/>
    <d v="2024-10-28T00:00:00"/>
    <d v="2024-10-28T00:00:00"/>
    <x v="17"/>
    <x v="3"/>
    <x v="10"/>
    <s v="Shanghai"/>
    <x v="1"/>
    <x v="3"/>
    <x v="1"/>
    <x v="1"/>
    <x v="551"/>
    <n v="1331.77"/>
    <n v="2606.11"/>
    <n v="0.02"/>
    <b v="0"/>
    <n v="6"/>
    <n v="15323.926799999999"/>
    <n v="7990.62"/>
    <n v="7333.3067999999994"/>
    <n v="0.47855271665745619"/>
    <s v="High"/>
  </r>
  <r>
    <s v="ORD-2024-468501"/>
    <d v="2024-11-06T00:00:00"/>
    <s v="Nov-2024"/>
    <s v="Q4-2024"/>
    <d v="2024-11-22T00:00:00"/>
    <d v="2024-11-22T00:00:00"/>
    <x v="29"/>
    <x v="2"/>
    <x v="11"/>
    <s v="Toronto"/>
    <x v="4"/>
    <x v="3"/>
    <x v="0"/>
    <x v="2"/>
    <x v="552"/>
    <n v="1454.11"/>
    <n v="2629.75"/>
    <n v="0.29199999999999998"/>
    <b v="0"/>
    <n v="8"/>
    <n v="14894.903999999999"/>
    <n v="11632.88"/>
    <n v="3262.0239999999994"/>
    <n v="0.21900268709351867"/>
    <s v="High"/>
  </r>
  <r>
    <s v="ORD-2025-474710"/>
    <d v="2025-07-24T00:00:00"/>
    <s v="Jul-2025"/>
    <s v="Q3-2025"/>
    <d v="2025-08-06T00:00:00"/>
    <d v="2025-08-06T00:00:00"/>
    <x v="6"/>
    <x v="1"/>
    <x v="4"/>
    <s v="Johannesburg"/>
    <x v="5"/>
    <x v="1"/>
    <x v="0"/>
    <x v="1"/>
    <x v="553"/>
    <n v="1463.9"/>
    <n v="2633.02"/>
    <n v="8.4000000000000005E-2"/>
    <b v="0"/>
    <n v="4"/>
    <n v="9647.3852800000004"/>
    <n v="5855.6"/>
    <n v="3791.7852800000001"/>
    <n v="0.39303761277791527"/>
    <s v="High"/>
  </r>
  <r>
    <s v="ORD-2023-561823"/>
    <d v="2023-11-19T00:00:00"/>
    <s v="Nov-2023"/>
    <s v="Q4-2023"/>
    <d v="2023-12-12T00:00:00"/>
    <d v="2023-12-12T00:00:00"/>
    <x v="23"/>
    <x v="3"/>
    <x v="9"/>
    <s v="Delhi"/>
    <x v="1"/>
    <x v="2"/>
    <x v="8"/>
    <x v="1"/>
    <x v="554"/>
    <n v="1349.04"/>
    <n v="2636.6"/>
    <n v="0.114"/>
    <b v="0"/>
    <n v="14"/>
    <n v="32704.386400000003"/>
    <n v="18886.559999999998"/>
    <n v="13817.826400000005"/>
    <n v="0.42250682312143928"/>
    <s v="High"/>
  </r>
  <r>
    <s v="ORD-2023-701153"/>
    <d v="2023-04-14T00:00:00"/>
    <s v="Apr-2023"/>
    <s v="Q2-2023"/>
    <d v="2023-05-13T00:00:00"/>
    <d v="2023-05-13T00:00:00"/>
    <x v="12"/>
    <x v="0"/>
    <x v="6"/>
    <s v="Frankfurt"/>
    <x v="2"/>
    <x v="2"/>
    <x v="3"/>
    <x v="6"/>
    <x v="555"/>
    <n v="1320.33"/>
    <n v="2645.23"/>
    <n v="0.155"/>
    <b v="0"/>
    <n v="25"/>
    <n v="55880.483749999999"/>
    <n v="33008.25"/>
    <n v="22872.233749999999"/>
    <n v="0.40930629470436536"/>
    <s v="High"/>
  </r>
  <r>
    <s v="ORD-2024-353078"/>
    <d v="2024-08-16T00:00:00"/>
    <s v="Aug-2024"/>
    <s v="Q3-2024"/>
    <d v="2024-08-26T00:00:00"/>
    <d v="2024-08-26T00:00:00"/>
    <x v="3"/>
    <x v="2"/>
    <x v="3"/>
    <s v="Chicago"/>
    <x v="0"/>
    <x v="3"/>
    <x v="5"/>
    <x v="5"/>
    <x v="253"/>
    <n v="1291.7"/>
    <n v="2657.84"/>
    <n v="8.6999999999999994E-2"/>
    <b v="0"/>
    <n v="21"/>
    <n v="50958.766320000002"/>
    <n v="27125.7"/>
    <n v="23833.066320000002"/>
    <n v="0.46769315745083367"/>
    <s v="High"/>
  </r>
  <r>
    <s v="ORD-2024-508213"/>
    <d v="2024-11-22T00:00:00"/>
    <s v="Nov-2024"/>
    <s v="Q4-2024"/>
    <d v="2024-12-15T00:00:00"/>
    <d v="2024-12-15T00:00:00"/>
    <x v="23"/>
    <x v="1"/>
    <x v="1"/>
    <s v="Mombasa"/>
    <x v="4"/>
    <x v="3"/>
    <x v="8"/>
    <x v="4"/>
    <x v="556"/>
    <n v="1335.76"/>
    <n v="2665.91"/>
    <n v="0.21099999999999999"/>
    <b v="0"/>
    <n v="40"/>
    <n v="84136.119600000005"/>
    <n v="53430.400000000001"/>
    <n v="30705.719600000004"/>
    <n v="0.36495288522909253"/>
    <s v="High"/>
  </r>
  <r>
    <s v="ORD-2025-564184"/>
    <d v="2025-01-29T00:00:00"/>
    <s v="Jan-2025"/>
    <s v="Q1-2025"/>
    <d v="2025-02-06T00:00:00"/>
    <d v="2025-02-06T00:00:00"/>
    <x v="16"/>
    <x v="1"/>
    <x v="1"/>
    <s v="Kisumu"/>
    <x v="5"/>
    <x v="0"/>
    <x v="4"/>
    <x v="3"/>
    <x v="557"/>
    <n v="1445.27"/>
    <n v="2691.45"/>
    <n v="0"/>
    <b v="0"/>
    <n v="9"/>
    <n v="24223.05"/>
    <n v="13007.43"/>
    <n v="11215.619999999999"/>
    <n v="0.46301436028906351"/>
    <s v="High"/>
  </r>
  <r>
    <s v="ORD-2023-290237"/>
    <d v="2023-07-30T00:00:00"/>
    <s v="Jul-2023"/>
    <s v="Q3-2023"/>
    <d v="2023-08-07T00:00:00"/>
    <d v="2023-08-07T00:00:00"/>
    <x v="16"/>
    <x v="3"/>
    <x v="7"/>
    <s v="Nagoya"/>
    <x v="5"/>
    <x v="1"/>
    <x v="13"/>
    <x v="1"/>
    <x v="558"/>
    <n v="1352.44"/>
    <n v="2698.01"/>
    <n v="0.13100000000000001"/>
    <b v="0"/>
    <n v="13"/>
    <n v="30479.418970000002"/>
    <n v="17581.72"/>
    <n v="12897.698970000001"/>
    <n v="0.42316091992090887"/>
    <s v="High"/>
  </r>
  <r>
    <s v="ORD-2025-233883"/>
    <d v="2025-09-08T00:00:00"/>
    <s v="Sep-2025"/>
    <s v="Q3-2025"/>
    <d v="2025-09-16T00:00:00"/>
    <d v="2025-09-16T00:00:00"/>
    <x v="16"/>
    <x v="3"/>
    <x v="7"/>
    <s v="Osaka"/>
    <x v="0"/>
    <x v="3"/>
    <x v="8"/>
    <x v="3"/>
    <x v="559"/>
    <n v="1225.57"/>
    <n v="2705.57"/>
    <n v="0.183"/>
    <b v="0"/>
    <n v="16"/>
    <n v="35367.211040000002"/>
    <n v="19609.12"/>
    <n v="15758.091040000003"/>
    <n v="0.44555650775453404"/>
    <s v="High"/>
  </r>
  <r>
    <s v="ORD-2023-987081"/>
    <d v="2023-08-29T00:00:00"/>
    <s v="Aug-2023"/>
    <s v="Q3-2023"/>
    <d v="2023-09-13T00:00:00"/>
    <d v="2023-09-13T00:00:00"/>
    <x v="21"/>
    <x v="2"/>
    <x v="11"/>
    <s v="Vancouver"/>
    <x v="1"/>
    <x v="1"/>
    <x v="11"/>
    <x v="6"/>
    <x v="560"/>
    <n v="1287.6400000000001"/>
    <n v="2717.15"/>
    <n v="3.2000000000000001E-2"/>
    <b v="0"/>
    <n v="7"/>
    <n v="18411.4084"/>
    <n v="9013.4800000000014"/>
    <n v="9397.9283999999989"/>
    <n v="0.51044049405802105"/>
    <s v="High"/>
  </r>
  <r>
    <s v="ORD-2025-685236"/>
    <d v="2025-03-14T00:00:00"/>
    <s v="Mar-2025"/>
    <s v="Q1-2025"/>
    <d v="2025-03-29T00:00:00"/>
    <d v="2025-03-29T00:00:00"/>
    <x v="21"/>
    <x v="3"/>
    <x v="7"/>
    <s v="Tokyo"/>
    <x v="4"/>
    <x v="2"/>
    <x v="2"/>
    <x v="1"/>
    <x v="561"/>
    <n v="1106.96"/>
    <n v="2726.62"/>
    <n v="0"/>
    <b v="0"/>
    <n v="7"/>
    <n v="19086.34"/>
    <n v="7748.72"/>
    <n v="11337.619999999999"/>
    <n v="0.59401750152203092"/>
    <s v="High"/>
  </r>
  <r>
    <s v="ORD-2024-105586"/>
    <d v="2024-01-02T00:00:00"/>
    <s v="Jan-2024"/>
    <s v="Q1-2024"/>
    <d v="2024-01-15T00:00:00"/>
    <d v="2024-01-15T00:00:00"/>
    <x v="6"/>
    <x v="3"/>
    <x v="7"/>
    <s v="Nagoya"/>
    <x v="1"/>
    <x v="1"/>
    <x v="14"/>
    <x v="1"/>
    <x v="562"/>
    <n v="1219.06"/>
    <n v="2738.69"/>
    <n v="7.5999999999999998E-2"/>
    <b v="0"/>
    <n v="16"/>
    <n v="40488.792960000006"/>
    <n v="19504.96"/>
    <n v="20983.832960000007"/>
    <n v="0.51826274447673737"/>
    <s v="High"/>
  </r>
  <r>
    <s v="ORD-2023-576840"/>
    <d v="2023-11-19T00:00:00"/>
    <s v="Nov-2023"/>
    <s v="Q4-2023"/>
    <d v="2023-12-13T00:00:00"/>
    <d v="2023-12-13T00:00:00"/>
    <x v="30"/>
    <x v="0"/>
    <x v="2"/>
    <s v="Lyon"/>
    <x v="4"/>
    <x v="2"/>
    <x v="2"/>
    <x v="0"/>
    <x v="563"/>
    <n v="1297.42"/>
    <n v="2742.97"/>
    <n v="6.9000000000000006E-2"/>
    <b v="0"/>
    <n v="9"/>
    <n v="22983.34563"/>
    <n v="11676.78"/>
    <n v="11306.565629999999"/>
    <n v="0.49194602961727291"/>
    <s v="High"/>
  </r>
  <r>
    <s v="ORD-2024-332076"/>
    <d v="2024-04-09T00:00:00"/>
    <s v="Apr-2024"/>
    <s v="Q2-2024"/>
    <d v="2024-04-18T00:00:00"/>
    <d v="2024-04-18T00:00:00"/>
    <x v="2"/>
    <x v="0"/>
    <x v="2"/>
    <s v="Lyon"/>
    <x v="2"/>
    <x v="4"/>
    <x v="10"/>
    <x v="6"/>
    <x v="564"/>
    <n v="1288.8499999999999"/>
    <n v="2751.84"/>
    <n v="0.158"/>
    <b v="0"/>
    <n v="7"/>
    <n v="16219.34496"/>
    <n v="9021.9499999999989"/>
    <n v="7197.3949600000014"/>
    <n v="0.44375373837538756"/>
    <s v="High"/>
  </r>
  <r>
    <s v="ORD-2025-752192"/>
    <d v="2025-05-16T00:00:00"/>
    <s v="May-2025"/>
    <s v="Q2-2025"/>
    <d v="2025-05-18T00:00:00"/>
    <d v="2025-05-18T00:00:00"/>
    <x v="9"/>
    <x v="3"/>
    <x v="7"/>
    <s v="Tokyo"/>
    <x v="3"/>
    <x v="0"/>
    <x v="3"/>
    <x v="6"/>
    <x v="565"/>
    <n v="1144.3800000000001"/>
    <n v="2755.04"/>
    <n v="0.15"/>
    <b v="0"/>
    <n v="17"/>
    <n v="39810.328000000001"/>
    <n v="19454.460000000003"/>
    <n v="20355.867999999999"/>
    <n v="0.51132128326096682"/>
    <s v="High"/>
  </r>
  <r>
    <s v="ORD-2025-132174"/>
    <d v="2025-07-17T00:00:00"/>
    <s v="Jul-2025"/>
    <s v="Q3-2025"/>
    <d v="2025-07-23T00:00:00"/>
    <d v="2025-07-23T00:00:00"/>
    <x v="18"/>
    <x v="2"/>
    <x v="11"/>
    <s v="Vancouver"/>
    <x v="2"/>
    <x v="4"/>
    <x v="2"/>
    <x v="4"/>
    <x v="566"/>
    <n v="1364.89"/>
    <n v="2757.54"/>
    <n v="0.17199999999999999"/>
    <b v="0"/>
    <n v="61"/>
    <n v="139277.83032000001"/>
    <n v="83258.290000000008"/>
    <n v="56019.54032"/>
    <n v="0.4022143379983118"/>
    <s v="High"/>
  </r>
  <r>
    <s v="ORD-2023-159379"/>
    <d v="2023-02-08T00:00:00"/>
    <s v="Feb-2023"/>
    <s v="Q1-2023"/>
    <d v="2023-02-11T00:00:00"/>
    <d v="2023-02-11T00:00:00"/>
    <x v="5"/>
    <x v="1"/>
    <x v="4"/>
    <s v="Cape Town"/>
    <x v="0"/>
    <x v="2"/>
    <x v="7"/>
    <x v="1"/>
    <x v="567"/>
    <n v="1410.05"/>
    <n v="2763.95"/>
    <n v="0.161"/>
    <b v="0"/>
    <n v="26"/>
    <n v="60292.805299999993"/>
    <n v="36661.299999999996"/>
    <n v="23631.505299999997"/>
    <n v="0.39194569206750779"/>
    <s v="High"/>
  </r>
  <r>
    <s v="ORD-2024-651852"/>
    <d v="2024-12-28T00:00:00"/>
    <s v="Dec-2024"/>
    <s v="Q4-2024"/>
    <d v="2025-01-08T00:00:00"/>
    <d v="2025-01-08T00:00:00"/>
    <x v="10"/>
    <x v="3"/>
    <x v="10"/>
    <s v="Shenzhen"/>
    <x v="3"/>
    <x v="4"/>
    <x v="12"/>
    <x v="5"/>
    <x v="568"/>
    <n v="1201.31"/>
    <n v="2764.65"/>
    <n v="0"/>
    <b v="0"/>
    <n v="21"/>
    <n v="58057.65"/>
    <n v="25227.51"/>
    <n v="32830.14"/>
    <n v="0.56547483406579491"/>
    <s v="High"/>
  </r>
  <r>
    <s v="ORD-2025-417336"/>
    <d v="2025-08-30T00:00:00"/>
    <s v="Aug-2025"/>
    <s v="Q3-2025"/>
    <d v="2025-09-03T00:00:00"/>
    <d v="2025-09-03T00:00:00"/>
    <x v="17"/>
    <x v="0"/>
    <x v="2"/>
    <s v="Marseille"/>
    <x v="1"/>
    <x v="1"/>
    <x v="3"/>
    <x v="5"/>
    <x v="569"/>
    <n v="1286.56"/>
    <n v="2777.35"/>
    <n v="0.13200000000000001"/>
    <b v="0"/>
    <n v="15"/>
    <n v="36161.097000000002"/>
    <n v="19298.399999999998"/>
    <n v="16862.697000000004"/>
    <n v="0.46632150014696744"/>
    <s v="High"/>
  </r>
  <r>
    <s v="ORD-2025-254721"/>
    <d v="2025-05-15T00:00:00"/>
    <s v="May-2025"/>
    <s v="Q2-2025"/>
    <d v="2025-06-05T00:00:00"/>
    <d v="2025-06-05T00:00:00"/>
    <x v="20"/>
    <x v="3"/>
    <x v="7"/>
    <s v="Osaka"/>
    <x v="3"/>
    <x v="2"/>
    <x v="2"/>
    <x v="3"/>
    <x v="570"/>
    <n v="1466.5"/>
    <n v="2778.74"/>
    <n v="0.13500000000000001"/>
    <b v="0"/>
    <n v="4"/>
    <n v="9614.4403999999995"/>
    <n v="5866"/>
    <n v="3748.4403999999995"/>
    <n v="0.38987608680792279"/>
    <s v="High"/>
  </r>
  <r>
    <s v="ORD-2023-573146"/>
    <d v="2023-12-01T00:00:00"/>
    <s v="Dec-2023"/>
    <s v="Q4-2023"/>
    <d v="2023-12-18T00:00:00"/>
    <d v="2023-12-18T00:00:00"/>
    <x v="25"/>
    <x v="3"/>
    <x v="7"/>
    <s v="Nagoya"/>
    <x v="1"/>
    <x v="2"/>
    <x v="9"/>
    <x v="5"/>
    <x v="571"/>
    <n v="1495.79"/>
    <n v="2783.12"/>
    <n v="0.02"/>
    <b v="0"/>
    <n v="5"/>
    <n v="13637.287999999999"/>
    <n v="7478.95"/>
    <n v="6158.3379999999988"/>
    <n v="0.45158084217331185"/>
    <s v="High"/>
  </r>
  <r>
    <s v="ORD-2023-451931"/>
    <d v="2023-07-30T00:00:00"/>
    <s v="Jul-2023"/>
    <s v="Q3-2023"/>
    <d v="2023-08-19T00:00:00"/>
    <d v="2023-08-19T00:00:00"/>
    <x v="14"/>
    <x v="0"/>
    <x v="2"/>
    <s v="Paris"/>
    <x v="3"/>
    <x v="1"/>
    <x v="14"/>
    <x v="1"/>
    <x v="572"/>
    <n v="1418.51"/>
    <n v="2789.61"/>
    <n v="0.17100000000000001"/>
    <b v="0"/>
    <n v="8"/>
    <n v="18500.693520000001"/>
    <n v="11348.08"/>
    <n v="7152.6135200000008"/>
    <n v="0.38661326464695689"/>
    <s v="High"/>
  </r>
  <r>
    <s v="ORD-2025-931538"/>
    <d v="2025-02-09T00:00:00"/>
    <s v="Feb-2025"/>
    <s v="Q1-2025"/>
    <d v="2025-03-01T00:00:00"/>
    <d v="2025-03-01T00:00:00"/>
    <x v="14"/>
    <x v="2"/>
    <x v="5"/>
    <s v="São Paulo"/>
    <x v="0"/>
    <x v="3"/>
    <x v="4"/>
    <x v="5"/>
    <x v="573"/>
    <n v="1154.6400000000001"/>
    <n v="2794.13"/>
    <n v="3.5000000000000003E-2"/>
    <b v="0"/>
    <n v="11"/>
    <n v="29659.68995"/>
    <n v="12701.04"/>
    <n v="16958.649949999999"/>
    <n v="0.57177435025749479"/>
    <s v="High"/>
  </r>
  <r>
    <s v="ORD-2023-286720"/>
    <d v="2023-07-08T00:00:00"/>
    <s v="Jul-2023"/>
    <s v="Q3-2023"/>
    <d v="2023-07-09T00:00:00"/>
    <d v="2023-07-09T00:00:00"/>
    <x v="26"/>
    <x v="1"/>
    <x v="1"/>
    <s v="Nairobi"/>
    <x v="2"/>
    <x v="4"/>
    <x v="0"/>
    <x v="5"/>
    <x v="574"/>
    <n v="1258.72"/>
    <n v="2797.41"/>
    <n v="0"/>
    <b v="0"/>
    <n v="7"/>
    <n v="19581.87"/>
    <n v="8811.0400000000009"/>
    <n v="10770.829999999998"/>
    <n v="0.55004093071805704"/>
    <s v="High"/>
  </r>
  <r>
    <s v="ORD-2025-312803"/>
    <d v="2025-06-24T00:00:00"/>
    <s v="Jun-2025"/>
    <s v="Q2-2025"/>
    <d v="2025-07-14T00:00:00"/>
    <d v="2025-07-14T00:00:00"/>
    <x v="14"/>
    <x v="1"/>
    <x v="4"/>
    <s v="Johannesburg"/>
    <x v="3"/>
    <x v="1"/>
    <x v="3"/>
    <x v="5"/>
    <x v="575"/>
    <n v="1151.06"/>
    <n v="2821.36"/>
    <n v="0.248"/>
    <b v="0"/>
    <n v="20"/>
    <n v="42433.254400000005"/>
    <n v="23021.199999999997"/>
    <n v="19412.054400000008"/>
    <n v="0.45747267501594235"/>
    <s v="High"/>
  </r>
  <r>
    <s v="ORD-2024-437164"/>
    <d v="2024-02-20T00:00:00"/>
    <s v="Feb-2024"/>
    <s v="Q1-2024"/>
    <d v="2024-02-20T00:00:00"/>
    <d v="2024-02-20T00:00:00"/>
    <x v="15"/>
    <x v="2"/>
    <x v="3"/>
    <s v="New York"/>
    <x v="3"/>
    <x v="4"/>
    <x v="8"/>
    <x v="1"/>
    <x v="576"/>
    <n v="1407.05"/>
    <n v="2858.93"/>
    <n v="0"/>
    <b v="0"/>
    <n v="12"/>
    <n v="34307.159999999996"/>
    <n v="16884.599999999999"/>
    <n v="17422.559999999998"/>
    <n v="0.50784034586366222"/>
    <s v="High"/>
  </r>
  <r>
    <s v="ORD-2025-588029"/>
    <d v="2025-09-14T00:00:00"/>
    <s v="Sep-2025"/>
    <s v="Q3-2025"/>
    <d v="2025-09-23T00:00:00"/>
    <d v="2025-09-23T00:00:00"/>
    <x v="2"/>
    <x v="1"/>
    <x v="4"/>
    <s v="Durban"/>
    <x v="4"/>
    <x v="4"/>
    <x v="0"/>
    <x v="4"/>
    <x v="577"/>
    <n v="1310.3"/>
    <n v="2875.8"/>
    <n v="8.3000000000000004E-2"/>
    <b v="0"/>
    <n v="5"/>
    <n v="13185.543"/>
    <n v="6551.5"/>
    <n v="6634.0429999999997"/>
    <n v="0.50313005691157353"/>
    <s v="High"/>
  </r>
  <r>
    <s v="ORD-2023-867836"/>
    <d v="2023-05-11T00:00:00"/>
    <s v="May-2023"/>
    <s v="Q2-2023"/>
    <d v="2023-05-28T00:00:00"/>
    <d v="2023-05-28T00:00:00"/>
    <x v="25"/>
    <x v="3"/>
    <x v="10"/>
    <s v="Shenzhen"/>
    <x v="3"/>
    <x v="1"/>
    <x v="10"/>
    <x v="1"/>
    <x v="578"/>
    <n v="1331.19"/>
    <n v="2903.09"/>
    <n v="0.14299999999999999"/>
    <b v="0"/>
    <n v="8"/>
    <n v="19903.585040000002"/>
    <n v="10649.52"/>
    <n v="9254.0650400000013"/>
    <n v="0.46494463290920784"/>
    <s v="High"/>
  </r>
  <r>
    <s v="ORD-2023-927385"/>
    <d v="2023-05-29T00:00:00"/>
    <s v="May-2023"/>
    <s v="Q2-2023"/>
    <d v="2023-06-20T00:00:00"/>
    <d v="2023-06-20T00:00:00"/>
    <x v="13"/>
    <x v="0"/>
    <x v="0"/>
    <s v="London"/>
    <x v="1"/>
    <x v="2"/>
    <x v="12"/>
    <x v="4"/>
    <x v="579"/>
    <n v="1295.3900000000001"/>
    <n v="2905.06"/>
    <n v="0.14799999999999999"/>
    <b v="0"/>
    <n v="8"/>
    <n v="19800.88896"/>
    <n v="10363.120000000001"/>
    <n v="9437.7689599999994"/>
    <n v="0.47663359857556614"/>
    <s v="High"/>
  </r>
  <r>
    <s v="ORD-2025-678688"/>
    <d v="2025-07-16T00:00:00"/>
    <s v="Jul-2025"/>
    <s v="Q3-2025"/>
    <d v="2025-07-17T00:00:00"/>
    <d v="2025-07-17T00:00:00"/>
    <x v="26"/>
    <x v="1"/>
    <x v="4"/>
    <s v="Durban"/>
    <x v="1"/>
    <x v="3"/>
    <x v="4"/>
    <x v="1"/>
    <x v="580"/>
    <n v="1198.9000000000001"/>
    <n v="2941.2"/>
    <n v="5.0999999999999997E-2"/>
    <b v="0"/>
    <n v="24"/>
    <n v="66988.771199999988"/>
    <n v="28773.600000000002"/>
    <n v="38215.171199999982"/>
    <n v="0.57047129713583977"/>
    <s v="High"/>
  </r>
  <r>
    <s v="ORD-2024-536442"/>
    <d v="2024-08-31T00:00:00"/>
    <s v="Aug-2024"/>
    <s v="Q3-2024"/>
    <d v="2024-09-26T00:00:00"/>
    <d v="2024-09-26T00:00:00"/>
    <x v="24"/>
    <x v="3"/>
    <x v="7"/>
    <s v="Tokyo"/>
    <x v="5"/>
    <x v="4"/>
    <x v="1"/>
    <x v="3"/>
    <x v="581"/>
    <n v="1189.03"/>
    <n v="2949.62"/>
    <n v="0.125"/>
    <b v="0"/>
    <n v="13"/>
    <n v="33551.927499999998"/>
    <n v="15457.39"/>
    <n v="18094.537499999999"/>
    <n v="0.53929949330034765"/>
    <s v="High"/>
  </r>
  <r>
    <s v="ORD-2024-771210"/>
    <d v="2024-09-14T00:00:00"/>
    <s v="Sep-2024"/>
    <s v="Q3-2024"/>
    <d v="2024-10-05T00:00:00"/>
    <d v="2024-10-05T00:00:00"/>
    <x v="20"/>
    <x v="3"/>
    <x v="10"/>
    <s v="Shanghai"/>
    <x v="1"/>
    <x v="4"/>
    <x v="2"/>
    <x v="5"/>
    <x v="582"/>
    <n v="1405.56"/>
    <n v="2968.87"/>
    <n v="0.16900000000000001"/>
    <b v="0"/>
    <n v="5"/>
    <n v="12335.654849999999"/>
    <n v="7027.7999999999993"/>
    <n v="5307.8548499999997"/>
    <n v="0.4302856163327235"/>
    <s v="High"/>
  </r>
  <r>
    <s v="ORD-2023-434071"/>
    <d v="2023-06-20T00:00:00"/>
    <s v="Jun-2023"/>
    <s v="Q2-2023"/>
    <d v="2023-07-04T00:00:00"/>
    <d v="2023-07-04T00:00:00"/>
    <x v="7"/>
    <x v="2"/>
    <x v="5"/>
    <s v="Brasília"/>
    <x v="4"/>
    <x v="2"/>
    <x v="8"/>
    <x v="1"/>
    <x v="583"/>
    <n v="1292.8599999999999"/>
    <n v="2981.01"/>
    <n v="0.14199999999999999"/>
    <b v="0"/>
    <n v="12"/>
    <n v="30692.47896"/>
    <n v="15514.32"/>
    <n v="15178.158960000001"/>
    <n v="0.49452372288927687"/>
    <s v="High"/>
  </r>
  <r>
    <s v="ORD-2024-819778"/>
    <d v="2024-06-02T00:00:00"/>
    <s v="Jun-2024"/>
    <s v="Q2-2024"/>
    <d v="2024-06-15T00:00:00"/>
    <d v="2024-06-15T00:00:00"/>
    <x v="6"/>
    <x v="1"/>
    <x v="1"/>
    <s v="Mombasa"/>
    <x v="5"/>
    <x v="4"/>
    <x v="11"/>
    <x v="3"/>
    <x v="584"/>
    <n v="1295.18"/>
    <n v="3024.03"/>
    <n v="0.192"/>
    <b v="0"/>
    <n v="8"/>
    <n v="19547.329920000004"/>
    <n v="10361.44"/>
    <n v="9185.8899200000033"/>
    <n v="0.46993067378483178"/>
    <s v="High"/>
  </r>
  <r>
    <s v="ORD-2025-137394"/>
    <d v="2025-01-04T00:00:00"/>
    <s v="Jan-2025"/>
    <s v="Q1-2025"/>
    <d v="2025-01-05T00:00:00"/>
    <d v="2025-01-05T00:00:00"/>
    <x v="26"/>
    <x v="3"/>
    <x v="9"/>
    <s v="Delhi"/>
    <x v="5"/>
    <x v="0"/>
    <x v="1"/>
    <x v="4"/>
    <x v="585"/>
    <n v="1428.33"/>
    <n v="3028.05"/>
    <n v="0"/>
    <b v="0"/>
    <n v="11"/>
    <n v="33308.550000000003"/>
    <n v="15711.63"/>
    <n v="17596.920000000006"/>
    <n v="0.52830039134096207"/>
    <s v="High"/>
  </r>
  <r>
    <s v="ORD-2024-167215"/>
    <d v="2024-08-23T00:00:00"/>
    <s v="Aug-2024"/>
    <s v="Q3-2024"/>
    <d v="2024-08-21T00:00:00"/>
    <d v="2024-09-06T00:00:00"/>
    <x v="7"/>
    <x v="1"/>
    <x v="4"/>
    <s v="Johannesburg"/>
    <x v="5"/>
    <x v="0"/>
    <x v="10"/>
    <x v="4"/>
    <x v="586"/>
    <n v="1432.52"/>
    <n v="3036.87"/>
    <n v="0"/>
    <b v="0"/>
    <n v="9"/>
    <n v="27331.829999999998"/>
    <n v="12892.68"/>
    <n v="14439.149999999998"/>
    <n v="0.52829064135112791"/>
    <s v="High"/>
  </r>
  <r>
    <s v="ORD-2024-572312"/>
    <d v="2024-06-16T00:00:00"/>
    <s v="Jun-2024"/>
    <s v="Q2-2024"/>
    <d v="2024-06-21T00:00:00"/>
    <d v="2024-06-21T00:00:00"/>
    <x v="28"/>
    <x v="3"/>
    <x v="7"/>
    <s v="Tokyo"/>
    <x v="1"/>
    <x v="3"/>
    <x v="6"/>
    <x v="3"/>
    <x v="587"/>
    <n v="1367.13"/>
    <n v="3062.01"/>
    <n v="0.10299999999999999"/>
    <b v="0"/>
    <n v="25"/>
    <n v="68665.574250000005"/>
    <n v="34178.25"/>
    <n v="34487.324250000005"/>
    <n v="0.50225057645971705"/>
    <s v="High"/>
  </r>
  <r>
    <s v="ORD-2023-132101"/>
    <d v="2023-09-25T00:00:00"/>
    <s v="Sep-2023"/>
    <s v="Q3-2023"/>
    <d v="2023-10-09T00:00:00"/>
    <d v="2023-10-09T00:00:00"/>
    <x v="7"/>
    <x v="2"/>
    <x v="3"/>
    <s v="New York"/>
    <x v="1"/>
    <x v="1"/>
    <x v="3"/>
    <x v="5"/>
    <x v="588"/>
    <n v="1279.56"/>
    <n v="3083.8"/>
    <n v="0.106"/>
    <b v="0"/>
    <n v="5"/>
    <n v="13784.586000000001"/>
    <n v="6397.7999999999993"/>
    <n v="7386.7860000000019"/>
    <n v="0.53587289455047848"/>
    <s v="High"/>
  </r>
  <r>
    <s v="ORD-2024-465898"/>
    <d v="2024-06-06T00:00:00"/>
    <s v="Jun-2024"/>
    <s v="Q2-2024"/>
    <d v="2024-06-24T00:00:00"/>
    <d v="2024-06-24T00:00:00"/>
    <x v="8"/>
    <x v="3"/>
    <x v="9"/>
    <s v="Bengaluru"/>
    <x v="1"/>
    <x v="2"/>
    <x v="2"/>
    <x v="1"/>
    <x v="589"/>
    <n v="1253.25"/>
    <n v="3087.13"/>
    <n v="7.1999999999999995E-2"/>
    <b v="0"/>
    <n v="11"/>
    <n v="31513.423040000001"/>
    <n v="13785.75"/>
    <n v="17727.673040000001"/>
    <n v="0.562543555408064"/>
    <s v="High"/>
  </r>
  <r>
    <s v="ORD-2023-472050"/>
    <d v="2023-05-10T00:00:00"/>
    <s v="May-2023"/>
    <s v="Q2-2023"/>
    <d v="2023-05-27T00:00:00"/>
    <d v="2023-05-27T00:00:00"/>
    <x v="25"/>
    <x v="3"/>
    <x v="9"/>
    <s v="Mumbai"/>
    <x v="2"/>
    <x v="0"/>
    <x v="7"/>
    <x v="5"/>
    <x v="590"/>
    <n v="1286.1600000000001"/>
    <n v="3101.11"/>
    <n v="0.1"/>
    <b v="0"/>
    <n v="23"/>
    <n v="64192.976999999999"/>
    <n v="29581.68"/>
    <n v="34611.296999999999"/>
    <n v="0.53917575749758417"/>
    <s v="High"/>
  </r>
  <r>
    <s v="ORD-2025-328504"/>
    <d v="2025-01-27T00:00:00"/>
    <s v="Jan-2025"/>
    <s v="Q1-2025"/>
    <d v="2025-02-15T00:00:00"/>
    <d v="2025-02-15T00:00:00"/>
    <x v="19"/>
    <x v="3"/>
    <x v="10"/>
    <s v="Shenzhen"/>
    <x v="4"/>
    <x v="2"/>
    <x v="5"/>
    <x v="3"/>
    <x v="591"/>
    <n v="1253.22"/>
    <n v="3104.71"/>
    <n v="0"/>
    <b v="0"/>
    <n v="17"/>
    <n v="52780.07"/>
    <n v="21304.74"/>
    <n v="31475.329999999998"/>
    <n v="0.59634877331538205"/>
    <s v="High"/>
  </r>
  <r>
    <s v="ORD-2025-677880"/>
    <d v="2025-08-21T00:00:00"/>
    <s v="Aug-2025"/>
    <s v="Q3-2025"/>
    <d v="2025-09-14T00:00:00"/>
    <d v="2025-09-14T00:00:00"/>
    <x v="30"/>
    <x v="0"/>
    <x v="6"/>
    <s v="Berlin"/>
    <x v="4"/>
    <x v="4"/>
    <x v="13"/>
    <x v="0"/>
    <x v="592"/>
    <n v="1397.67"/>
    <n v="3131.37"/>
    <n v="0.10299999999999999"/>
    <b v="0"/>
    <n v="20"/>
    <n v="56176.777799999996"/>
    <n v="27953.4"/>
    <n v="28223.377799999995"/>
    <n v="0.50240293062874808"/>
    <s v="High"/>
  </r>
  <r>
    <s v="ORD-2023-888245"/>
    <d v="2023-02-28T00:00:00"/>
    <s v="Feb-2023"/>
    <s v="Q1-2023"/>
    <d v="2023-02-27T00:00:00"/>
    <d v="2023-03-14T00:00:00"/>
    <x v="7"/>
    <x v="0"/>
    <x v="2"/>
    <s v="Marseille"/>
    <x v="0"/>
    <x v="0"/>
    <x v="12"/>
    <x v="1"/>
    <x v="593"/>
    <n v="1299.81"/>
    <n v="3149.13"/>
    <n v="0.10299999999999999"/>
    <b v="0"/>
    <n v="14"/>
    <n v="39546.774539999999"/>
    <n v="18197.34"/>
    <n v="21349.434539999998"/>
    <n v="0.53985273864511729"/>
    <s v="High"/>
  </r>
  <r>
    <s v="ORD-2024-165942"/>
    <d v="2024-12-29T00:00:00"/>
    <s v="Dec-2024"/>
    <s v="Q4-2024"/>
    <d v="2025-01-12T00:00:00"/>
    <d v="2025-01-12T00:00:00"/>
    <x v="7"/>
    <x v="0"/>
    <x v="0"/>
    <s v="Manchester"/>
    <x v="0"/>
    <x v="2"/>
    <x v="4"/>
    <x v="0"/>
    <x v="594"/>
    <n v="1399.72"/>
    <n v="3149.21"/>
    <n v="0.185"/>
    <b v="0"/>
    <n v="12"/>
    <n v="30799.273800000003"/>
    <n v="16796.64"/>
    <n v="14002.633800000003"/>
    <n v="0.45464168703873797"/>
    <s v="High"/>
  </r>
  <r>
    <s v="ORD-2023-163610"/>
    <d v="2023-10-22T00:00:00"/>
    <s v="Oct-2023"/>
    <s v="Q4-2023"/>
    <d v="2023-11-16T00:00:00"/>
    <d v="2023-11-16T00:00:00"/>
    <x v="1"/>
    <x v="2"/>
    <x v="11"/>
    <s v="Toronto"/>
    <x v="1"/>
    <x v="1"/>
    <x v="1"/>
    <x v="5"/>
    <x v="595"/>
    <n v="1373.31"/>
    <n v="3154.14"/>
    <n v="0.2"/>
    <b v="0"/>
    <n v="11"/>
    <n v="27756.432000000001"/>
    <n v="15106.41"/>
    <n v="12650.022000000001"/>
    <n v="0.45575101295440279"/>
    <s v="High"/>
  </r>
  <r>
    <s v="ORD-2024-468655"/>
    <d v="2024-02-19T00:00:00"/>
    <s v="Feb-2024"/>
    <s v="Q1-2024"/>
    <d v="2024-03-06T00:00:00"/>
    <d v="2024-03-06T00:00:00"/>
    <x v="29"/>
    <x v="3"/>
    <x v="10"/>
    <s v="Beijing"/>
    <x v="5"/>
    <x v="1"/>
    <x v="11"/>
    <x v="6"/>
    <x v="596"/>
    <n v="1477.84"/>
    <n v="3197.47"/>
    <n v="0.24299999999999999"/>
    <b v="0"/>
    <n v="24"/>
    <n v="58091.634960000003"/>
    <n v="35468.159999999996"/>
    <n v="22623.474960000007"/>
    <n v="0.38944462443823091"/>
    <s v="High"/>
  </r>
  <r>
    <s v="ORD-2024-998320"/>
    <d v="2024-10-25T00:00:00"/>
    <s v="Oct-2024"/>
    <s v="Q4-2024"/>
    <d v="2024-11-14T00:00:00"/>
    <d v="2024-11-14T00:00:00"/>
    <x v="14"/>
    <x v="1"/>
    <x v="1"/>
    <s v="Mombasa"/>
    <x v="0"/>
    <x v="2"/>
    <x v="2"/>
    <x v="6"/>
    <x v="597"/>
    <n v="1396.48"/>
    <n v="3204.5"/>
    <n v="0"/>
    <b v="0"/>
    <n v="14"/>
    <n v="44863"/>
    <n v="19550.72"/>
    <n v="25312.28"/>
    <n v="0.56421282571383991"/>
    <s v="High"/>
  </r>
  <r>
    <s v="ORD-2024-341535"/>
    <d v="2024-06-25T00:00:00"/>
    <s v="Jun-2024"/>
    <s v="Q2-2024"/>
    <d v="2024-06-30T00:00:00"/>
    <d v="2024-06-30T00:00:00"/>
    <x v="28"/>
    <x v="1"/>
    <x v="1"/>
    <s v="Kisumu"/>
    <x v="5"/>
    <x v="2"/>
    <x v="7"/>
    <x v="1"/>
    <x v="598"/>
    <n v="1323.55"/>
    <n v="3230.35"/>
    <n v="2.1999999999999999E-2"/>
    <b v="0"/>
    <n v="26"/>
    <n v="82141.339799999987"/>
    <n v="34412.299999999996"/>
    <n v="47729.039799999991"/>
    <n v="0.58105991351263542"/>
    <s v="High"/>
  </r>
  <r>
    <s v="ORD-2025-845715"/>
    <d v="2025-04-14T00:00:00"/>
    <s v="Apr-2025"/>
    <s v="Q2-2025"/>
    <d v="2025-05-04T00:00:00"/>
    <d v="2025-05-04T00:00:00"/>
    <x v="14"/>
    <x v="0"/>
    <x v="0"/>
    <s v="Birmingham"/>
    <x v="3"/>
    <x v="1"/>
    <x v="12"/>
    <x v="0"/>
    <x v="599"/>
    <n v="1413.87"/>
    <n v="3275"/>
    <n v="0.255"/>
    <b v="0"/>
    <n v="38"/>
    <n v="92715.25"/>
    <n v="53727.06"/>
    <n v="38988.19"/>
    <n v="0.42051539525590453"/>
    <s v="High"/>
  </r>
  <r>
    <s v="ORD-2025-398335"/>
    <d v="2025-06-01T00:00:00"/>
    <s v="Jun-2025"/>
    <s v="Q2-2025"/>
    <d v="2025-06-27T00:00:00"/>
    <d v="2025-06-27T00:00:00"/>
    <x v="24"/>
    <x v="0"/>
    <x v="6"/>
    <s v="Munich"/>
    <x v="2"/>
    <x v="3"/>
    <x v="10"/>
    <x v="5"/>
    <x v="600"/>
    <n v="1362.31"/>
    <n v="3294.57"/>
    <n v="0.113"/>
    <b v="0"/>
    <n v="7"/>
    <n v="20455.985130000001"/>
    <n v="9536.17"/>
    <n v="10919.815130000001"/>
    <n v="0.5338200561157721"/>
    <s v="High"/>
  </r>
  <r>
    <s v="ORD-2023-640022"/>
    <d v="2023-08-24T00:00:00"/>
    <s v="Aug-2023"/>
    <s v="Q3-2023"/>
    <d v="2023-09-20T00:00:00"/>
    <d v="2023-09-20T00:00:00"/>
    <x v="4"/>
    <x v="1"/>
    <x v="4"/>
    <s v="Durban"/>
    <x v="1"/>
    <x v="1"/>
    <x v="7"/>
    <x v="6"/>
    <x v="601"/>
    <n v="1399.64"/>
    <n v="3342.11"/>
    <n v="0"/>
    <b v="0"/>
    <n v="10"/>
    <n v="33421.1"/>
    <n v="13996.400000000001"/>
    <n v="19424.699999999997"/>
    <n v="0.58121067229983447"/>
    <s v="High"/>
  </r>
  <r>
    <s v="ORD-2023-869884"/>
    <d v="2023-03-02T00:00:00"/>
    <s v="Mar-2023"/>
    <s v="Q1-2023"/>
    <d v="2023-03-05T00:00:00"/>
    <d v="2023-03-05T00:00:00"/>
    <x v="5"/>
    <x v="2"/>
    <x v="5"/>
    <s v="Brasília"/>
    <x v="3"/>
    <x v="2"/>
    <x v="14"/>
    <x v="0"/>
    <x v="602"/>
    <n v="1473.58"/>
    <n v="3436.52"/>
    <n v="0.108"/>
    <b v="0"/>
    <n v="8"/>
    <n v="24523.006720000001"/>
    <n v="11788.64"/>
    <n v="12734.366720000002"/>
    <n v="0.51928243813652564"/>
    <s v="High"/>
  </r>
  <r>
    <s v="ORD-2024-474999"/>
    <d v="2024-12-27T00:00:00"/>
    <s v="Dec-2024"/>
    <s v="Q4-2024"/>
    <d v="2025-01-02T00:00:00"/>
    <d v="2025-01-02T00:00:00"/>
    <x v="18"/>
    <x v="0"/>
    <x v="6"/>
    <s v="Frankfurt"/>
    <x v="5"/>
    <x v="2"/>
    <x v="6"/>
    <x v="5"/>
    <x v="603"/>
    <n v="1391.99"/>
    <n v="3469.7"/>
    <n v="0.184"/>
    <b v="0"/>
    <n v="23"/>
    <n v="65119.329599999997"/>
    <n v="32015.77"/>
    <n v="33103.559599999993"/>
    <n v="0.50835227886006973"/>
    <s v="High"/>
  </r>
  <r>
    <s v="ORD-2024-690270"/>
    <d v="2024-05-17T00:00:00"/>
    <s v="May-2024"/>
    <s v="Q2-2024"/>
    <d v="2024-05-27T00:00:00"/>
    <d v="2024-05-27T00:00:00"/>
    <x v="3"/>
    <x v="2"/>
    <x v="3"/>
    <s v="Austin"/>
    <x v="4"/>
    <x v="4"/>
    <x v="8"/>
    <x v="3"/>
    <x v="604"/>
    <n v="1484.23"/>
    <n v="3472.81"/>
    <n v="0.25600000000000001"/>
    <b v="0"/>
    <n v="12"/>
    <n v="31005.24768"/>
    <n v="17810.760000000002"/>
    <n v="13194.487679999998"/>
    <n v="0.42555659661803413"/>
    <s v="High"/>
  </r>
  <r>
    <s v="ORD-2024-548345"/>
    <d v="2024-05-14T00:00:00"/>
    <s v="May-2024"/>
    <s v="Q2-2024"/>
    <d v="2024-05-28T00:00:00"/>
    <d v="2024-05-28T00:00:00"/>
    <x v="7"/>
    <x v="0"/>
    <x v="0"/>
    <s v="Birmingham"/>
    <x v="2"/>
    <x v="0"/>
    <x v="4"/>
    <x v="1"/>
    <x v="605"/>
    <n v="1421.14"/>
    <n v="3524"/>
    <n v="0"/>
    <b v="0"/>
    <n v="31"/>
    <n v="109244"/>
    <n v="44055.340000000004"/>
    <n v="65188.659999999996"/>
    <n v="0.59672531214528945"/>
    <s v="High"/>
  </r>
  <r>
    <s v="ORD-2024-798002"/>
    <d v="2024-07-25T00:00:00"/>
    <s v="Jul-2024"/>
    <s v="Q3-2024"/>
    <d v="2024-07-24T00:00:00"/>
    <d v="2024-08-08T00:00:00"/>
    <x v="7"/>
    <x v="1"/>
    <x v="1"/>
    <s v="Mombasa"/>
    <x v="4"/>
    <x v="2"/>
    <x v="3"/>
    <x v="5"/>
    <x v="606"/>
    <n v="1494.4"/>
    <n v="3661.07"/>
    <n v="7.1999999999999995E-2"/>
    <b v="0"/>
    <n v="7"/>
    <n v="23782.310720000001"/>
    <n v="10460.800000000001"/>
    <n v="13321.51072"/>
    <n v="0.56014366630897339"/>
    <s v="High"/>
  </r>
  <r>
    <m/>
    <m/>
    <m/>
    <m/>
    <m/>
    <m/>
    <x v="31"/>
    <x v="4"/>
    <x v="12"/>
    <m/>
    <x v="6"/>
    <x v="5"/>
    <x v="15"/>
    <x v="7"/>
    <x v="607"/>
    <m/>
    <m/>
    <m/>
    <m/>
    <m/>
    <m/>
    <m/>
    <m/>
    <m/>
    <m/>
  </r>
  <r>
    <m/>
    <m/>
    <m/>
    <m/>
    <m/>
    <m/>
    <x v="31"/>
    <x v="4"/>
    <x v="12"/>
    <m/>
    <x v="6"/>
    <x v="5"/>
    <x v="15"/>
    <x v="7"/>
    <x v="607"/>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s v="ORD-2024-930679"/>
    <d v="2024-12-17T00:00:00"/>
    <s v="Dec-2024"/>
    <s v="Q4-2024"/>
    <d v="2025-01-16T00:00:00"/>
    <d v="2025-01-16T00:00:00"/>
    <n v="30"/>
    <x v="0"/>
    <s v="United Kingdom"/>
    <s v="Manchester"/>
    <s v="Corporate"/>
    <s v="Retail"/>
    <x v="0"/>
    <s v="Monitors"/>
    <s v="MON-4215"/>
    <n v="722.87"/>
    <n v="649.13726000000008"/>
    <x v="0"/>
    <b v="0"/>
    <n v="28"/>
    <n v="16321.907265440001"/>
    <n v="20240.36"/>
    <n v="-3918.45273456"/>
    <n v="-0.24007321392254999"/>
    <s v="Low"/>
    <s v="Not Met"/>
    <x v="0"/>
  </r>
  <r>
    <s v="ORD-2023-373538"/>
    <d v="2023-02-28T00:00:00"/>
    <s v="Feb-2023"/>
    <s v="Q1-2023"/>
    <d v="2023-03-25T00:00:00"/>
    <d v="2023-03-25T00:00:00"/>
    <n v="25"/>
    <x v="1"/>
    <s v="Kenya"/>
    <s v="Nairobi"/>
    <s v="Corporate"/>
    <s v="Retail"/>
    <x v="1"/>
    <s v="Networking"/>
    <s v="NET-9666"/>
    <n v="1460.76"/>
    <n v="1269.4004399999999"/>
    <x v="1"/>
    <b v="0"/>
    <n v="12"/>
    <n v="13237.307788319999"/>
    <n v="17529.12"/>
    <n v="-4291.8122116800005"/>
    <n v="-0.32422092772269762"/>
    <s v="Medium"/>
    <s v="Not Met"/>
    <x v="0"/>
  </r>
  <r>
    <s v="ORD-2025-639542"/>
    <d v="2025-06-09T00:00:00"/>
    <s v="Jun-2025"/>
    <s v="Q2-2025"/>
    <d v="2025-06-18T00:00:00"/>
    <d v="2025-06-18T00:00:00"/>
    <n v="9"/>
    <x v="0"/>
    <s v="France"/>
    <s v="Marseille"/>
    <s v="Small Business"/>
    <s v="Marketplace"/>
    <x v="2"/>
    <s v="Accessories"/>
    <s v="ACC-1770"/>
    <n v="1225.5"/>
    <n v="1133.5875000000001"/>
    <x v="2"/>
    <b v="0"/>
    <n v="56"/>
    <n v="58719.832500000011"/>
    <n v="68628"/>
    <n v="-9908.1674999999886"/>
    <n v="-0.16873630387143879"/>
    <s v="Medium"/>
    <s v="Not Met"/>
    <x v="0"/>
  </r>
  <r>
    <s v="ORD-2024-207096"/>
    <d v="2024-03-26T00:00:00"/>
    <s v="Mar-2024"/>
    <s v="Q1-2024"/>
    <d v="2024-04-05T00:00:00"/>
    <d v="2024-04-05T00:00:00"/>
    <n v="10"/>
    <x v="2"/>
    <s v="USA"/>
    <s v="Austin"/>
    <s v="Consumer"/>
    <s v="Direct"/>
    <x v="3"/>
    <s v="Monitors"/>
    <s v="MON-5444"/>
    <n v="5.66"/>
    <n v="4.22"/>
    <x v="3"/>
    <b v="0"/>
    <n v="18"/>
    <n v="66.920760000000001"/>
    <n v="101.88"/>
    <n v="-34.959239999999994"/>
    <n v="-0.52239753403876454"/>
    <s v="Low"/>
    <s v="Not Met"/>
    <x v="0"/>
  </r>
  <r>
    <s v="ORD-2024-919471"/>
    <d v="2024-06-29T00:00:00"/>
    <s v="Jun-2024"/>
    <s v="Q2-2024"/>
    <d v="2024-07-26T00:00:00"/>
    <d v="2024-07-26T00:00:00"/>
    <n v="27"/>
    <x v="1"/>
    <s v="South Africa"/>
    <s v="Durban"/>
    <s v="Enterprise"/>
    <s v="Distributor"/>
    <x v="4"/>
    <s v="Networking"/>
    <s v="NET-4241"/>
    <n v="5.36"/>
    <n v="4.37"/>
    <x v="4"/>
    <b v="0"/>
    <n v="9"/>
    <n v="34.689059999999998"/>
    <n v="48.24"/>
    <n v="-13.550940000000004"/>
    <n v="-0.39064016148030545"/>
    <s v="Low"/>
    <s v="Not Met"/>
    <x v="0"/>
  </r>
  <r>
    <s v="ORD-2025-667201"/>
    <d v="2025-09-15T00:00:00"/>
    <s v="Sep-2025"/>
    <s v="Q3-2025"/>
    <d v="2025-09-18T00:00:00"/>
    <d v="2025-09-18T00:00:00"/>
    <n v="3"/>
    <x v="2"/>
    <s v="Brazil"/>
    <s v="Rio de Janeiro"/>
    <s v="Non-Profit"/>
    <s v="Direct"/>
    <x v="5"/>
    <s v="Accessories"/>
    <s v="ACC-6777"/>
    <n v="5.5"/>
    <n v="5.92"/>
    <x v="5"/>
    <b v="0"/>
    <n v="4"/>
    <n v="18.659839999999999"/>
    <n v="22"/>
    <n v="-3.3401600000000009"/>
    <n v="-0.17900260666758133"/>
    <s v="Low"/>
    <s v="Met"/>
    <x v="1"/>
  </r>
  <r>
    <s v="ORD-2025-541048"/>
    <d v="2025-04-04T00:00:00"/>
    <s v="Apr-2025"/>
    <s v="Q2-2025"/>
    <d v="2025-04-13T00:00:00"/>
    <d v="2025-04-13T00:00:00"/>
    <n v="9"/>
    <x v="0"/>
    <s v="Germany"/>
    <s v="Munich"/>
    <s v="Consumer"/>
    <s v="Marketplace"/>
    <x v="6"/>
    <s v="Phones"/>
    <s v="PHN-3803"/>
    <n v="7.02"/>
    <n v="6.28"/>
    <x v="6"/>
    <b v="0"/>
    <n v="14"/>
    <n v="76.138720000000006"/>
    <n v="98.28"/>
    <n v="-22.141279999999995"/>
    <n v="-0.29080184169106066"/>
    <s v="Low"/>
    <s v="Not Met"/>
    <x v="0"/>
  </r>
  <r>
    <s v="ORD-2023-286994"/>
    <d v="2023-02-24T00:00:00"/>
    <s v="Feb-2023"/>
    <s v="Q1-2023"/>
    <d v="2023-03-09T00:00:00"/>
    <d v="2023-03-09T00:00:00"/>
    <n v="13"/>
    <x v="2"/>
    <s v="USA"/>
    <s v="New York"/>
    <s v="Enterprise"/>
    <s v="Online"/>
    <x v="7"/>
    <s v="Components"/>
    <s v="CMP-1632"/>
    <n v="6.85"/>
    <n v="10.18"/>
    <x v="7"/>
    <b v="0"/>
    <n v="10"/>
    <n v="97.0154"/>
    <n v="68.5"/>
    <n v="28.5154"/>
    <n v="0.2939265312517394"/>
    <s v="Low"/>
    <s v="Not Met"/>
    <x v="0"/>
  </r>
  <r>
    <s v="ORD-2024-516704"/>
    <d v="2024-03-01T00:00:00"/>
    <s v="Mar-2024"/>
    <s v="Q1-2024"/>
    <d v="2024-02-29T00:00:00"/>
    <d v="2024-03-15T00:00:00"/>
    <n v="14"/>
    <x v="2"/>
    <s v="Brazil"/>
    <s v="São Paulo"/>
    <s v="Non-Profit"/>
    <s v="Direct"/>
    <x v="1"/>
    <s v="Phones"/>
    <s v="PHN-7852"/>
    <n v="5.34"/>
    <n v="12.69"/>
    <x v="8"/>
    <b v="0"/>
    <n v="10"/>
    <n v="110.14919999999999"/>
    <n v="53.4"/>
    <n v="56.749199999999995"/>
    <n v="0.51520301554618642"/>
    <s v="Low"/>
    <s v="Not Met"/>
    <x v="0"/>
  </r>
  <r>
    <s v="ORD-2023-251563"/>
    <d v="2023-05-11T00:00:00"/>
    <s v="May-2023"/>
    <s v="Q2-2023"/>
    <d v="2023-06-07T00:00:00"/>
    <d v="2023-06-07T00:00:00"/>
    <n v="27"/>
    <x v="1"/>
    <s v="Kenya"/>
    <s v="Mombasa"/>
    <s v="Corporate"/>
    <s v="Online"/>
    <x v="3"/>
    <s v="Phones"/>
    <s v="PHN-8970"/>
    <n v="12.85"/>
    <n v="15.41"/>
    <x v="9"/>
    <b v="0"/>
    <n v="39"/>
    <n v="518.65436999999997"/>
    <n v="501.15"/>
    <n v="17.504369999999994"/>
    <n v="3.3749585489851353E-2"/>
    <s v="Low"/>
    <s v="Not Met"/>
    <x v="0"/>
  </r>
  <r>
    <s v="ORD-2024-960952"/>
    <d v="2024-02-03T00:00:00"/>
    <s v="Feb-2024"/>
    <s v="Q1-2024"/>
    <d v="2024-02-21T00:00:00"/>
    <d v="2024-02-21T00:00:00"/>
    <n v="18"/>
    <x v="0"/>
    <s v="Germany"/>
    <s v="Frankfurt"/>
    <s v="Corporate"/>
    <s v="Retail"/>
    <x v="2"/>
    <s v="Components"/>
    <s v="CMP-9264"/>
    <n v="39.229999999999997"/>
    <n v="30.09"/>
    <x v="10"/>
    <b v="0"/>
    <n v="13"/>
    <n v="321.93290999999999"/>
    <n v="509.98999999999995"/>
    <n v="-188.05708999999996"/>
    <n v="-0.58414993981199359"/>
    <s v="Low"/>
    <s v="Not Met"/>
    <x v="0"/>
  </r>
  <r>
    <s v="ORD-2025-946490"/>
    <d v="2025-04-22T00:00:00"/>
    <s v="Apr-2025"/>
    <s v="Q2-2025"/>
    <d v="2025-05-02T00:00:00"/>
    <d v="2025-05-02T00:00:00"/>
    <n v="10"/>
    <x v="0"/>
    <s v="Germany"/>
    <s v="Berlin"/>
    <s v="Corporate"/>
    <s v="Marketplace"/>
    <x v="8"/>
    <s v="Monitors"/>
    <s v="MON-2842"/>
    <n v="20.149999999999999"/>
    <n v="39.74"/>
    <x v="11"/>
    <b v="0"/>
    <n v="18"/>
    <n v="607.30668000000003"/>
    <n v="362.7"/>
    <n v="244.60668000000004"/>
    <n v="0.4027729120318585"/>
    <s v="Low"/>
    <s v="Not Met"/>
    <x v="0"/>
  </r>
  <r>
    <s v="ORD-2023-235230"/>
    <d v="2023-08-30T00:00:00"/>
    <s v="Aug-2023"/>
    <s v="Q3-2023"/>
    <d v="2023-09-01T00:00:00"/>
    <d v="2023-09-01T00:00:00"/>
    <n v="2"/>
    <x v="0"/>
    <s v="Germany"/>
    <s v="Munich"/>
    <s v="Corporate"/>
    <s v="Direct"/>
    <x v="9"/>
    <s v="Networking"/>
    <s v="NET-9989"/>
    <n v="44.42"/>
    <n v="41.9"/>
    <x v="12"/>
    <b v="0"/>
    <n v="6"/>
    <n v="215.19839999999996"/>
    <n v="266.52"/>
    <n v="-51.321600000000018"/>
    <n v="-0.23848504449847224"/>
    <s v="Low"/>
    <s v="Met"/>
    <x v="0"/>
  </r>
  <r>
    <s v="ORD-2023-835226"/>
    <d v="2023-10-26T00:00:00"/>
    <s v="Oct-2023"/>
    <s v="Q4-2023"/>
    <d v="2023-11-05T00:00:00"/>
    <d v="2023-11-05T00:00:00"/>
    <n v="10"/>
    <x v="1"/>
    <s v="South Africa"/>
    <s v="Cape Town"/>
    <s v="Non-Profit"/>
    <s v="Online"/>
    <x v="1"/>
    <s v="Laptops"/>
    <s v="LAP-7320"/>
    <n v="20.38"/>
    <n v="42.56"/>
    <x v="13"/>
    <b v="0"/>
    <n v="11"/>
    <n v="434.45248000000004"/>
    <n v="224.17999999999998"/>
    <n v="210.27248000000006"/>
    <n v="0.48399419885921713"/>
    <s v="Low"/>
    <s v="Not Met"/>
    <x v="0"/>
  </r>
  <r>
    <s v="ORD-2025-488349"/>
    <d v="2025-04-23T00:00:00"/>
    <s v="Apr-2025"/>
    <s v="Q2-2025"/>
    <d v="2025-04-22T00:00:00"/>
    <d v="2025-05-07T00:00:00"/>
    <n v="14"/>
    <x v="2"/>
    <s v="USA"/>
    <s v="San Francisco"/>
    <s v="Non-Profit"/>
    <s v="Distributor"/>
    <x v="0"/>
    <s v="Monitors"/>
    <s v="MON-3371"/>
    <n v="23.24"/>
    <n v="44.57"/>
    <x v="14"/>
    <b v="0"/>
    <n v="15"/>
    <n v="524.81174999999996"/>
    <n v="348.59999999999997"/>
    <n v="176.21174999999999"/>
    <n v="0.33576182316802167"/>
    <s v="Low"/>
    <s v="Not Met"/>
    <x v="1"/>
  </r>
  <r>
    <s v="ORD-2025-537785"/>
    <d v="2025-08-05T00:00:00"/>
    <s v="Aug-2025"/>
    <s v="Q3-2025"/>
    <d v="2025-08-14T00:00:00"/>
    <d v="2025-08-14T00:00:00"/>
    <n v="9"/>
    <x v="0"/>
    <s v="United Kingdom"/>
    <s v="London"/>
    <s v="Non-Profit"/>
    <s v="Direct"/>
    <x v="10"/>
    <s v="Components"/>
    <s v="CMP-6346"/>
    <n v="41.76"/>
    <n v="45.19"/>
    <x v="15"/>
    <b v="0"/>
    <n v="23"/>
    <n v="853.32276999999988"/>
    <n v="960.4799999999999"/>
    <n v="-107.15723000000003"/>
    <n v="-0.12557643340514638"/>
    <s v="Low"/>
    <s v="Not Met"/>
    <x v="0"/>
  </r>
  <r>
    <s v="ORD-2025-728935"/>
    <d v="2025-02-28T00:00:00"/>
    <s v="Feb-2025"/>
    <s v="Q1-2025"/>
    <d v="2025-03-10T00:00:00"/>
    <d v="2025-03-10T00:00:00"/>
    <n v="10"/>
    <x v="3"/>
    <s v="Japan"/>
    <s v="Osaka"/>
    <s v="Education"/>
    <s v="Distributor"/>
    <x v="9"/>
    <s v="Laptops"/>
    <s v="LAP-3017"/>
    <n v="51.86"/>
    <n v="45.98"/>
    <x v="16"/>
    <b v="0"/>
    <n v="7"/>
    <n v="266.17821999999995"/>
    <n v="363.02"/>
    <n v="-96.841780000000028"/>
    <n v="-0.3638230806412337"/>
    <s v="Low"/>
    <s v="Not Met"/>
    <x v="0"/>
  </r>
  <r>
    <s v="ORD-2023-112666"/>
    <d v="2023-01-15T00:00:00"/>
    <s v="Jan-2023"/>
    <s v="Q1-2023"/>
    <d v="2023-01-13T00:00:00"/>
    <d v="2023-01-29T00:00:00"/>
    <n v="14"/>
    <x v="1"/>
    <s v="Nigeria"/>
    <s v="Abuja"/>
    <s v="Education"/>
    <s v="Online"/>
    <x v="11"/>
    <s v="Printers"/>
    <s v="PRN-6276"/>
    <n v="28.38"/>
    <n v="47.22"/>
    <x v="17"/>
    <b v="0"/>
    <n v="18"/>
    <n v="685.06776000000002"/>
    <n v="510.84"/>
    <n v="174.22776000000005"/>
    <n v="0.25432193743871417"/>
    <s v="Low"/>
    <s v="Not Met"/>
    <x v="0"/>
  </r>
  <r>
    <s v="ORD-2025-177994"/>
    <d v="2025-03-24T00:00:00"/>
    <s v="Mar-2025"/>
    <s v="Q1-2025"/>
    <d v="2025-04-04T00:00:00"/>
    <d v="2025-04-04T00:00:00"/>
    <n v="11"/>
    <x v="3"/>
    <s v="India"/>
    <s v="Mumbai"/>
    <s v="Education"/>
    <s v="Marketplace"/>
    <x v="3"/>
    <s v="Phones"/>
    <s v="PHN-4395"/>
    <n v="23.83"/>
    <n v="47.29"/>
    <x v="18"/>
    <b v="0"/>
    <n v="19"/>
    <n v="841.00536"/>
    <n v="452.77"/>
    <n v="388.23536000000001"/>
    <n v="0.46163244429262618"/>
    <s v="Low"/>
    <s v="Not Met"/>
    <x v="0"/>
  </r>
  <r>
    <s v="ORD-2023-603650"/>
    <d v="2023-05-23T00:00:00"/>
    <s v="May-2023"/>
    <s v="Q2-2023"/>
    <d v="2023-06-10T00:00:00"/>
    <d v="2023-06-10T00:00:00"/>
    <n v="18"/>
    <x v="3"/>
    <s v="China"/>
    <s v="Shanghai"/>
    <s v="Corporate"/>
    <s v="Distributor"/>
    <x v="10"/>
    <s v="Components"/>
    <s v="CMP-6925"/>
    <n v="54.62"/>
    <n v="48.94"/>
    <x v="19"/>
    <b v="0"/>
    <n v="16"/>
    <n v="667.15008"/>
    <n v="873.92"/>
    <n v="-206.76991999999996"/>
    <n v="-0.3099301434543783"/>
    <s v="Low"/>
    <s v="Not Met"/>
    <x v="0"/>
  </r>
  <r>
    <s v="ORD-2025-698069"/>
    <d v="2025-06-03T00:00:00"/>
    <s v="Jun-2025"/>
    <s v="Q2-2025"/>
    <d v="2025-06-10T00:00:00"/>
    <d v="2025-06-10T00:00:00"/>
    <n v="7"/>
    <x v="2"/>
    <s v="Canada"/>
    <s v="Toronto"/>
    <s v="Consumer"/>
    <s v="Distributor"/>
    <x v="11"/>
    <s v="Printers"/>
    <s v="PRN-6429"/>
    <n v="75.180000000000007"/>
    <n v="53.45"/>
    <x v="20"/>
    <b v="0"/>
    <n v="17"/>
    <n v="765.99195000000009"/>
    <n v="1278.0600000000002"/>
    <n v="-512.06805000000008"/>
    <n v="-0.66850317421743144"/>
    <s v="Low"/>
    <s v="Met"/>
    <x v="0"/>
  </r>
  <r>
    <s v="ORD-2024-403664"/>
    <d v="2024-05-23T00:00:00"/>
    <s v="May-2024"/>
    <s v="Q2-2024"/>
    <d v="2024-06-06T00:00:00"/>
    <d v="2024-06-06T00:00:00"/>
    <n v="14"/>
    <x v="2"/>
    <s v="Brazil"/>
    <s v="Rio de Janeiro"/>
    <s v="Non-Profit"/>
    <s v="Online"/>
    <x v="1"/>
    <s v="Networking"/>
    <s v="NET-1166"/>
    <n v="51.13"/>
    <n v="57.53"/>
    <x v="21"/>
    <b v="0"/>
    <n v="16"/>
    <n v="879.05840000000001"/>
    <n v="818.08"/>
    <n v="60.978399999999965"/>
    <n v="6.9367859973808302E-2"/>
    <s v="Low"/>
    <s v="Not Met"/>
    <x v="0"/>
  </r>
  <r>
    <s v="ORD-2023-704111"/>
    <d v="2023-05-17T00:00:00"/>
    <s v="May-2023"/>
    <s v="Q2-2023"/>
    <d v="2023-06-15T00:00:00"/>
    <d v="2023-06-15T00:00:00"/>
    <n v="29"/>
    <x v="1"/>
    <s v="South Africa"/>
    <s v="Durban"/>
    <s v="Enterprise"/>
    <s v="Retail"/>
    <x v="12"/>
    <s v="Accessories"/>
    <s v="ACC-5206"/>
    <n v="40.89"/>
    <n v="62.82"/>
    <x v="22"/>
    <b v="0"/>
    <n v="17"/>
    <n v="930.17574000000002"/>
    <n v="695.13"/>
    <n v="235.04574000000002"/>
    <n v="0.25268960465470752"/>
    <s v="Low"/>
    <s v="Not Met"/>
    <x v="0"/>
  </r>
  <r>
    <s v="ORD-2024-206121"/>
    <d v="2024-02-18T00:00:00"/>
    <s v="Feb-2024"/>
    <s v="Q1-2024"/>
    <d v="2024-03-11T00:00:00"/>
    <d v="2024-03-11T00:00:00"/>
    <n v="22"/>
    <x v="2"/>
    <s v="Brazil"/>
    <s v="São Paulo"/>
    <s v="Consumer"/>
    <s v="Online"/>
    <x v="13"/>
    <s v="Components"/>
    <s v="CMP-9801"/>
    <n v="80.48"/>
    <n v="65.650000000000006"/>
    <x v="23"/>
    <b v="0"/>
    <n v="13"/>
    <n v="703.2428000000001"/>
    <n v="1046.24"/>
    <n v="-342.99719999999991"/>
    <n v="-0.48773652570634191"/>
    <s v="Low"/>
    <s v="Not Met"/>
    <x v="0"/>
  </r>
  <r>
    <s v="ORD-2025-778145"/>
    <d v="2025-04-22T00:00:00"/>
    <s v="Apr-2025"/>
    <s v="Q2-2025"/>
    <d v="2025-05-12T00:00:00"/>
    <d v="2025-05-12T00:00:00"/>
    <n v="20"/>
    <x v="0"/>
    <s v="France"/>
    <s v="Lyon"/>
    <s v="Enterprise"/>
    <s v="Marketplace"/>
    <x v="12"/>
    <s v="Monitors"/>
    <s v="MON-9216"/>
    <n v="59.51"/>
    <n v="67.040000000000006"/>
    <x v="24"/>
    <b v="0"/>
    <n v="9"/>
    <n v="534.57695999999999"/>
    <n v="535.59"/>
    <n v="-1.0130400000000463"/>
    <n v="-1.8950311663264469E-3"/>
    <s v="Low"/>
    <s v="Not Met"/>
    <x v="0"/>
  </r>
  <r>
    <s v="ORD-2023-766015"/>
    <d v="2023-04-13T00:00:00"/>
    <s v="Apr-2023"/>
    <s v="Q2-2023"/>
    <d v="2023-04-11T00:00:00"/>
    <d v="2023-04-27T00:00:00"/>
    <n v="14"/>
    <x v="2"/>
    <s v="USA"/>
    <s v="San Francisco"/>
    <s v="Education"/>
    <s v="Marketplace"/>
    <x v="14"/>
    <s v="Networking"/>
    <s v="NET-1816"/>
    <n v="32.1"/>
    <n v="70.599999999999994"/>
    <x v="25"/>
    <b v="0"/>
    <n v="22"/>
    <n v="1115.1975999999997"/>
    <n v="706.2"/>
    <n v="408.99759999999969"/>
    <n v="0.36674899587301818"/>
    <s v="Low"/>
    <s v="Not Met"/>
    <x v="1"/>
  </r>
  <r>
    <s v="ORD-2023-258768"/>
    <d v="2023-06-29T00:00:00"/>
    <s v="Jun-2023"/>
    <s v="Q2-2023"/>
    <d v="2023-07-02T00:00:00"/>
    <d v="2023-07-02T00:00:00"/>
    <n v="3"/>
    <x v="3"/>
    <s v="Japan"/>
    <s v="Nagoya"/>
    <s v="Education"/>
    <s v="Marketplace"/>
    <x v="6"/>
    <s v="Monitors"/>
    <s v="MON-2990"/>
    <n v="55.65"/>
    <n v="83.57"/>
    <x v="26"/>
    <b v="0"/>
    <n v="8"/>
    <n v="624.43503999999996"/>
    <n v="445.2"/>
    <n v="179.23503999999997"/>
    <n v="0.2870355257449998"/>
    <s v="Low"/>
    <s v="Met"/>
    <x v="0"/>
  </r>
  <r>
    <s v="ORD-2024-232632"/>
    <d v="2024-02-14T00:00:00"/>
    <s v="Feb-2024"/>
    <s v="Q1-2024"/>
    <d v="2024-02-14T00:00:00"/>
    <d v="2024-02-14T00:00:00"/>
    <n v="0"/>
    <x v="3"/>
    <s v="China"/>
    <s v="Beijing"/>
    <s v="Corporate"/>
    <s v="Distributor"/>
    <x v="5"/>
    <s v="Accessories"/>
    <s v="ACC-1021"/>
    <n v="65.930000000000007"/>
    <n v="84.9"/>
    <x v="27"/>
    <b v="0"/>
    <n v="23"/>
    <n v="1446.9507000000001"/>
    <n v="1516.39"/>
    <n v="-69.439300000000003"/>
    <n v="-4.7990093926489688E-2"/>
    <s v="Low"/>
    <s v="Met"/>
    <x v="1"/>
  </r>
  <r>
    <s v="ORD-2023-856322"/>
    <d v="2023-01-29T00:00:00"/>
    <s v="Jan-2023"/>
    <s v="Q1-2023"/>
    <d v="2023-02-06T00:00:00"/>
    <d v="2023-02-06T00:00:00"/>
    <n v="8"/>
    <x v="2"/>
    <s v="Brazil"/>
    <s v="Brasília"/>
    <s v="Corporate"/>
    <s v="Marketplace"/>
    <x v="0"/>
    <s v="Monitors"/>
    <s v="MON-7207"/>
    <n v="41.84"/>
    <n v="86.2"/>
    <x v="28"/>
    <b v="0"/>
    <n v="27"/>
    <n v="1801.4076000000002"/>
    <n v="1129.68"/>
    <n v="671.72760000000017"/>
    <n v="0.37289039970742882"/>
    <s v="Low"/>
    <s v="Not Met"/>
    <x v="1"/>
  </r>
  <r>
    <s v="ORD-2025-956101"/>
    <d v="2025-07-09T00:00:00"/>
    <s v="Jul-2025"/>
    <s v="Q3-2025"/>
    <d v="2025-07-18T00:00:00"/>
    <d v="2025-07-18T00:00:00"/>
    <n v="9"/>
    <x v="2"/>
    <s v="Canada"/>
    <s v="Vancouver"/>
    <s v="Education"/>
    <s v="Distributor"/>
    <x v="1"/>
    <s v="Laptops"/>
    <s v="LAP-2218"/>
    <n v="57.96"/>
    <n v="88.51"/>
    <x v="29"/>
    <b v="0"/>
    <n v="7"/>
    <n v="592.92849000000001"/>
    <n v="405.72"/>
    <n v="187.20848999999998"/>
    <n v="0.3157353595877978"/>
    <s v="Low"/>
    <s v="Not Met"/>
    <x v="0"/>
  </r>
  <r>
    <s v="ORD-2024-207792"/>
    <d v="2024-09-03T00:00:00"/>
    <s v="Sep-2024"/>
    <s v="Q3-2024"/>
    <d v="2024-09-07T00:00:00"/>
    <d v="2024-09-07T00:00:00"/>
    <n v="4"/>
    <x v="3"/>
    <s v="Japan"/>
    <s v="Tokyo"/>
    <s v="Small Business"/>
    <s v="Distributor"/>
    <x v="9"/>
    <s v="Printers"/>
    <s v="PRN-3917"/>
    <n v="43.23"/>
    <n v="94.78"/>
    <x v="30"/>
    <b v="0"/>
    <n v="55"/>
    <n v="4738.5261"/>
    <n v="2377.6499999999996"/>
    <n v="2360.8761000000004"/>
    <n v="0.49823005090127082"/>
    <s v="Low"/>
    <s v="Met"/>
    <x v="0"/>
  </r>
  <r>
    <s v="ORD-2025-908258"/>
    <d v="2025-06-21T00:00:00"/>
    <s v="Jun-2025"/>
    <s v="Q2-2025"/>
    <d v="2025-06-27T00:00:00"/>
    <d v="2025-06-27T00:00:00"/>
    <n v="6"/>
    <x v="1"/>
    <s v="South Africa"/>
    <s v="Durban"/>
    <s v="Enterprise"/>
    <s v="Distributor"/>
    <x v="9"/>
    <s v="Phones"/>
    <s v="PHN-3819"/>
    <n v="93.91"/>
    <n v="99.04"/>
    <x v="31"/>
    <b v="0"/>
    <n v="6"/>
    <n v="560.36831999999993"/>
    <n v="563.46"/>
    <n v="-3.0916800000001103"/>
    <n v="-5.5172283829323376E-3"/>
    <s v="Low"/>
    <s v="Met"/>
    <x v="0"/>
  </r>
  <r>
    <s v="ORD-2024-260775"/>
    <d v="2024-10-17T00:00:00"/>
    <s v="Oct-2024"/>
    <s v="Q4-2024"/>
    <d v="2024-11-06T00:00:00"/>
    <d v="2024-11-06T00:00:00"/>
    <n v="20"/>
    <x v="3"/>
    <s v="India"/>
    <s v="Bengaluru"/>
    <s v="Enterprise"/>
    <s v="Distributor"/>
    <x v="11"/>
    <s v="Monitors"/>
    <s v="MON-4330"/>
    <n v="72.94"/>
    <n v="106.3"/>
    <x v="32"/>
    <b v="0"/>
    <n v="8"/>
    <n v="599.53200000000004"/>
    <n v="583.52"/>
    <n v="16.012000000000057"/>
    <n v="2.6707498515508857E-2"/>
    <s v="Low"/>
    <s v="Not Met"/>
    <x v="1"/>
  </r>
  <r>
    <s v="ORD-2023-274037"/>
    <d v="2023-08-15T00:00:00"/>
    <s v="Aug-2023"/>
    <s v="Q3-2023"/>
    <d v="2023-08-25T00:00:00"/>
    <d v="2023-08-25T00:00:00"/>
    <n v="10"/>
    <x v="1"/>
    <s v="Kenya"/>
    <s v="Nairobi"/>
    <s v="Small Business"/>
    <s v="Retail"/>
    <x v="9"/>
    <s v="Phones"/>
    <s v="PHN-1234"/>
    <n v="91.85"/>
    <n v="111.29"/>
    <x v="33"/>
    <b v="0"/>
    <n v="6"/>
    <n v="667.74"/>
    <n v="551.09999999999991"/>
    <n v="116.6400000000001"/>
    <n v="0.17467876718483258"/>
    <s v="Low"/>
    <s v="Not Met"/>
    <x v="0"/>
  </r>
  <r>
    <s v="ORD-2023-340056"/>
    <d v="2023-04-26T00:00:00"/>
    <s v="Apr-2023"/>
    <s v="Q2-2023"/>
    <d v="2023-04-26T00:00:00"/>
    <d v="2023-04-26T00:00:00"/>
    <n v="0"/>
    <x v="0"/>
    <s v="France"/>
    <s v="Marseille"/>
    <s v="Consumer"/>
    <s v="Direct"/>
    <x v="7"/>
    <s v="Components"/>
    <s v="CMP-4945"/>
    <n v="81.489999999999995"/>
    <n v="113.08"/>
    <x v="34"/>
    <b v="0"/>
    <n v="5"/>
    <n v="496.98660000000001"/>
    <n v="407.45"/>
    <n v="89.536600000000021"/>
    <n v="0.18015898215364362"/>
    <s v="Low"/>
    <s v="Met"/>
    <x v="0"/>
  </r>
  <r>
    <s v="ORD-2025-460466"/>
    <d v="2025-02-07T00:00:00"/>
    <s v="Feb-2025"/>
    <s v="Q1-2025"/>
    <d v="2025-02-16T00:00:00"/>
    <d v="2025-02-16T00:00:00"/>
    <n v="9"/>
    <x v="1"/>
    <s v="Nigeria"/>
    <s v="Lagos"/>
    <s v="Small Business"/>
    <s v="Distributor"/>
    <x v="8"/>
    <s v="Printers"/>
    <s v="PRN-1882"/>
    <n v="90.68"/>
    <n v="118.17"/>
    <x v="35"/>
    <b v="0"/>
    <n v="21"/>
    <n v="2146.5580500000001"/>
    <n v="1904.2800000000002"/>
    <n v="242.27804999999989"/>
    <n v="0.11286815653552899"/>
    <s v="Low"/>
    <s v="Not Met"/>
    <x v="0"/>
  </r>
  <r>
    <s v="ORD-2025-752845"/>
    <d v="2025-03-30T00:00:00"/>
    <s v="Mar-2025"/>
    <s v="Q1-2025"/>
    <d v="2025-04-07T00:00:00"/>
    <d v="2025-04-07T00:00:00"/>
    <n v="8"/>
    <x v="2"/>
    <s v="Brazil"/>
    <s v="São Paulo"/>
    <s v="Non-Profit"/>
    <s v="Direct"/>
    <x v="5"/>
    <s v="Printers"/>
    <s v="PRN-8763"/>
    <n v="71.62"/>
    <n v="118.37"/>
    <x v="36"/>
    <b v="0"/>
    <n v="11"/>
    <n v="1098.9470800000001"/>
    <n v="787.82"/>
    <n v="311.12708000000009"/>
    <n v="0.28311379652603474"/>
    <s v="Low"/>
    <s v="Not Met"/>
    <x v="0"/>
  </r>
  <r>
    <s v="ORD-2024-866535"/>
    <d v="2024-12-04T00:00:00"/>
    <s v="Dec-2024"/>
    <s v="Q4-2024"/>
    <d v="2024-12-12T00:00:00"/>
    <d v="2024-12-12T00:00:00"/>
    <n v="8"/>
    <x v="0"/>
    <s v="Germany"/>
    <s v="Frankfurt"/>
    <s v="Enterprise"/>
    <s v="Marketplace"/>
    <x v="4"/>
    <s v="Printers"/>
    <s v="PRN-5492"/>
    <n v="72.06"/>
    <n v="122.74"/>
    <x v="37"/>
    <b v="0"/>
    <n v="8"/>
    <n v="748.22303999999997"/>
    <n v="576.48"/>
    <n v="171.74303999999995"/>
    <n v="0.22953455162246802"/>
    <s v="Low"/>
    <s v="Not Met"/>
    <x v="1"/>
  </r>
  <r>
    <s v="ORD-2023-378676"/>
    <d v="2023-05-03T00:00:00"/>
    <s v="May-2023"/>
    <s v="Q2-2023"/>
    <d v="2023-05-16T00:00:00"/>
    <d v="2023-05-16T00:00:00"/>
    <n v="13"/>
    <x v="2"/>
    <s v="USA"/>
    <s v="New York"/>
    <s v="Corporate"/>
    <s v="Marketplace"/>
    <x v="5"/>
    <s v="Phones"/>
    <s v="PHN-5366"/>
    <n v="64.5"/>
    <n v="123.62"/>
    <x v="33"/>
    <b v="0"/>
    <n v="3"/>
    <n v="370.86"/>
    <n v="193.5"/>
    <n v="177.36"/>
    <n v="0.47823976702798904"/>
    <s v="Low"/>
    <s v="Not Met"/>
    <x v="0"/>
  </r>
  <r>
    <s v="ORD-2024-838925"/>
    <d v="2024-01-28T00:00:00"/>
    <s v="Jan-2024"/>
    <s v="Q1-2024"/>
    <d v="2024-01-27T00:00:00"/>
    <d v="2024-02-11T00:00:00"/>
    <n v="14"/>
    <x v="1"/>
    <s v="South Africa"/>
    <s v="Cape Town"/>
    <s v="Enterprise"/>
    <s v="Direct"/>
    <x v="11"/>
    <s v="Components"/>
    <s v="CMP-1470"/>
    <n v="109.75"/>
    <n v="124.25"/>
    <x v="38"/>
    <b v="0"/>
    <n v="19"/>
    <n v="2077.46"/>
    <n v="2085.25"/>
    <n v="-7.7899999999999636"/>
    <n v="-3.7497713554051405E-3"/>
    <s v="Low"/>
    <s v="Not Met"/>
    <x v="0"/>
  </r>
  <r>
    <s v="ORD-2024-225829"/>
    <d v="2024-11-07T00:00:00"/>
    <s v="Nov-2024"/>
    <s v="Q4-2024"/>
    <d v="2024-11-26T00:00:00"/>
    <d v="2024-11-26T00:00:00"/>
    <n v="19"/>
    <x v="2"/>
    <s v="Brazil"/>
    <s v="Rio de Janeiro"/>
    <s v="Non-Profit"/>
    <s v="Distributor"/>
    <x v="3"/>
    <s v="Printers"/>
    <s v="PRN-9960"/>
    <n v="55.35"/>
    <n v="128.68"/>
    <x v="39"/>
    <b v="0"/>
    <n v="10"/>
    <n v="1122.0896000000002"/>
    <n v="553.5"/>
    <n v="568.58960000000025"/>
    <n v="0.50672388372550647"/>
    <s v="Low"/>
    <s v="Not Met"/>
    <x v="0"/>
  </r>
  <r>
    <s v="ORD-2025-586799"/>
    <d v="2025-07-14T00:00:00"/>
    <s v="Jul-2025"/>
    <s v="Q3-2025"/>
    <d v="2025-08-04T00:00:00"/>
    <d v="2025-08-04T00:00:00"/>
    <n v="21"/>
    <x v="2"/>
    <s v="Canada"/>
    <s v="Montreal"/>
    <s v="Consumer"/>
    <s v="Online"/>
    <x v="2"/>
    <s v="Monitors"/>
    <s v="MON-7868"/>
    <n v="90.3"/>
    <n v="131.76"/>
    <x v="0"/>
    <b v="0"/>
    <n v="15"/>
    <n v="1774.8072"/>
    <n v="1354.5"/>
    <n v="420.30719999999997"/>
    <n v="0.23681851189244668"/>
    <s v="Low"/>
    <s v="Not Met"/>
    <x v="0"/>
  </r>
  <r>
    <s v="ORD-2025-926547"/>
    <d v="2025-03-11T00:00:00"/>
    <s v="Mar-2025"/>
    <s v="Q1-2025"/>
    <d v="2025-03-26T00:00:00"/>
    <d v="2025-03-26T00:00:00"/>
    <n v="15"/>
    <x v="0"/>
    <s v="Germany"/>
    <s v="Berlin"/>
    <s v="Small Business"/>
    <s v="Online"/>
    <x v="1"/>
    <s v="Phones"/>
    <s v="PHN-3007"/>
    <n v="116.97"/>
    <n v="140.82"/>
    <x v="40"/>
    <b v="0"/>
    <n v="5"/>
    <n v="618.19979999999987"/>
    <n v="584.85"/>
    <n v="33.349799999999846"/>
    <n v="5.3946636669891926E-2"/>
    <s v="Low"/>
    <s v="Not Met"/>
    <x v="0"/>
  </r>
  <r>
    <s v="ORD-2025-828263"/>
    <d v="2025-05-17T00:00:00"/>
    <s v="May-2025"/>
    <s v="Q2-2025"/>
    <d v="2025-05-30T00:00:00"/>
    <d v="2025-05-30T00:00:00"/>
    <n v="13"/>
    <x v="1"/>
    <s v="Nigeria"/>
    <s v="Lagos"/>
    <s v="Consumer"/>
    <s v="Distributor"/>
    <x v="6"/>
    <s v="Accessories"/>
    <s v="ACC-3349"/>
    <n v="66.400000000000006"/>
    <n v="141.43"/>
    <x v="41"/>
    <b v="0"/>
    <n v="8"/>
    <n v="1010.3759200000001"/>
    <n v="531.20000000000005"/>
    <n v="479.17592000000002"/>
    <n v="0.47425508715607551"/>
    <s v="Low"/>
    <s v="Not Met"/>
    <x v="0"/>
  </r>
  <r>
    <s v="ORD-2023-898009"/>
    <d v="2023-05-04T00:00:00"/>
    <s v="May-2023"/>
    <s v="Q2-2023"/>
    <d v="2023-05-16T00:00:00"/>
    <d v="2023-05-16T00:00:00"/>
    <n v="12"/>
    <x v="1"/>
    <s v="Nigeria"/>
    <s v="Abuja"/>
    <s v="Small Business"/>
    <s v="Marketplace"/>
    <x v="3"/>
    <s v="Phones"/>
    <s v="PHN-1670"/>
    <n v="77.739999999999995"/>
    <n v="147.12"/>
    <x v="33"/>
    <b v="0"/>
    <n v="15"/>
    <n v="2206.8000000000002"/>
    <n v="1166.0999999999999"/>
    <n v="1040.7000000000003"/>
    <n v="0.47158781946710177"/>
    <s v="Low"/>
    <s v="Not Met"/>
    <x v="0"/>
  </r>
  <r>
    <s v="ORD-2024-853298"/>
    <d v="2024-03-06T00:00:00"/>
    <s v="Mar-2024"/>
    <s v="Q1-2024"/>
    <d v="2024-03-26T00:00:00"/>
    <d v="2024-03-26T00:00:00"/>
    <n v="20"/>
    <x v="1"/>
    <s v="Nigeria"/>
    <s v="Port Harcourt"/>
    <s v="Consumer"/>
    <s v="Marketplace"/>
    <x v="1"/>
    <s v="Phones"/>
    <s v="PHN-4741"/>
    <n v="65.64"/>
    <n v="151.88"/>
    <x v="42"/>
    <b v="0"/>
    <n v="23"/>
    <n v="2909.8689199999999"/>
    <n v="1509.72"/>
    <n v="1400.1489199999999"/>
    <n v="0.48117250587356353"/>
    <s v="Low"/>
    <s v="Not Met"/>
    <x v="0"/>
  </r>
  <r>
    <s v="ORD-2024-792558"/>
    <d v="2024-10-16T00:00:00"/>
    <s v="Oct-2024"/>
    <s v="Q4-2024"/>
    <d v="2024-11-08T00:00:00"/>
    <d v="2024-11-08T00:00:00"/>
    <n v="23"/>
    <x v="3"/>
    <s v="Japan"/>
    <s v="Osaka"/>
    <s v="Small Business"/>
    <s v="Retail"/>
    <x v="3"/>
    <s v="Networking"/>
    <s v="NET-6387"/>
    <n v="82.14"/>
    <n v="166.04"/>
    <x v="33"/>
    <b v="0"/>
    <n v="10"/>
    <n v="1660.3999999999999"/>
    <n v="821.4"/>
    <n v="838.99999999999989"/>
    <n v="0.50529992772825827"/>
    <s v="Low"/>
    <s v="Not Met"/>
    <x v="0"/>
  </r>
  <r>
    <s v="ORD-2024-973420"/>
    <d v="2024-05-12T00:00:00"/>
    <s v="May-2024"/>
    <s v="Q2-2024"/>
    <d v="2024-05-24T00:00:00"/>
    <d v="2024-05-24T00:00:00"/>
    <n v="12"/>
    <x v="0"/>
    <s v="United Kingdom"/>
    <s v="Manchester"/>
    <s v="Education"/>
    <s v="Marketplace"/>
    <x v="12"/>
    <s v="Printers"/>
    <s v="PRN-5813"/>
    <n v="111.02"/>
    <n v="172.88"/>
    <x v="43"/>
    <b v="0"/>
    <n v="29"/>
    <n v="4025.8565599999993"/>
    <n v="3219.58"/>
    <n v="806.27655999999934"/>
    <n v="0.20027453735212053"/>
    <s v="Low"/>
    <s v="Not Met"/>
    <x v="0"/>
  </r>
  <r>
    <s v="ORD-2024-788105"/>
    <d v="2024-11-30T00:00:00"/>
    <s v="Nov-2024"/>
    <s v="Q4-2024"/>
    <d v="2024-12-30T00:00:00"/>
    <d v="2024-12-30T00:00:00"/>
    <n v="30"/>
    <x v="0"/>
    <s v="France"/>
    <s v="Marseille"/>
    <s v="Consumer"/>
    <s v="Marketplace"/>
    <x v="6"/>
    <s v="Printers"/>
    <s v="PRN-4170"/>
    <n v="117.64"/>
    <n v="175.67"/>
    <x v="33"/>
    <b v="0"/>
    <n v="10"/>
    <n v="1756.6999999999998"/>
    <n v="1176.4000000000001"/>
    <n v="580.29999999999973"/>
    <n v="0.33033528775545046"/>
    <s v="Low"/>
    <s v="Not Met"/>
    <x v="0"/>
  </r>
  <r>
    <s v="ORD-2023-920483"/>
    <d v="2023-07-02T00:00:00"/>
    <s v="Jul-2023"/>
    <s v="Q3-2023"/>
    <d v="2023-08-01T00:00:00"/>
    <d v="2023-08-01T00:00:00"/>
    <n v="30"/>
    <x v="0"/>
    <s v="United Kingdom"/>
    <s v="Birmingham"/>
    <s v="Small Business"/>
    <s v="Retail"/>
    <x v="4"/>
    <s v="Components"/>
    <s v="CMP-7256"/>
    <n v="137.46"/>
    <n v="188.3"/>
    <x v="44"/>
    <b v="0"/>
    <n v="37"/>
    <n v="6702.3501999999999"/>
    <n v="5086.0200000000004"/>
    <n v="1616.3301999999994"/>
    <n v="0.24115872071262398"/>
    <s v="Low"/>
    <s v="Not Met"/>
    <x v="0"/>
  </r>
  <r>
    <s v="ORD-2024-581530"/>
    <d v="2024-09-07T00:00:00"/>
    <s v="Sep-2024"/>
    <s v="Q3-2024"/>
    <d v="2024-09-18T00:00:00"/>
    <d v="2024-09-18T00:00:00"/>
    <n v="11"/>
    <x v="3"/>
    <s v="China"/>
    <s v="Beijing"/>
    <s v="Consumer"/>
    <s v="Distributor"/>
    <x v="11"/>
    <s v="Networking"/>
    <s v="NET-7998"/>
    <n v="181.74"/>
    <n v="190.84"/>
    <x v="45"/>
    <b v="0"/>
    <n v="13"/>
    <n v="1950.0031200000001"/>
    <n v="2362.62"/>
    <n v="-412.61687999999981"/>
    <n v="-0.21159806144310159"/>
    <s v="Low"/>
    <s v="Not Met"/>
    <x v="1"/>
  </r>
  <r>
    <s v="ORD-2024-745424"/>
    <d v="2024-08-22T00:00:00"/>
    <s v="Aug-2024"/>
    <s v="Q3-2024"/>
    <d v="2024-09-04T00:00:00"/>
    <d v="2024-09-04T00:00:00"/>
    <n v="13"/>
    <x v="0"/>
    <s v="Germany"/>
    <s v="Frankfurt"/>
    <s v="Non-Profit"/>
    <s v="Retail"/>
    <x v="5"/>
    <s v="Printers"/>
    <s v="PRN-4892"/>
    <n v="90.04"/>
    <n v="194.62"/>
    <x v="29"/>
    <b v="0"/>
    <n v="32"/>
    <n v="5960.04288"/>
    <n v="2881.28"/>
    <n v="3078.7628799999998"/>
    <n v="0.51656723650954672"/>
    <s v="Low"/>
    <s v="Not Met"/>
    <x v="0"/>
  </r>
  <r>
    <s v="ORD-2023-864121"/>
    <d v="2023-03-27T00:00:00"/>
    <s v="Mar-2023"/>
    <s v="Q1-2023"/>
    <d v="2023-04-22T00:00:00"/>
    <d v="2023-04-22T00:00:00"/>
    <n v="26"/>
    <x v="3"/>
    <s v="India"/>
    <s v="Delhi"/>
    <s v="Non-Profit"/>
    <s v="Marketplace"/>
    <x v="3"/>
    <s v="Printers"/>
    <s v="PRN-4506"/>
    <n v="178.53"/>
    <n v="199.37"/>
    <x v="46"/>
    <b v="0"/>
    <n v="37"/>
    <n v="6631.6443100000006"/>
    <n v="6605.61"/>
    <n v="26.034310000000914"/>
    <n v="3.9257699573457538E-3"/>
    <s v="Low"/>
    <s v="Not Met"/>
    <x v="0"/>
  </r>
  <r>
    <s v="ORD-2023-539967"/>
    <d v="2023-07-09T00:00:00"/>
    <s v="Jul-2023"/>
    <s v="Q3-2023"/>
    <d v="2023-07-19T00:00:00"/>
    <d v="2023-07-19T00:00:00"/>
    <n v="10"/>
    <x v="3"/>
    <s v="Japan"/>
    <s v="Tokyo"/>
    <s v="Enterprise"/>
    <s v="Distributor"/>
    <x v="9"/>
    <s v="Components"/>
    <s v="CMP-6649"/>
    <n v="141.26"/>
    <n v="206.88"/>
    <x v="41"/>
    <b v="0"/>
    <n v="9"/>
    <n v="1662.6945600000001"/>
    <n v="1271.3399999999999"/>
    <n v="391.35456000000022"/>
    <n v="0.23537369365062469"/>
    <s v="Low"/>
    <s v="Not Met"/>
    <x v="0"/>
  </r>
  <r>
    <s v="ORD-2025-419532"/>
    <d v="2025-08-06T00:00:00"/>
    <s v="Aug-2025"/>
    <s v="Q3-2025"/>
    <d v="2025-08-23T00:00:00"/>
    <d v="2025-08-23T00:00:00"/>
    <n v="17"/>
    <x v="2"/>
    <s v="Brazil"/>
    <s v="Brasília"/>
    <s v="Consumer"/>
    <s v="Distributor"/>
    <x v="13"/>
    <s v="Monitors"/>
    <s v="MON-4317"/>
    <n v="86.64"/>
    <n v="213.06"/>
    <x v="5"/>
    <b v="0"/>
    <n v="11"/>
    <n v="1846.8040799999999"/>
    <n v="953.04"/>
    <n v="893.76407999999992"/>
    <n v="0.48395175735154322"/>
    <s v="Low"/>
    <s v="Not Met"/>
    <x v="1"/>
  </r>
  <r>
    <s v="ORD-2025-138578"/>
    <d v="2025-04-09T00:00:00"/>
    <s v="Apr-2025"/>
    <s v="Q2-2025"/>
    <d v="2025-04-12T00:00:00"/>
    <d v="2025-04-12T00:00:00"/>
    <n v="3"/>
    <x v="0"/>
    <s v="France"/>
    <s v="Lyon"/>
    <s v="Small Business"/>
    <s v="Distributor"/>
    <x v="2"/>
    <s v="Monitors"/>
    <s v="MON-5276"/>
    <n v="86.68"/>
    <n v="213.32"/>
    <x v="44"/>
    <b v="0"/>
    <n v="8"/>
    <n v="1641.7107199999998"/>
    <n v="693.44"/>
    <n v="948.27071999999976"/>
    <n v="0.57761133459614611"/>
    <s v="Low"/>
    <s v="Met"/>
    <x v="0"/>
  </r>
  <r>
    <s v="ORD-2025-649239"/>
    <d v="2025-01-17T00:00:00"/>
    <s v="Jan-2025"/>
    <s v="Q1-2025"/>
    <d v="2025-01-24T00:00:00"/>
    <d v="2025-01-24T00:00:00"/>
    <n v="7"/>
    <x v="2"/>
    <s v="USA"/>
    <s v="Austin"/>
    <s v="Enterprise"/>
    <s v="Online"/>
    <x v="14"/>
    <s v="Accessories"/>
    <s v="ACC-4511"/>
    <n v="142.09"/>
    <n v="218.5"/>
    <x v="3"/>
    <b v="0"/>
    <n v="11"/>
    <n v="2117.4834999999998"/>
    <n v="1562.99"/>
    <n v="554.49349999999981"/>
    <n v="0.26186437816398561"/>
    <s v="Low"/>
    <s v="Met"/>
    <x v="0"/>
  </r>
  <r>
    <s v="ORD-2024-641220"/>
    <d v="2024-05-10T00:00:00"/>
    <s v="May-2024"/>
    <s v="Q2-2024"/>
    <d v="2024-05-16T00:00:00"/>
    <d v="2024-05-16T00:00:00"/>
    <n v="6"/>
    <x v="0"/>
    <s v="United Kingdom"/>
    <s v="Birmingham"/>
    <s v="Non-Profit"/>
    <s v="Direct"/>
    <x v="14"/>
    <s v="Laptops"/>
    <s v="LAP-1066"/>
    <n v="210.76"/>
    <n v="221.58"/>
    <x v="47"/>
    <b v="0"/>
    <n v="5"/>
    <n v="1009.2969000000002"/>
    <n v="1053.8"/>
    <n v="-44.50309999999979"/>
    <n v="-4.4093170205912434E-2"/>
    <s v="Low"/>
    <s v="Met"/>
    <x v="0"/>
  </r>
  <r>
    <s v="ORD-2025-415018"/>
    <d v="2025-01-22T00:00:00"/>
    <s v="Jan-2025"/>
    <s v="Q1-2025"/>
    <d v="2025-02-04T00:00:00"/>
    <d v="2025-02-04T00:00:00"/>
    <n v="13"/>
    <x v="3"/>
    <s v="Japan"/>
    <s v="Tokyo"/>
    <s v="Small Business"/>
    <s v="Distributor"/>
    <x v="5"/>
    <s v="Printers"/>
    <s v="PRN-2991"/>
    <n v="122.29"/>
    <n v="224.95"/>
    <x v="48"/>
    <b v="0"/>
    <n v="28"/>
    <n v="5334.9141999999993"/>
    <n v="3424.1200000000003"/>
    <n v="1910.7941999999989"/>
    <n v="0.3581677471026618"/>
    <s v="Low"/>
    <s v="Not Met"/>
    <x v="0"/>
  </r>
  <r>
    <s v="ORD-2025-653781"/>
    <d v="2025-01-11T00:00:00"/>
    <s v="Jan-2025"/>
    <s v="Q1-2025"/>
    <d v="2025-01-23T00:00:00"/>
    <d v="2025-01-23T00:00:00"/>
    <n v="12"/>
    <x v="2"/>
    <s v="USA"/>
    <s v="Austin"/>
    <s v="Consumer"/>
    <s v="Distributor"/>
    <x v="2"/>
    <s v="Phones"/>
    <s v="PHN-6307"/>
    <n v="100.69"/>
    <n v="226.14"/>
    <x v="49"/>
    <b v="0"/>
    <n v="12"/>
    <n v="2537.2908000000002"/>
    <n v="1208.28"/>
    <n v="1329.0108000000002"/>
    <n v="0.52379128162999689"/>
    <s v="Low"/>
    <s v="Not Met"/>
    <x v="0"/>
  </r>
  <r>
    <s v="ORD-2025-861401"/>
    <d v="2025-04-01T00:00:00"/>
    <s v="Apr-2025"/>
    <s v="Q2-2025"/>
    <d v="2025-04-27T00:00:00"/>
    <d v="2025-04-27T00:00:00"/>
    <n v="26"/>
    <x v="2"/>
    <s v="USA"/>
    <s v="San Francisco"/>
    <s v="Corporate"/>
    <s v="Direct"/>
    <x v="1"/>
    <s v="Monitors"/>
    <s v="MON-9319"/>
    <n v="156.55000000000001"/>
    <n v="227.45"/>
    <x v="50"/>
    <b v="0"/>
    <n v="13"/>
    <n v="2915.4540999999999"/>
    <n v="2035.15"/>
    <n v="880.30409999999983"/>
    <n v="0.3019440779396938"/>
    <s v="Low"/>
    <s v="Not Met"/>
    <x v="0"/>
  </r>
  <r>
    <s v="ORD-2023-271918"/>
    <d v="2023-09-25T00:00:00"/>
    <s v="Sep-2023"/>
    <s v="Q3-2023"/>
    <d v="2023-10-02T00:00:00"/>
    <d v="2023-10-02T00:00:00"/>
    <n v="7"/>
    <x v="2"/>
    <s v="USA"/>
    <s v="New York"/>
    <s v="Education"/>
    <s v="Marketplace"/>
    <x v="1"/>
    <s v="Accessories"/>
    <s v="ACC-3551"/>
    <n v="145.58000000000001"/>
    <n v="228.15"/>
    <x v="51"/>
    <b v="0"/>
    <n v="5"/>
    <n v="908.03700000000003"/>
    <n v="727.90000000000009"/>
    <n v="180.13699999999994"/>
    <n v="0.19838068272548359"/>
    <s v="Low"/>
    <s v="Met"/>
    <x v="1"/>
  </r>
  <r>
    <s v="ORD-2024-266562"/>
    <d v="2024-11-27T00:00:00"/>
    <s v="Nov-2024"/>
    <s v="Q4-2024"/>
    <d v="2024-12-24T00:00:00"/>
    <d v="2024-12-24T00:00:00"/>
    <n v="27"/>
    <x v="1"/>
    <s v="Kenya"/>
    <s v="Mombasa"/>
    <s v="Corporate"/>
    <s v="Distributor"/>
    <x v="4"/>
    <s v="Printers"/>
    <s v="PRN-5569"/>
    <n v="143.33000000000001"/>
    <n v="233.51"/>
    <x v="52"/>
    <b v="0"/>
    <n v="14"/>
    <n v="2736.27018"/>
    <n v="2006.6200000000001"/>
    <n v="729.65017999999986"/>
    <n v="0.26665867476580835"/>
    <s v="Low"/>
    <s v="Not Met"/>
    <x v="0"/>
  </r>
  <r>
    <s v="ORD-2025-578007"/>
    <d v="2025-01-21T00:00:00"/>
    <s v="Jan-2025"/>
    <s v="Q1-2025"/>
    <d v="2025-02-16T00:00:00"/>
    <d v="2025-02-16T00:00:00"/>
    <n v="26"/>
    <x v="0"/>
    <s v="France"/>
    <s v="Lyon"/>
    <s v="Corporate"/>
    <s v="Distributor"/>
    <x v="11"/>
    <s v="Laptops"/>
    <s v="LAP-3779"/>
    <n v="204.11"/>
    <n v="236.87"/>
    <x v="53"/>
    <b v="0"/>
    <n v="13"/>
    <n v="2518.8755800000004"/>
    <n v="2653.4300000000003"/>
    <n v="-134.55441999999994"/>
    <n v="-5.3418446337075494E-2"/>
    <s v="Low"/>
    <s v="Not Met"/>
    <x v="0"/>
  </r>
  <r>
    <s v="ORD-2024-478165"/>
    <d v="2024-12-05T00:00:00"/>
    <s v="Dec-2024"/>
    <s v="Q4-2024"/>
    <d v="2024-12-28T00:00:00"/>
    <d v="2024-12-28T00:00:00"/>
    <n v="23"/>
    <x v="2"/>
    <s v="Canada"/>
    <s v="Vancouver"/>
    <s v="Corporate"/>
    <s v="Direct"/>
    <x v="6"/>
    <s v="Accessories"/>
    <s v="ACC-2386"/>
    <n v="107.03"/>
    <n v="242.29"/>
    <x v="54"/>
    <b v="0"/>
    <n v="30"/>
    <n v="5960.3340000000007"/>
    <n v="3210.9"/>
    <n v="2749.4340000000007"/>
    <n v="0.46128857879440988"/>
    <s v="Low"/>
    <s v="Not Met"/>
    <x v="0"/>
  </r>
  <r>
    <s v="ORD-2024-892908"/>
    <d v="2024-07-13T00:00:00"/>
    <s v="Jul-2024"/>
    <s v="Q3-2024"/>
    <d v="2024-07-12T00:00:00"/>
    <d v="2024-07-27T00:00:00"/>
    <n v="14"/>
    <x v="3"/>
    <s v="Japan"/>
    <s v="Nagoya"/>
    <s v="Small Business"/>
    <s v="Marketplace"/>
    <x v="6"/>
    <s v="Networking"/>
    <s v="NET-9575"/>
    <n v="105.13"/>
    <n v="244.13"/>
    <x v="55"/>
    <b v="0"/>
    <n v="14"/>
    <n v="3175.1547799999998"/>
    <n v="1471.82"/>
    <n v="1703.3347799999999"/>
    <n v="0.53645724319618837"/>
    <s v="Low"/>
    <s v="Not Met"/>
    <x v="0"/>
  </r>
  <r>
    <s v="ORD-2024-970848"/>
    <d v="2024-05-23T00:00:00"/>
    <s v="May-2024"/>
    <s v="Q2-2024"/>
    <d v="2024-06-03T00:00:00"/>
    <d v="2024-06-03T00:00:00"/>
    <n v="11"/>
    <x v="1"/>
    <s v="South Africa"/>
    <s v="Johannesburg"/>
    <s v="Small Business"/>
    <s v="Distributor"/>
    <x v="6"/>
    <s v="Printers"/>
    <s v="PRN-3785"/>
    <n v="180.89"/>
    <n v="249.57"/>
    <x v="56"/>
    <b v="0"/>
    <n v="8"/>
    <n v="1952.6356799999999"/>
    <n v="1447.12"/>
    <n v="505.51567999999997"/>
    <n v="0.25888888806948362"/>
    <s v="Low"/>
    <s v="Not Met"/>
    <x v="0"/>
  </r>
  <r>
    <s v="ORD-2023-975863"/>
    <d v="2023-11-20T00:00:00"/>
    <s v="Nov-2023"/>
    <s v="Q4-2023"/>
    <d v="2023-12-05T00:00:00"/>
    <d v="2023-12-05T00:00:00"/>
    <n v="15"/>
    <x v="3"/>
    <s v="Japan"/>
    <s v="Tokyo"/>
    <s v="Enterprise"/>
    <s v="Retail"/>
    <x v="5"/>
    <s v="Networking"/>
    <s v="NET-3033"/>
    <n v="354.24"/>
    <n v="249.87"/>
    <x v="33"/>
    <b v="0"/>
    <n v="6"/>
    <n v="1499.22"/>
    <n v="2125.44"/>
    <n v="-626.22"/>
    <n v="-0.41769720254532355"/>
    <s v="Low"/>
    <s v="Not Met"/>
    <x v="0"/>
  </r>
  <r>
    <s v="ORD-2025-269934"/>
    <d v="2025-04-04T00:00:00"/>
    <s v="Apr-2025"/>
    <s v="Q2-2025"/>
    <d v="2025-04-10T00:00:00"/>
    <d v="2025-04-10T00:00:00"/>
    <n v="6"/>
    <x v="0"/>
    <s v="United Kingdom"/>
    <s v="Birmingham"/>
    <s v="Non-Profit"/>
    <s v="Direct"/>
    <x v="9"/>
    <s v="Printers"/>
    <s v="PRN-8657"/>
    <n v="290.14"/>
    <n v="250.73"/>
    <x v="57"/>
    <b v="0"/>
    <n v="17"/>
    <n v="4117.4880599999997"/>
    <n v="4932.38"/>
    <n v="-814.89194000000043"/>
    <n v="-0.19790997038131072"/>
    <s v="Low"/>
    <s v="Met"/>
    <x v="0"/>
  </r>
  <r>
    <s v="ORD-2025-168148"/>
    <d v="2025-03-29T00:00:00"/>
    <s v="Mar-2025"/>
    <s v="Q1-2025"/>
    <d v="2025-04-02T00:00:00"/>
    <d v="2025-04-02T00:00:00"/>
    <n v="4"/>
    <x v="1"/>
    <s v="Nigeria"/>
    <s v="Lagos"/>
    <s v="Non-Profit"/>
    <s v="Marketplace"/>
    <x v="14"/>
    <s v="Phones"/>
    <s v="PHN-4556"/>
    <n v="259.93"/>
    <n v="255.94"/>
    <x v="13"/>
    <b v="0"/>
    <n v="22"/>
    <n v="5225.2710400000005"/>
    <n v="5718.46"/>
    <n v="-493.1889599999995"/>
    <n v="-9.4385335463861311E-2"/>
    <s v="Low"/>
    <s v="Met"/>
    <x v="0"/>
  </r>
  <r>
    <s v="ORD-2024-897622"/>
    <d v="2024-03-30T00:00:00"/>
    <s v="Mar-2024"/>
    <s v="Q1-2024"/>
    <d v="2024-04-24T00:00:00"/>
    <d v="2024-04-24T00:00:00"/>
    <n v="25"/>
    <x v="2"/>
    <s v="USA"/>
    <s v="Austin"/>
    <s v="Non-Profit"/>
    <s v="Online"/>
    <x v="14"/>
    <s v="Laptops"/>
    <s v="LAP-2846"/>
    <n v="160.82"/>
    <n v="258.52"/>
    <x v="58"/>
    <b v="0"/>
    <n v="17"/>
    <n v="3823.5108"/>
    <n v="2733.94"/>
    <n v="1089.5708"/>
    <n v="0.28496605789631874"/>
    <s v="Low"/>
    <s v="Not Met"/>
    <x v="0"/>
  </r>
  <r>
    <s v="ORD-2024-585443"/>
    <d v="2024-08-17T00:00:00"/>
    <s v="Aug-2024"/>
    <s v="Q3-2024"/>
    <d v="2024-08-15T00:00:00"/>
    <d v="2024-08-31T00:00:00"/>
    <n v="14"/>
    <x v="2"/>
    <s v="Brazil"/>
    <s v="Rio de Janeiro"/>
    <s v="Consumer"/>
    <s v="Direct"/>
    <x v="7"/>
    <s v="Monitors"/>
    <s v="MON-2849"/>
    <n v="165.3"/>
    <n v="275.07"/>
    <x v="59"/>
    <b v="0"/>
    <n v="25"/>
    <n v="5962.1422499999999"/>
    <n v="4132.5"/>
    <n v="1829.6422499999999"/>
    <n v="0.30687665159280625"/>
    <s v="Low"/>
    <s v="Not Met"/>
    <x v="0"/>
  </r>
  <r>
    <s v="ORD-2023-659070"/>
    <d v="2023-10-21T00:00:00"/>
    <s v="Oct-2023"/>
    <s v="Q4-2023"/>
    <d v="2023-10-21T00:00:00"/>
    <d v="2023-10-21T00:00:00"/>
    <n v="0"/>
    <x v="0"/>
    <s v="United Kingdom"/>
    <s v="Manchester"/>
    <s v="Enterprise"/>
    <s v="Distributor"/>
    <x v="3"/>
    <s v="Monitors"/>
    <s v="MON-8697"/>
    <n v="384.19"/>
    <n v="278.35000000000002"/>
    <x v="60"/>
    <b v="0"/>
    <n v="10"/>
    <n v="2627.6239999999998"/>
    <n v="3841.9"/>
    <n v="-1214.2760000000003"/>
    <n v="-0.46211938998882657"/>
    <s v="Low"/>
    <s v="Met"/>
    <x v="0"/>
  </r>
  <r>
    <s v="ORD-2024-972318"/>
    <d v="2024-12-24T00:00:00"/>
    <s v="Dec-2024"/>
    <s v="Q4-2024"/>
    <d v="2025-01-13T00:00:00"/>
    <d v="2025-01-13T00:00:00"/>
    <n v="20"/>
    <x v="3"/>
    <s v="India"/>
    <s v="Bengaluru"/>
    <s v="Corporate"/>
    <s v="Marketplace"/>
    <x v="0"/>
    <s v="Networking"/>
    <s v="NET-9832"/>
    <n v="126.15"/>
    <n v="284.23"/>
    <x v="61"/>
    <b v="0"/>
    <n v="22"/>
    <n v="5546.4642200000008"/>
    <n v="2775.3"/>
    <n v="2771.1642200000006"/>
    <n v="0.49962716968541088"/>
    <s v="Low"/>
    <s v="Not Met"/>
    <x v="0"/>
  </r>
  <r>
    <s v="ORD-2023-603238"/>
    <d v="2023-08-21T00:00:00"/>
    <s v="Aug-2023"/>
    <s v="Q3-2023"/>
    <d v="2023-09-04T00:00:00"/>
    <d v="2023-09-04T00:00:00"/>
    <n v="14"/>
    <x v="2"/>
    <s v="Canada"/>
    <s v="Montreal"/>
    <s v="Education"/>
    <s v="Distributor"/>
    <x v="6"/>
    <s v="Components"/>
    <s v="CMP-2136"/>
    <n v="178.19"/>
    <n v="284.43"/>
    <x v="47"/>
    <b v="0"/>
    <n v="8"/>
    <n v="2072.9258400000003"/>
    <n v="1425.52"/>
    <n v="647.40584000000035"/>
    <n v="0.31231500302972742"/>
    <s v="Low"/>
    <s v="Not Met"/>
    <x v="0"/>
  </r>
  <r>
    <s v="ORD-2025-169093"/>
    <d v="2025-04-13T00:00:00"/>
    <s v="Apr-2025"/>
    <s v="Q2-2025"/>
    <d v="2025-04-14T00:00:00"/>
    <d v="2025-04-14T00:00:00"/>
    <n v="1"/>
    <x v="3"/>
    <s v="Japan"/>
    <s v="Osaka"/>
    <s v="Enterprise"/>
    <s v="Online"/>
    <x v="14"/>
    <s v="Components"/>
    <s v="CMP-6495"/>
    <n v="138.9"/>
    <n v="289.92"/>
    <x v="62"/>
    <b v="0"/>
    <n v="12"/>
    <n v="3378.1478400000001"/>
    <n v="1666.8000000000002"/>
    <n v="1711.3478399999999"/>
    <n v="0.50659353025828491"/>
    <s v="Low"/>
    <s v="Met"/>
    <x v="0"/>
  </r>
  <r>
    <s v="ORD-2024-382152"/>
    <d v="2024-12-08T00:00:00"/>
    <s v="Dec-2024"/>
    <s v="Q4-2024"/>
    <d v="2024-12-08T00:00:00"/>
    <d v="2024-12-08T00:00:00"/>
    <n v="0"/>
    <x v="0"/>
    <s v="France"/>
    <s v="Lyon"/>
    <s v="Enterprise"/>
    <s v="Retail"/>
    <x v="2"/>
    <s v="Components"/>
    <s v="CMP-2335"/>
    <n v="257.44"/>
    <n v="290.33"/>
    <x v="63"/>
    <b v="0"/>
    <n v="23"/>
    <n v="6063.2517199999993"/>
    <n v="5921.12"/>
    <n v="142.1317199999994"/>
    <n v="2.3441500792581216E-2"/>
    <s v="Low"/>
    <s v="Met"/>
    <x v="0"/>
  </r>
  <r>
    <s v="ORD-2023-125739"/>
    <d v="2023-05-01T00:00:00"/>
    <s v="May-2023"/>
    <s v="Q2-2023"/>
    <d v="2023-05-18T00:00:00"/>
    <d v="2023-05-18T00:00:00"/>
    <n v="17"/>
    <x v="1"/>
    <s v="Nigeria"/>
    <s v="Port Harcourt"/>
    <s v="Corporate"/>
    <s v="Direct"/>
    <x v="6"/>
    <s v="Components"/>
    <s v="CMP-5633"/>
    <n v="327.97"/>
    <n v="299.94"/>
    <x v="64"/>
    <b v="0"/>
    <n v="3"/>
    <n v="855.72881999999993"/>
    <n v="983.91000000000008"/>
    <n v="-128.18118000000015"/>
    <n v="-0.14979182306843442"/>
    <s v="Low"/>
    <s v="Not Met"/>
    <x v="0"/>
  </r>
  <r>
    <s v="ORD-2023-240507"/>
    <d v="2023-03-25T00:00:00"/>
    <s v="Mar-2023"/>
    <s v="Q1-2023"/>
    <d v="2023-03-26T00:00:00"/>
    <d v="2023-03-26T00:00:00"/>
    <n v="1"/>
    <x v="3"/>
    <s v="Japan"/>
    <s v="Osaka"/>
    <s v="Small Business"/>
    <s v="Distributor"/>
    <x v="1"/>
    <s v="Monitors"/>
    <s v="MON-9227"/>
    <n v="135.12"/>
    <n v="301.7"/>
    <x v="65"/>
    <b v="0"/>
    <n v="47"/>
    <n v="12194.714"/>
    <n v="6350.64"/>
    <n v="5844.0739999999996"/>
    <n v="0.47923009920527859"/>
    <s v="Low"/>
    <s v="Met"/>
    <x v="0"/>
  </r>
  <r>
    <s v="ORD-2024-247032"/>
    <d v="2024-04-21T00:00:00"/>
    <s v="Apr-2024"/>
    <s v="Q2-2024"/>
    <d v="2024-05-19T00:00:00"/>
    <d v="2024-05-19T00:00:00"/>
    <n v="28"/>
    <x v="1"/>
    <s v="Nigeria"/>
    <s v="Lagos"/>
    <s v="Corporate"/>
    <s v="Distributor"/>
    <x v="13"/>
    <s v="Accessories"/>
    <s v="ACC-2990"/>
    <n v="187.22"/>
    <n v="309.47000000000003"/>
    <x v="33"/>
    <b v="0"/>
    <n v="5"/>
    <n v="1547.3500000000001"/>
    <n v="936.1"/>
    <n v="611.25000000000011"/>
    <n v="0.39503021294471197"/>
    <s v="Low"/>
    <s v="Not Met"/>
    <x v="0"/>
  </r>
  <r>
    <s v="ORD-2025-473192"/>
    <d v="2025-03-30T00:00:00"/>
    <s v="Mar-2025"/>
    <s v="Q1-2025"/>
    <d v="2025-04-29T00:00:00"/>
    <d v="2025-04-29T00:00:00"/>
    <n v="30"/>
    <x v="1"/>
    <s v="South Africa"/>
    <s v="Durban"/>
    <s v="Consumer"/>
    <s v="Marketplace"/>
    <x v="3"/>
    <s v="Monitors"/>
    <s v="MON-7106"/>
    <n v="194.6"/>
    <n v="314.87"/>
    <x v="66"/>
    <b v="0"/>
    <n v="25"/>
    <n v="5565.3272500000003"/>
    <n v="4865"/>
    <n v="700.32725000000028"/>
    <n v="0.1258375686712763"/>
    <s v="Low"/>
    <s v="Not Met"/>
    <x v="1"/>
  </r>
  <r>
    <s v="ORD-2024-197852"/>
    <d v="2024-02-29T00:00:00"/>
    <s v="Feb-2024"/>
    <s v="Q1-2024"/>
    <d v="2024-03-30T00:00:00"/>
    <d v="2024-03-30T00:00:00"/>
    <n v="30"/>
    <x v="3"/>
    <s v="Japan"/>
    <s v="Nagoya"/>
    <s v="Small Business"/>
    <s v="Direct"/>
    <x v="1"/>
    <s v="Networking"/>
    <s v="NET-7588"/>
    <n v="231.11"/>
    <n v="318.17"/>
    <x v="67"/>
    <b v="0"/>
    <n v="60"/>
    <n v="15253.069799999999"/>
    <n v="13866.6"/>
    <n v="1386.4697999999989"/>
    <n v="9.0897754889969692E-2"/>
    <s v="Low"/>
    <s v="Not Met"/>
    <x v="1"/>
  </r>
  <r>
    <s v="ORD-2025-306903"/>
    <d v="2025-06-24T00:00:00"/>
    <s v="Jun-2025"/>
    <s v="Q2-2025"/>
    <d v="2025-07-23T00:00:00"/>
    <d v="2025-07-23T00:00:00"/>
    <n v="29"/>
    <x v="2"/>
    <s v="Canada"/>
    <s v="Vancouver"/>
    <s v="Non-Profit"/>
    <s v="Marketplace"/>
    <x v="1"/>
    <s v="Printers"/>
    <s v="PRN-3775"/>
    <n v="255.4"/>
    <n v="322.70999999999998"/>
    <x v="68"/>
    <b v="0"/>
    <n v="16"/>
    <n v="4569.5735999999997"/>
    <n v="4086.4"/>
    <n v="483.17359999999962"/>
    <n v="0.10573713048412212"/>
    <s v="Low"/>
    <s v="Not Met"/>
    <x v="0"/>
  </r>
  <r>
    <s v="ORD-2024-423853"/>
    <d v="2024-09-03T00:00:00"/>
    <s v="Sep-2024"/>
    <s v="Q3-2024"/>
    <d v="2024-09-08T00:00:00"/>
    <d v="2024-09-08T00:00:00"/>
    <n v="5"/>
    <x v="1"/>
    <s v="Nigeria"/>
    <s v="Lagos"/>
    <s v="Small Business"/>
    <s v="Direct"/>
    <x v="12"/>
    <s v="Printers"/>
    <s v="PRN-1141"/>
    <n v="197.63"/>
    <n v="325.79000000000002"/>
    <x v="69"/>
    <b v="0"/>
    <n v="10"/>
    <n v="2879.9836"/>
    <n v="1976.3"/>
    <n v="903.68360000000007"/>
    <n v="0.31378081458519419"/>
    <s v="Low"/>
    <s v="Met"/>
    <x v="0"/>
  </r>
  <r>
    <s v="ORD-2024-496601"/>
    <d v="2024-11-11T00:00:00"/>
    <s v="Nov-2024"/>
    <s v="Q4-2024"/>
    <d v="2024-11-24T00:00:00"/>
    <d v="2024-11-24T00:00:00"/>
    <n v="13"/>
    <x v="0"/>
    <s v="United Kingdom"/>
    <s v="London"/>
    <s v="Corporate"/>
    <s v="Retail"/>
    <x v="10"/>
    <s v="Networking"/>
    <s v="NET-2932"/>
    <n v="164.53"/>
    <n v="327.72"/>
    <x v="70"/>
    <b v="0"/>
    <n v="14"/>
    <n v="4280.6786400000001"/>
    <n v="2303.42"/>
    <n v="1977.25864"/>
    <n v="0.46190307805960412"/>
    <s v="Low"/>
    <s v="Not Met"/>
    <x v="0"/>
  </r>
  <r>
    <s v="ORD-2024-961501"/>
    <d v="2024-03-02T00:00:00"/>
    <s v="Mar-2024"/>
    <s v="Q1-2024"/>
    <d v="2024-03-23T00:00:00"/>
    <d v="2024-03-23T00:00:00"/>
    <n v="21"/>
    <x v="2"/>
    <s v="USA"/>
    <s v="Chicago"/>
    <s v="Small Business"/>
    <s v="Online"/>
    <x v="6"/>
    <s v="Components"/>
    <s v="CMP-3223"/>
    <n v="225.01"/>
    <n v="333.48"/>
    <x v="3"/>
    <b v="0"/>
    <n v="12"/>
    <n v="3525.5505600000001"/>
    <n v="2700.12"/>
    <n v="825.43056000000024"/>
    <n v="0.23412813004729685"/>
    <s v="Low"/>
    <s v="Not Met"/>
    <x v="0"/>
  </r>
  <r>
    <s v="ORD-2023-253245"/>
    <d v="2023-08-03T00:00:00"/>
    <s v="Aug-2023"/>
    <s v="Q3-2023"/>
    <d v="2023-08-14T00:00:00"/>
    <d v="2023-08-14T00:00:00"/>
    <n v="11"/>
    <x v="2"/>
    <s v="Brazil"/>
    <s v="Brasília"/>
    <s v="Corporate"/>
    <s v="Direct"/>
    <x v="3"/>
    <s v="Accessories"/>
    <s v="ACC-3951"/>
    <n v="232.73"/>
    <n v="334.19"/>
    <x v="6"/>
    <b v="0"/>
    <n v="25"/>
    <n v="7235.2134999999998"/>
    <n v="5818.25"/>
    <n v="1416.9634999999998"/>
    <n v="0.1958426658729559"/>
    <s v="Low"/>
    <s v="Not Met"/>
    <x v="0"/>
  </r>
  <r>
    <s v="ORD-2024-851883"/>
    <d v="2024-01-13T00:00:00"/>
    <s v="Jan-2024"/>
    <s v="Q1-2024"/>
    <d v="2024-01-22T00:00:00"/>
    <d v="2024-01-22T00:00:00"/>
    <n v="9"/>
    <x v="3"/>
    <s v="India"/>
    <s v="Mumbai"/>
    <s v="Enterprise"/>
    <s v="Marketplace"/>
    <x v="3"/>
    <s v="Components"/>
    <s v="CMP-8141"/>
    <n v="313.60000000000002"/>
    <n v="334.28"/>
    <x v="65"/>
    <b v="0"/>
    <n v="22"/>
    <n v="6324.5775999999996"/>
    <n v="6899.2000000000007"/>
    <n v="-574.62240000000111"/>
    <n v="-9.0855458868905517E-2"/>
    <s v="Low"/>
    <s v="Not Met"/>
    <x v="0"/>
  </r>
  <r>
    <s v="ORD-2023-613317"/>
    <d v="2023-01-22T00:00:00"/>
    <s v="Jan-2023"/>
    <s v="Q1-2023"/>
    <d v="2023-01-21T00:00:00"/>
    <d v="2023-02-05T00:00:00"/>
    <n v="14"/>
    <x v="0"/>
    <s v="Germany"/>
    <s v="Munich"/>
    <s v="Corporate"/>
    <s v="Direct"/>
    <x v="6"/>
    <s v="Monitors"/>
    <s v="MON-2537"/>
    <n v="150.86000000000001"/>
    <n v="346.96"/>
    <x v="71"/>
    <b v="0"/>
    <n v="8"/>
    <n v="2231.6467200000002"/>
    <n v="1206.8800000000001"/>
    <n v="1024.7667200000001"/>
    <n v="0.45919755614365343"/>
    <s v="Low"/>
    <s v="Not Met"/>
    <x v="0"/>
  </r>
  <r>
    <s v="ORD-2023-713614"/>
    <d v="2023-08-02T00:00:00"/>
    <s v="Aug-2023"/>
    <s v="Q3-2023"/>
    <d v="2023-08-19T00:00:00"/>
    <d v="2023-08-19T00:00:00"/>
    <n v="17"/>
    <x v="2"/>
    <s v="Canada"/>
    <s v="Vancouver"/>
    <s v="Corporate"/>
    <s v="Online"/>
    <x v="6"/>
    <s v="Networking"/>
    <s v="NET-3689"/>
    <n v="175.38"/>
    <n v="347.9"/>
    <x v="13"/>
    <b v="0"/>
    <n v="43"/>
    <n v="13882.6016"/>
    <n v="7541.34"/>
    <n v="6341.2615999999998"/>
    <n v="0.45677761148169804"/>
    <s v="Low"/>
    <s v="Not Met"/>
    <x v="0"/>
  </r>
  <r>
    <s v="ORD-2024-166150"/>
    <d v="2024-06-02T00:00:00"/>
    <s v="Jun-2024"/>
    <s v="Q2-2024"/>
    <d v="2024-06-08T00:00:00"/>
    <d v="2024-06-08T00:00:00"/>
    <n v="6"/>
    <x v="1"/>
    <s v="Kenya"/>
    <s v="Kisumu"/>
    <s v="Consumer"/>
    <s v="Marketplace"/>
    <x v="13"/>
    <s v="Accessories"/>
    <s v="ACC-9820"/>
    <n v="292.94"/>
    <n v="356.55"/>
    <x v="72"/>
    <b v="0"/>
    <n v="2"/>
    <n v="549.80010000000004"/>
    <n v="585.88"/>
    <n v="-36.079899999999952"/>
    <n v="-6.5623669402751925E-2"/>
    <s v="Low"/>
    <s v="Met"/>
    <x v="1"/>
  </r>
  <r>
    <s v="ORD-2023-799597"/>
    <d v="2023-03-14T00:00:00"/>
    <s v="Mar-2023"/>
    <s v="Q1-2023"/>
    <d v="2023-03-18T00:00:00"/>
    <d v="2023-03-18T00:00:00"/>
    <n v="4"/>
    <x v="0"/>
    <s v="Germany"/>
    <s v="Frankfurt"/>
    <s v="Enterprise"/>
    <s v="Direct"/>
    <x v="13"/>
    <s v="Components"/>
    <s v="CMP-8675"/>
    <n v="472.33"/>
    <n v="360.34"/>
    <x v="73"/>
    <b v="0"/>
    <n v="14"/>
    <n v="4212.3745999999992"/>
    <n v="6612.62"/>
    <n v="-2400.2454000000007"/>
    <n v="-0.56980815523861561"/>
    <s v="Low"/>
    <s v="Met"/>
    <x v="0"/>
  </r>
  <r>
    <s v="ORD-2024-605518"/>
    <d v="2024-05-30T00:00:00"/>
    <s v="May-2024"/>
    <s v="Q2-2024"/>
    <d v="2024-06-13T00:00:00"/>
    <d v="2024-06-13T00:00:00"/>
    <n v="14"/>
    <x v="2"/>
    <s v="USA"/>
    <s v="San Francisco"/>
    <s v="Small Business"/>
    <s v="Retail"/>
    <x v="6"/>
    <s v="Phones"/>
    <s v="PHN-4356"/>
    <n v="157.78"/>
    <n v="361.1"/>
    <x v="74"/>
    <b v="0"/>
    <n v="9"/>
    <n v="2642.1686999999997"/>
    <n v="1420.02"/>
    <n v="1222.1486999999997"/>
    <n v="0.46255513510549112"/>
    <s v="Low"/>
    <s v="Not Met"/>
    <x v="0"/>
  </r>
  <r>
    <s v="ORD-2023-177794"/>
    <d v="2023-05-04T00:00:00"/>
    <s v="May-2023"/>
    <s v="Q2-2023"/>
    <d v="2023-05-26T00:00:00"/>
    <d v="2023-05-26T00:00:00"/>
    <n v="22"/>
    <x v="2"/>
    <s v="USA"/>
    <s v="San Francisco"/>
    <s v="Enterprise"/>
    <s v="Online"/>
    <x v="3"/>
    <s v="Networking"/>
    <s v="NET-5941"/>
    <n v="249.71"/>
    <n v="361.33"/>
    <x v="75"/>
    <b v="0"/>
    <n v="12"/>
    <n v="3928.3797600000003"/>
    <n v="2996.52"/>
    <n v="931.85976000000028"/>
    <n v="0.23721223937881206"/>
    <s v="Low"/>
    <s v="Not Met"/>
    <x v="0"/>
  </r>
  <r>
    <s v="ORD-2023-811823"/>
    <d v="2023-01-26T00:00:00"/>
    <s v="Jan-2023"/>
    <s v="Q1-2023"/>
    <d v="2023-02-15T00:00:00"/>
    <d v="2023-02-15T00:00:00"/>
    <n v="20"/>
    <x v="0"/>
    <s v="Germany"/>
    <s v="Berlin"/>
    <s v="Small Business"/>
    <s v="Online"/>
    <x v="11"/>
    <s v="Networking"/>
    <s v="NET-8787"/>
    <n v="492.62"/>
    <n v="366.7"/>
    <x v="47"/>
    <b v="0"/>
    <n v="10"/>
    <n v="3340.6370000000002"/>
    <n v="4926.2"/>
    <n v="-1585.5629999999996"/>
    <n v="-0.47462894052840809"/>
    <s v="Low"/>
    <s v="Not Met"/>
    <x v="0"/>
  </r>
  <r>
    <s v="ORD-2023-419187"/>
    <d v="2023-03-31T00:00:00"/>
    <s v="Mar-2023"/>
    <s v="Q1-2023"/>
    <d v="2023-04-05T00:00:00"/>
    <d v="2023-04-05T00:00:00"/>
    <n v="5"/>
    <x v="1"/>
    <s v="Kenya"/>
    <s v="Nakuru"/>
    <s v="Education"/>
    <s v="Marketplace"/>
    <x v="4"/>
    <s v="Laptops"/>
    <s v="LAP-7819"/>
    <n v="533.26"/>
    <n v="385.72"/>
    <x v="33"/>
    <b v="0"/>
    <n v="15"/>
    <n v="5785.8"/>
    <n v="7998.9"/>
    <n v="-2213.0999999999995"/>
    <n v="-0.38250544436378708"/>
    <s v="Low"/>
    <s v="Met"/>
    <x v="0"/>
  </r>
  <r>
    <s v="ORD-2025-114382"/>
    <d v="2025-05-14T00:00:00"/>
    <s v="May-2025"/>
    <s v="Q2-2025"/>
    <d v="2025-05-24T00:00:00"/>
    <d v="2025-05-24T00:00:00"/>
    <n v="10"/>
    <x v="0"/>
    <s v="France"/>
    <s v="Paris"/>
    <s v="Small Business"/>
    <s v="Marketplace"/>
    <x v="12"/>
    <s v="Components"/>
    <s v="CMP-2865"/>
    <n v="170.39"/>
    <n v="388.04"/>
    <x v="76"/>
    <b v="0"/>
    <n v="15"/>
    <n v="5331.6696000000002"/>
    <n v="2555.85"/>
    <n v="2775.8196000000003"/>
    <n v="0.52062858508711796"/>
    <s v="Low"/>
    <s v="Not Met"/>
    <x v="0"/>
  </r>
  <r>
    <s v="ORD-2023-157993"/>
    <d v="2023-04-18T00:00:00"/>
    <s v="Apr-2023"/>
    <s v="Q2-2023"/>
    <d v="2023-05-18T00:00:00"/>
    <d v="2023-05-18T00:00:00"/>
    <n v="30"/>
    <x v="3"/>
    <s v="China"/>
    <s v="Shenzhen"/>
    <s v="Non-Profit"/>
    <s v="Retail"/>
    <x v="2"/>
    <s v="Laptops"/>
    <s v="LAP-1482"/>
    <n v="329.03"/>
    <n v="391.15"/>
    <x v="43"/>
    <b v="0"/>
    <n v="46"/>
    <n v="14448.298699999998"/>
    <n v="15135.38"/>
    <n v="-687.08130000000165"/>
    <n v="-4.7554477815440081E-2"/>
    <s v="Low"/>
    <s v="Not Met"/>
    <x v="0"/>
  </r>
  <r>
    <s v="ORD-2023-613287"/>
    <d v="2023-03-31T00:00:00"/>
    <s v="Mar-2023"/>
    <s v="Q1-2023"/>
    <d v="2023-04-12T00:00:00"/>
    <d v="2023-04-12T00:00:00"/>
    <n v="12"/>
    <x v="1"/>
    <s v="Kenya"/>
    <s v="Mombasa"/>
    <s v="Small Business"/>
    <s v="Online"/>
    <x v="8"/>
    <s v="Phones"/>
    <s v="PHN-8014"/>
    <n v="304.22000000000003"/>
    <n v="393.31"/>
    <x v="77"/>
    <b v="0"/>
    <n v="15"/>
    <n v="4336.2427499999994"/>
    <n v="4563.3"/>
    <n v="-227.05725000000075"/>
    <n v="-5.2362670424759034E-2"/>
    <s v="Low"/>
    <s v="Not Met"/>
    <x v="1"/>
  </r>
  <r>
    <s v="ORD-2024-811752"/>
    <d v="2024-02-25T00:00:00"/>
    <s v="Feb-2024"/>
    <s v="Q1-2024"/>
    <d v="2024-03-09T00:00:00"/>
    <d v="2024-03-09T00:00:00"/>
    <n v="13"/>
    <x v="0"/>
    <s v="France"/>
    <s v="Marseille"/>
    <s v="Small Business"/>
    <s v="Distributor"/>
    <x v="10"/>
    <s v="Monitors"/>
    <s v="MON-3350"/>
    <n v="322.44"/>
    <n v="395.61"/>
    <x v="33"/>
    <b v="0"/>
    <n v="34"/>
    <n v="13450.74"/>
    <n v="10962.96"/>
    <n v="2487.7800000000007"/>
    <n v="0.18495487980586947"/>
    <s v="Low"/>
    <s v="Not Met"/>
    <x v="0"/>
  </r>
  <r>
    <s v="ORD-2025-591006"/>
    <d v="2025-06-25T00:00:00"/>
    <s v="Jun-2025"/>
    <s v="Q2-2025"/>
    <d v="2025-07-10T00:00:00"/>
    <d v="2025-07-10T00:00:00"/>
    <n v="15"/>
    <x v="0"/>
    <s v="United Kingdom"/>
    <s v="Birmingham"/>
    <s v="Non-Profit"/>
    <s v="Marketplace"/>
    <x v="0"/>
    <s v="Phones"/>
    <s v="PHN-5383"/>
    <n v="546.83000000000004"/>
    <n v="400.84"/>
    <x v="78"/>
    <b v="0"/>
    <n v="13"/>
    <n v="4804.4682400000002"/>
    <n v="7108.7900000000009"/>
    <n v="-2304.3217600000007"/>
    <n v="-0.47962056254533608"/>
    <s v="Low"/>
    <s v="Not Met"/>
    <x v="0"/>
  </r>
  <r>
    <s v="ORD-2024-569164"/>
    <d v="2024-09-05T00:00:00"/>
    <s v="Sep-2024"/>
    <s v="Q3-2024"/>
    <d v="2024-09-25T00:00:00"/>
    <d v="2024-09-25T00:00:00"/>
    <n v="20"/>
    <x v="3"/>
    <s v="Japan"/>
    <s v="Osaka"/>
    <s v="Enterprise"/>
    <s v="Distributor"/>
    <x v="0"/>
    <s v="Monitors"/>
    <s v="MON-5249"/>
    <n v="195.54"/>
    <n v="405.97"/>
    <x v="74"/>
    <b v="0"/>
    <n v="16"/>
    <n v="5280.8577599999999"/>
    <n v="3128.64"/>
    <n v="2152.21776"/>
    <n v="0.40755079152141377"/>
    <s v="Low"/>
    <s v="Not Met"/>
    <x v="0"/>
  </r>
  <r>
    <s v="ORD-2025-652467"/>
    <d v="2025-08-21T00:00:00"/>
    <s v="Aug-2025"/>
    <s v="Q3-2025"/>
    <d v="2025-09-12T00:00:00"/>
    <d v="2025-09-12T00:00:00"/>
    <n v="22"/>
    <x v="3"/>
    <s v="China"/>
    <s v="Shenzhen"/>
    <s v="Education"/>
    <s v="Retail"/>
    <x v="4"/>
    <s v="Printers"/>
    <s v="PRN-8137"/>
    <n v="352.66"/>
    <n v="411.18"/>
    <x v="16"/>
    <b v="0"/>
    <n v="13"/>
    <n v="4420.5961799999995"/>
    <n v="4584.58"/>
    <n v="-163.98382000000038"/>
    <n v="-3.7095408248758066E-2"/>
    <s v="Low"/>
    <s v="Not Met"/>
    <x v="0"/>
  </r>
  <r>
    <s v="ORD-2023-755337"/>
    <d v="2023-09-08T00:00:00"/>
    <s v="Sep-2023"/>
    <s v="Q3-2023"/>
    <d v="2023-09-14T00:00:00"/>
    <d v="2023-09-14T00:00:00"/>
    <n v="6"/>
    <x v="1"/>
    <s v="Kenya"/>
    <s v="Nakuru"/>
    <s v="Education"/>
    <s v="Direct"/>
    <x v="1"/>
    <s v="Accessories"/>
    <s v="ACC-4766"/>
    <n v="251.03"/>
    <n v="411.48"/>
    <x v="73"/>
    <b v="0"/>
    <n v="3"/>
    <n v="1030.7574"/>
    <n v="753.09"/>
    <n v="277.66739999999993"/>
    <n v="0.26938191275658069"/>
    <s v="Low"/>
    <s v="Met"/>
    <x v="0"/>
  </r>
  <r>
    <s v="ORD-2025-907040"/>
    <d v="2025-04-17T00:00:00"/>
    <s v="Apr-2025"/>
    <s v="Q2-2025"/>
    <d v="2025-05-03T00:00:00"/>
    <d v="2025-05-03T00:00:00"/>
    <n v="16"/>
    <x v="2"/>
    <s v="Brazil"/>
    <s v="Rio de Janeiro"/>
    <s v="Consumer"/>
    <s v="Marketplace"/>
    <x v="3"/>
    <s v="Networking"/>
    <s v="NET-8610"/>
    <n v="168.68"/>
    <n v="413.34"/>
    <x v="79"/>
    <b v="0"/>
    <n v="7"/>
    <n v="2355.2113199999999"/>
    <n v="1180.76"/>
    <n v="1174.4513199999999"/>
    <n v="0.49866069767361682"/>
    <s v="Low"/>
    <s v="Not Met"/>
    <x v="0"/>
  </r>
  <r>
    <s v="ORD-2023-191563"/>
    <d v="2023-11-30T00:00:00"/>
    <s v="Nov-2023"/>
    <s v="Q4-2023"/>
    <d v="2023-12-10T00:00:00"/>
    <d v="2023-12-10T00:00:00"/>
    <n v="10"/>
    <x v="0"/>
    <s v="Germany"/>
    <s v="Munich"/>
    <s v="Small Business"/>
    <s v="Direct"/>
    <x v="6"/>
    <s v="Laptops"/>
    <s v="LAP-4899"/>
    <n v="174.74"/>
    <n v="415.96"/>
    <x v="80"/>
    <b v="0"/>
    <n v="21"/>
    <n v="7643.2649999999994"/>
    <n v="3669.54"/>
    <n v="3973.7249999999995"/>
    <n v="0.51989889137691803"/>
    <s v="Low"/>
    <s v="Not Met"/>
    <x v="0"/>
  </r>
  <r>
    <s v="ORD-2025-541501"/>
    <d v="2025-07-22T00:00:00"/>
    <s v="Jul-2025"/>
    <s v="Q3-2025"/>
    <d v="2025-08-18T00:00:00"/>
    <d v="2025-08-18T00:00:00"/>
    <n v="27"/>
    <x v="3"/>
    <s v="China"/>
    <s v="Shenzhen"/>
    <s v="Non-Profit"/>
    <s v="Marketplace"/>
    <x v="7"/>
    <s v="Networking"/>
    <s v="NET-1804"/>
    <n v="547.32000000000005"/>
    <n v="419.17"/>
    <x v="63"/>
    <b v="0"/>
    <n v="14"/>
    <n v="5328.4890400000004"/>
    <n v="7662.4800000000005"/>
    <n v="-2333.9909600000001"/>
    <n v="-0.43802116181137907"/>
    <s v="Low"/>
    <s v="Not Met"/>
    <x v="0"/>
  </r>
  <r>
    <s v="ORD-2024-719055"/>
    <d v="2024-01-02T00:00:00"/>
    <s v="Jan-2024"/>
    <s v="Q1-2024"/>
    <d v="2024-01-01T00:00:00"/>
    <d v="2024-01-16T00:00:00"/>
    <n v="14"/>
    <x v="2"/>
    <s v="USA"/>
    <s v="Chicago"/>
    <s v="Education"/>
    <s v="Marketplace"/>
    <x v="4"/>
    <s v="Networking"/>
    <s v="NET-4554"/>
    <n v="404.77"/>
    <n v="433.88"/>
    <x v="14"/>
    <b v="0"/>
    <n v="22"/>
    <n v="7493.1076000000012"/>
    <n v="8904.9399999999987"/>
    <n v="-1411.8323999999975"/>
    <n v="-0.18841747314558746"/>
    <s v="Low"/>
    <s v="Not Met"/>
    <x v="1"/>
  </r>
  <r>
    <s v="ORD-2023-867166"/>
    <d v="2023-04-13T00:00:00"/>
    <s v="Apr-2023"/>
    <s v="Q2-2023"/>
    <d v="2023-04-20T00:00:00"/>
    <d v="2023-04-20T00:00:00"/>
    <n v="7"/>
    <x v="0"/>
    <s v="France"/>
    <s v="Lyon"/>
    <s v="Small Business"/>
    <s v="Online"/>
    <x v="13"/>
    <s v="Laptops"/>
    <s v="LAP-3565"/>
    <n v="227.02"/>
    <n v="434.72"/>
    <x v="81"/>
    <b v="0"/>
    <n v="10"/>
    <n v="3921.1744000000008"/>
    <n v="2270.2000000000003"/>
    <n v="1650.9744000000005"/>
    <n v="0.42104079838938052"/>
    <s v="Low"/>
    <s v="Met"/>
    <x v="0"/>
  </r>
  <r>
    <s v="ORD-2023-897079"/>
    <d v="2023-04-14T00:00:00"/>
    <s v="Apr-2023"/>
    <s v="Q2-2023"/>
    <d v="2023-05-14T00:00:00"/>
    <d v="2023-05-14T00:00:00"/>
    <n v="30"/>
    <x v="1"/>
    <s v="Kenya"/>
    <s v="Nakuru"/>
    <s v="Consumer"/>
    <s v="Marketplace"/>
    <x v="7"/>
    <s v="Phones"/>
    <s v="PHN-1784"/>
    <n v="209.25"/>
    <n v="434.8"/>
    <x v="33"/>
    <b v="0"/>
    <n v="9"/>
    <n v="3913.2000000000003"/>
    <n v="1883.25"/>
    <n v="2029.9500000000003"/>
    <n v="0.51874425022999082"/>
    <s v="Low"/>
    <s v="Not Met"/>
    <x v="0"/>
  </r>
  <r>
    <s v="ORD-2023-660608"/>
    <d v="2023-07-25T00:00:00"/>
    <s v="Jul-2023"/>
    <s v="Q3-2023"/>
    <d v="2023-08-10T00:00:00"/>
    <d v="2023-08-10T00:00:00"/>
    <n v="16"/>
    <x v="1"/>
    <s v="Nigeria"/>
    <s v="Port Harcourt"/>
    <s v="Corporate"/>
    <s v="Distributor"/>
    <x v="1"/>
    <s v="Accessories"/>
    <s v="ACC-8178"/>
    <n v="506.83"/>
    <n v="441.74"/>
    <x v="82"/>
    <b v="0"/>
    <n v="9"/>
    <n v="3021.5016000000001"/>
    <n v="4561.47"/>
    <n v="-1539.9684000000002"/>
    <n v="-0.50966989393618067"/>
    <s v="Low"/>
    <s v="Not Met"/>
    <x v="1"/>
  </r>
  <r>
    <s v="ORD-2023-651638"/>
    <d v="2023-06-17T00:00:00"/>
    <s v="Jun-2023"/>
    <s v="Q2-2023"/>
    <d v="2023-06-24T00:00:00"/>
    <d v="2023-06-24T00:00:00"/>
    <n v="7"/>
    <x v="2"/>
    <s v="USA"/>
    <s v="San Francisco"/>
    <s v="Corporate"/>
    <s v="Retail"/>
    <x v="1"/>
    <s v="Printers"/>
    <s v="PRN-6536"/>
    <n v="313.99"/>
    <n v="454.42"/>
    <x v="22"/>
    <b v="0"/>
    <n v="9"/>
    <n v="3562.1983800000003"/>
    <n v="2825.91"/>
    <n v="736.28838000000042"/>
    <n v="0.20669493988147858"/>
    <s v="Low"/>
    <s v="Met"/>
    <x v="0"/>
  </r>
  <r>
    <s v="ORD-2023-735274"/>
    <d v="2023-02-23T00:00:00"/>
    <s v="Feb-2023"/>
    <s v="Q1-2023"/>
    <d v="2023-03-08T00:00:00"/>
    <d v="2023-03-08T00:00:00"/>
    <n v="13"/>
    <x v="0"/>
    <s v="United Kingdom"/>
    <s v="Manchester"/>
    <s v="Small Business"/>
    <s v="Direct"/>
    <x v="8"/>
    <s v="Printers"/>
    <s v="PRN-7410"/>
    <n v="307.37"/>
    <n v="462.61"/>
    <x v="83"/>
    <b v="0"/>
    <n v="11"/>
    <n v="4132.0325200000007"/>
    <n v="3381.07"/>
    <n v="750.9625200000005"/>
    <n v="0.18174167709599739"/>
    <s v="Low"/>
    <s v="Not Met"/>
    <x v="0"/>
  </r>
  <r>
    <s v="ORD-2024-792137"/>
    <d v="2024-03-02T00:00:00"/>
    <s v="Mar-2024"/>
    <s v="Q1-2024"/>
    <d v="2024-03-16T00:00:00"/>
    <d v="2024-03-16T00:00:00"/>
    <n v="14"/>
    <x v="2"/>
    <s v="Canada"/>
    <s v="Vancouver"/>
    <s v="Non-Profit"/>
    <s v="Direct"/>
    <x v="11"/>
    <s v="Printers"/>
    <s v="PRN-7976"/>
    <n v="248.24"/>
    <n v="464.05"/>
    <x v="84"/>
    <b v="0"/>
    <n v="11"/>
    <n v="4241.88105"/>
    <n v="2730.6400000000003"/>
    <n v="1511.2410499999996"/>
    <n v="0.3562667203975462"/>
    <s v="Low"/>
    <s v="Not Met"/>
    <x v="0"/>
  </r>
  <r>
    <s v="ORD-2025-501927"/>
    <d v="2025-03-03T00:00:00"/>
    <s v="Mar-2025"/>
    <s v="Q1-2025"/>
    <d v="2025-03-24T00:00:00"/>
    <d v="2025-03-24T00:00:00"/>
    <n v="21"/>
    <x v="1"/>
    <s v="Nigeria"/>
    <s v="Abuja"/>
    <s v="Enterprise"/>
    <s v="Direct"/>
    <x v="2"/>
    <s v="Accessories"/>
    <s v="ACC-4056"/>
    <n v="555.95000000000005"/>
    <n v="468.09"/>
    <x v="85"/>
    <b v="0"/>
    <n v="11"/>
    <n v="4417.8334199999999"/>
    <n v="6115.4500000000007"/>
    <n v="-1697.6165800000008"/>
    <n v="-0.38426450674095375"/>
    <s v="Low"/>
    <s v="Not Met"/>
    <x v="0"/>
  </r>
  <r>
    <s v="ORD-2023-363031"/>
    <d v="2023-05-06T00:00:00"/>
    <s v="May-2023"/>
    <s v="Q2-2023"/>
    <d v="2023-05-14T00:00:00"/>
    <d v="2023-05-14T00:00:00"/>
    <n v="8"/>
    <x v="3"/>
    <s v="Japan"/>
    <s v="Osaka"/>
    <s v="Enterprise"/>
    <s v="Marketplace"/>
    <x v="4"/>
    <s v="Phones"/>
    <s v="PHN-6131"/>
    <n v="291.18"/>
    <n v="479.54"/>
    <x v="86"/>
    <b v="0"/>
    <n v="22"/>
    <n v="9062.34692"/>
    <n v="6405.96"/>
    <n v="2656.3869199999999"/>
    <n v="0.29312350801066001"/>
    <s v="Low"/>
    <s v="Not Met"/>
    <x v="0"/>
  </r>
  <r>
    <s v="ORD-2023-156396"/>
    <d v="2023-02-21T00:00:00"/>
    <s v="Feb-2023"/>
    <s v="Q1-2023"/>
    <d v="2023-03-12T00:00:00"/>
    <d v="2023-03-12T00:00:00"/>
    <n v="19"/>
    <x v="1"/>
    <s v="Kenya"/>
    <s v="Nakuru"/>
    <s v="Corporate"/>
    <s v="Online"/>
    <x v="6"/>
    <s v="Networking"/>
    <s v="NET-2499"/>
    <n v="352.65"/>
    <n v="485.86"/>
    <x v="87"/>
    <b v="0"/>
    <n v="6"/>
    <n v="2795.6384399999997"/>
    <n v="2115.8999999999996"/>
    <n v="679.73844000000008"/>
    <n v="0.24314247159943908"/>
    <s v="Low"/>
    <s v="Not Met"/>
    <x v="0"/>
  </r>
  <r>
    <s v="ORD-2025-155182"/>
    <d v="2025-07-11T00:00:00"/>
    <s v="Jul-2025"/>
    <s v="Q3-2025"/>
    <d v="2025-08-03T00:00:00"/>
    <d v="2025-08-03T00:00:00"/>
    <n v="23"/>
    <x v="1"/>
    <s v="Kenya"/>
    <s v="Nakuru"/>
    <s v="Small Business"/>
    <s v="Retail"/>
    <x v="8"/>
    <s v="Phones"/>
    <s v="PHN-7636"/>
    <n v="389.93"/>
    <n v="486.13"/>
    <x v="8"/>
    <b v="0"/>
    <n v="17"/>
    <n v="7173.3342799999991"/>
    <n v="6628.81"/>
    <n v="544.52427999999873"/>
    <n v="7.5909508569562828E-2"/>
    <s v="Low"/>
    <s v="Not Met"/>
    <x v="0"/>
  </r>
  <r>
    <s v="ORD-2025-252117"/>
    <d v="2025-04-28T00:00:00"/>
    <s v="Apr-2025"/>
    <s v="Q2-2025"/>
    <d v="2025-05-19T00:00:00"/>
    <d v="2025-05-19T00:00:00"/>
    <n v="21"/>
    <x v="0"/>
    <s v="Germany"/>
    <s v="Berlin"/>
    <s v="Corporate"/>
    <s v="Distributor"/>
    <x v="4"/>
    <s v="Phones"/>
    <s v="PHN-2462"/>
    <n v="350.76"/>
    <n v="492.18"/>
    <x v="88"/>
    <b v="0"/>
    <n v="11"/>
    <n v="5127.0390600000001"/>
    <n v="3858.3599999999997"/>
    <n v="1268.6790600000004"/>
    <n v="0.24744868239798437"/>
    <s v="Low"/>
    <s v="Not Met"/>
    <x v="0"/>
  </r>
  <r>
    <s v="ORD-2023-769774"/>
    <d v="2023-06-13T00:00:00"/>
    <s v="Jun-2023"/>
    <s v="Q2-2023"/>
    <d v="2023-06-24T00:00:00"/>
    <d v="2023-06-24T00:00:00"/>
    <n v="11"/>
    <x v="2"/>
    <s v="Canada"/>
    <s v="Toronto"/>
    <s v="Corporate"/>
    <s v="Online"/>
    <x v="8"/>
    <s v="Printers"/>
    <s v="PRN-8008"/>
    <n v="247.07"/>
    <n v="495.19"/>
    <x v="89"/>
    <b v="0"/>
    <n v="4"/>
    <n v="1925.29872"/>
    <n v="988.28"/>
    <n v="937.01872000000003"/>
    <n v="0.48668744764968214"/>
    <s v="Low"/>
    <s v="Not Met"/>
    <x v="0"/>
  </r>
  <r>
    <s v="ORD-2023-581799"/>
    <d v="2023-12-05T00:00:00"/>
    <s v="Dec-2023"/>
    <s v="Q4-2023"/>
    <d v="2023-12-12T00:00:00"/>
    <d v="2023-12-12T00:00:00"/>
    <n v="7"/>
    <x v="2"/>
    <s v="Brazil"/>
    <s v="Brasília"/>
    <s v="Corporate"/>
    <s v="Direct"/>
    <x v="6"/>
    <s v="Phones"/>
    <s v="PHN-6506"/>
    <n v="307.43"/>
    <n v="495.19"/>
    <x v="33"/>
    <b v="0"/>
    <n v="42"/>
    <n v="20797.98"/>
    <n v="12912.06"/>
    <n v="7885.92"/>
    <n v="0.37916759223732305"/>
    <s v="Low"/>
    <s v="Met"/>
    <x v="0"/>
  </r>
  <r>
    <s v="ORD-2023-967239"/>
    <d v="2023-12-24T00:00:00"/>
    <s v="Dec-2023"/>
    <s v="Q4-2023"/>
    <d v="2024-01-01T00:00:00"/>
    <d v="2024-01-01T00:00:00"/>
    <n v="8"/>
    <x v="2"/>
    <s v="Brazil"/>
    <s v="São Paulo"/>
    <s v="Education"/>
    <s v="Direct"/>
    <x v="8"/>
    <s v="Phones"/>
    <s v="PHN-3014"/>
    <n v="526.49"/>
    <n v="496.2"/>
    <x v="33"/>
    <b v="0"/>
    <n v="14"/>
    <n v="6946.8"/>
    <n v="7370.8600000000006"/>
    <n v="-424.0600000000004"/>
    <n v="-6.1043933897621985E-2"/>
    <s v="Low"/>
    <s v="Not Met"/>
    <x v="0"/>
  </r>
  <r>
    <s v="ORD-2023-713375"/>
    <d v="2023-08-26T00:00:00"/>
    <s v="Aug-2023"/>
    <s v="Q3-2023"/>
    <d v="2023-09-10T00:00:00"/>
    <d v="2023-09-10T00:00:00"/>
    <n v="15"/>
    <x v="1"/>
    <s v="South Africa"/>
    <s v="Cape Town"/>
    <s v="Non-Profit"/>
    <s v="Direct"/>
    <x v="9"/>
    <s v="Components"/>
    <s v="CMP-7063"/>
    <n v="241.14"/>
    <n v="496.52"/>
    <x v="90"/>
    <b v="0"/>
    <n v="10"/>
    <n v="4503.4363999999996"/>
    <n v="2411.3999999999996"/>
    <n v="2092.0364"/>
    <n v="0.46454223268257994"/>
    <s v="Low"/>
    <s v="Not Met"/>
    <x v="0"/>
  </r>
  <r>
    <s v="ORD-2023-987700"/>
    <d v="2023-04-05T00:00:00"/>
    <s v="Apr-2023"/>
    <s v="Q2-2023"/>
    <d v="2023-04-16T00:00:00"/>
    <d v="2023-04-16T00:00:00"/>
    <n v="11"/>
    <x v="2"/>
    <s v="Canada"/>
    <s v="Vancouver"/>
    <s v="Non-Profit"/>
    <s v="Online"/>
    <x v="11"/>
    <s v="Monitors"/>
    <s v="MON-5259"/>
    <n v="213.1"/>
    <n v="501.31"/>
    <x v="60"/>
    <b v="0"/>
    <n v="15"/>
    <n v="7098.5495999999994"/>
    <n v="3196.5"/>
    <n v="3902.0495999999994"/>
    <n v="0.54969674368409005"/>
    <s v="Low"/>
    <s v="Not Met"/>
    <x v="0"/>
  </r>
  <r>
    <s v="ORD-2024-720756"/>
    <d v="2024-10-11T00:00:00"/>
    <s v="Oct-2024"/>
    <s v="Q4-2024"/>
    <d v="2024-11-09T00:00:00"/>
    <d v="2024-11-09T00:00:00"/>
    <n v="29"/>
    <x v="3"/>
    <s v="China"/>
    <s v="Shanghai"/>
    <s v="Non-Profit"/>
    <s v="Online"/>
    <x v="6"/>
    <s v="Printers"/>
    <s v="PRN-5666"/>
    <n v="391.64"/>
    <n v="504.76"/>
    <x v="91"/>
    <b v="0"/>
    <n v="13"/>
    <n v="6535.6324800000002"/>
    <n v="5091.32"/>
    <n v="1444.3124800000005"/>
    <n v="0.22099046793402319"/>
    <s v="Low"/>
    <s v="Not Met"/>
    <x v="0"/>
  </r>
  <r>
    <s v="ORD-2023-602648"/>
    <d v="2023-06-20T00:00:00"/>
    <s v="Jun-2023"/>
    <s v="Q2-2023"/>
    <d v="2023-07-08T00:00:00"/>
    <d v="2023-07-08T00:00:00"/>
    <n v="18"/>
    <x v="2"/>
    <s v="USA"/>
    <s v="Austin"/>
    <s v="Non-Profit"/>
    <s v="Direct"/>
    <x v="6"/>
    <s v="Monitors"/>
    <s v="MON-4326"/>
    <n v="337"/>
    <n v="511.03"/>
    <x v="92"/>
    <b v="0"/>
    <n v="7"/>
    <n v="3190.8713200000002"/>
    <n v="2359"/>
    <n v="831.8713200000002"/>
    <n v="0.26070349963219458"/>
    <s v="Low"/>
    <s v="Not Met"/>
    <x v="0"/>
  </r>
  <r>
    <s v="ORD-2023-375011"/>
    <d v="2023-08-23T00:00:00"/>
    <s v="Aug-2023"/>
    <s v="Q3-2023"/>
    <d v="2023-09-22T00:00:00"/>
    <d v="2023-09-22T00:00:00"/>
    <n v="30"/>
    <x v="0"/>
    <s v="United Kingdom"/>
    <s v="London"/>
    <s v="Consumer"/>
    <s v="Distributor"/>
    <x v="11"/>
    <s v="Accessories"/>
    <s v="ACC-1492"/>
    <n v="209.81"/>
    <n v="523"/>
    <x v="93"/>
    <b v="0"/>
    <n v="15"/>
    <n v="7382.1450000000004"/>
    <n v="3147.15"/>
    <n v="4234.9950000000008"/>
    <n v="0.57368082041195356"/>
    <s v="Low"/>
    <s v="Not Met"/>
    <x v="0"/>
  </r>
  <r>
    <s v="ORD-2023-848013"/>
    <d v="2023-02-20T00:00:00"/>
    <s v="Feb-2023"/>
    <s v="Q1-2023"/>
    <d v="2023-03-04T00:00:00"/>
    <d v="2023-03-04T00:00:00"/>
    <n v="12"/>
    <x v="3"/>
    <s v="India"/>
    <s v="Delhi"/>
    <s v="Consumer"/>
    <s v="Distributor"/>
    <x v="7"/>
    <s v="Monitors"/>
    <s v="MON-9906"/>
    <n v="299.75"/>
    <n v="523.01"/>
    <x v="20"/>
    <b v="0"/>
    <n v="50"/>
    <n v="22044.871499999997"/>
    <n v="14987.5"/>
    <n v="7057.3714999999975"/>
    <n v="0.32013665854210122"/>
    <s v="Low"/>
    <s v="Not Met"/>
    <x v="0"/>
  </r>
  <r>
    <s v="ORD-2024-136321"/>
    <d v="2024-08-07T00:00:00"/>
    <s v="Aug-2024"/>
    <s v="Q3-2024"/>
    <d v="2024-08-17T00:00:00"/>
    <d v="2024-08-17T00:00:00"/>
    <n v="10"/>
    <x v="3"/>
    <s v="Japan"/>
    <s v="Osaka"/>
    <s v="Consumer"/>
    <s v="Online"/>
    <x v="12"/>
    <s v="Networking"/>
    <s v="NET-7924"/>
    <n v="436.58"/>
    <n v="527.48"/>
    <x v="94"/>
    <b v="0"/>
    <n v="19"/>
    <n v="8909.6646800000017"/>
    <n v="8295.02"/>
    <n v="614.64468000000124"/>
    <n v="6.8986286473802644E-2"/>
    <s v="Low"/>
    <s v="Not Met"/>
    <x v="0"/>
  </r>
  <r>
    <s v="ORD-2024-250862"/>
    <d v="2024-10-25T00:00:00"/>
    <s v="Oct-2024"/>
    <s v="Q4-2024"/>
    <d v="2024-11-05T00:00:00"/>
    <d v="2024-11-05T00:00:00"/>
    <n v="11"/>
    <x v="2"/>
    <s v="USA"/>
    <s v="New York"/>
    <s v="Corporate"/>
    <s v="Distributor"/>
    <x v="9"/>
    <s v="Components"/>
    <s v="CMP-9498"/>
    <n v="446.66"/>
    <n v="527.64"/>
    <x v="95"/>
    <b v="0"/>
    <n v="15"/>
    <n v="6766.9829999999993"/>
    <n v="6699.9000000000005"/>
    <n v="67.082999999998719"/>
    <n v="9.9132804087137105E-3"/>
    <s v="Low"/>
    <s v="Not Met"/>
    <x v="0"/>
  </r>
  <r>
    <s v="ORD-2025-512310"/>
    <d v="2025-03-08T00:00:00"/>
    <s v="Mar-2025"/>
    <s v="Q1-2025"/>
    <d v="2025-03-15T00:00:00"/>
    <d v="2025-03-15T00:00:00"/>
    <n v="7"/>
    <x v="3"/>
    <s v="India"/>
    <s v="Bengaluru"/>
    <s v="Corporate"/>
    <s v="Distributor"/>
    <x v="12"/>
    <s v="Laptops"/>
    <s v="LAP-8119"/>
    <n v="475.66"/>
    <n v="529.14"/>
    <x v="71"/>
    <b v="0"/>
    <n v="11"/>
    <n v="4679.7141600000004"/>
    <n v="5232.26"/>
    <n v="-552.54583999999977"/>
    <n v="-0.11807256193613323"/>
    <s v="Low"/>
    <s v="Met"/>
    <x v="0"/>
  </r>
  <r>
    <s v="ORD-2025-354346"/>
    <d v="2025-01-09T00:00:00"/>
    <s v="Jan-2025"/>
    <s v="Q1-2025"/>
    <d v="2025-01-15T00:00:00"/>
    <d v="2025-01-15T00:00:00"/>
    <n v="6"/>
    <x v="3"/>
    <s v="China"/>
    <s v="Beijing"/>
    <s v="Education"/>
    <s v="Online"/>
    <x v="8"/>
    <s v="Phones"/>
    <s v="PHN-2875"/>
    <n v="304.77999999999997"/>
    <n v="537.27"/>
    <x v="74"/>
    <b v="0"/>
    <n v="8"/>
    <n v="3494.4040799999998"/>
    <n v="2438.2399999999998"/>
    <n v="1056.16408"/>
    <n v="0.3022444044307549"/>
    <s v="Low"/>
    <s v="Met"/>
    <x v="0"/>
  </r>
  <r>
    <s v="ORD-2024-878493"/>
    <d v="2024-06-19T00:00:00"/>
    <s v="Jun-2024"/>
    <s v="Q2-2024"/>
    <d v="2024-06-20T00:00:00"/>
    <d v="2024-06-20T00:00:00"/>
    <n v="1"/>
    <x v="1"/>
    <s v="Kenya"/>
    <s v="Kisumu"/>
    <s v="Small Business"/>
    <s v="Direct"/>
    <x v="3"/>
    <s v="Laptops"/>
    <s v="LAP-4607"/>
    <n v="231.63"/>
    <n v="537.39"/>
    <x v="96"/>
    <b v="0"/>
    <n v="12"/>
    <n v="5932.7856000000002"/>
    <n v="2779.56"/>
    <n v="3153.2256000000002"/>
    <n v="0.53149158129024587"/>
    <s v="Low"/>
    <s v="Met"/>
    <x v="0"/>
  </r>
  <r>
    <s v="ORD-2024-942981"/>
    <d v="2024-10-09T00:00:00"/>
    <s v="Oct-2024"/>
    <s v="Q4-2024"/>
    <d v="2024-11-08T00:00:00"/>
    <d v="2024-11-08T00:00:00"/>
    <n v="30"/>
    <x v="0"/>
    <s v="United Kingdom"/>
    <s v="Manchester"/>
    <s v="Small Business"/>
    <s v="Distributor"/>
    <x v="3"/>
    <s v="Components"/>
    <s v="CMP-1072"/>
    <n v="343.85"/>
    <n v="538.04"/>
    <x v="97"/>
    <b v="0"/>
    <n v="5"/>
    <n v="2316.2621999999997"/>
    <n v="1719.25"/>
    <n v="597.01219999999967"/>
    <n v="0.25774810813732563"/>
    <s v="Low"/>
    <s v="Not Met"/>
    <x v="0"/>
  </r>
  <r>
    <s v="ORD-2025-484073"/>
    <d v="2025-02-19T00:00:00"/>
    <s v="Feb-2025"/>
    <s v="Q1-2025"/>
    <d v="2025-03-09T00:00:00"/>
    <d v="2025-03-09T00:00:00"/>
    <n v="18"/>
    <x v="3"/>
    <s v="India"/>
    <s v="Delhi"/>
    <s v="Small Business"/>
    <s v="Direct"/>
    <x v="11"/>
    <s v="Monitors"/>
    <s v="MON-1436"/>
    <n v="325.87"/>
    <n v="538.79"/>
    <x v="98"/>
    <b v="0"/>
    <n v="16"/>
    <n v="7120.6486400000003"/>
    <n v="5213.92"/>
    <n v="1906.7286400000003"/>
    <n v="0.26777457172778013"/>
    <s v="Low"/>
    <s v="Not Met"/>
    <x v="0"/>
  </r>
  <r>
    <s v="ORD-2025-192876"/>
    <d v="2025-01-31T00:00:00"/>
    <s v="Jan-2025"/>
    <s v="Q1-2025"/>
    <d v="2025-02-17T00:00:00"/>
    <d v="2025-02-17T00:00:00"/>
    <n v="17"/>
    <x v="0"/>
    <s v="United Kingdom"/>
    <s v="London"/>
    <s v="Enterprise"/>
    <s v="Retail"/>
    <x v="2"/>
    <s v="Components"/>
    <s v="CMP-5820"/>
    <n v="378.26"/>
    <n v="541.55999999999995"/>
    <x v="52"/>
    <b v="0"/>
    <n v="25"/>
    <n v="11332.142999999998"/>
    <n v="9456.5"/>
    <n v="1875.6429999999982"/>
    <n v="0.16551529573885526"/>
    <s v="Low"/>
    <s v="Not Met"/>
    <x v="0"/>
  </r>
  <r>
    <s v="ORD-2023-548934"/>
    <d v="2023-08-03T00:00:00"/>
    <s v="Aug-2023"/>
    <s v="Q3-2023"/>
    <d v="2023-08-30T00:00:00"/>
    <d v="2023-08-30T00:00:00"/>
    <n v="27"/>
    <x v="3"/>
    <s v="China"/>
    <s v="Shanghai"/>
    <s v="Consumer"/>
    <s v="Distributor"/>
    <x v="9"/>
    <s v="Monitors"/>
    <s v="MON-3773"/>
    <n v="226.04"/>
    <n v="545.72"/>
    <x v="11"/>
    <b v="0"/>
    <n v="11"/>
    <n v="5096.4790800000001"/>
    <n v="2486.44"/>
    <n v="2610.03908"/>
    <n v="0.51212592831834014"/>
    <s v="Low"/>
    <s v="Not Met"/>
    <x v="0"/>
  </r>
  <r>
    <s v="ORD-2024-800947"/>
    <d v="2024-12-15T00:00:00"/>
    <s v="Dec-2024"/>
    <s v="Q4-2024"/>
    <d v="2024-12-20T00:00:00"/>
    <d v="2024-12-20T00:00:00"/>
    <n v="5"/>
    <x v="3"/>
    <s v="China"/>
    <s v="Shenzhen"/>
    <s v="Small Business"/>
    <s v="Direct"/>
    <x v="3"/>
    <s v="Networking"/>
    <s v="NET-1846"/>
    <n v="717.55"/>
    <n v="546.42999999999995"/>
    <x v="7"/>
    <b v="0"/>
    <n v="18"/>
    <n v="9373.460219999999"/>
    <n v="12915.9"/>
    <n v="-3542.4397800000006"/>
    <n v="-0.37792231437026369"/>
    <s v="Low"/>
    <s v="Met"/>
    <x v="0"/>
  </r>
  <r>
    <s v="ORD-2025-487261"/>
    <d v="2025-03-06T00:00:00"/>
    <s v="Mar-2025"/>
    <s v="Q1-2025"/>
    <d v="2025-03-31T00:00:00"/>
    <d v="2025-03-31T00:00:00"/>
    <n v="25"/>
    <x v="2"/>
    <s v="Brazil"/>
    <s v="Brasília"/>
    <s v="Non-Profit"/>
    <s v="Online"/>
    <x v="3"/>
    <s v="Components"/>
    <s v="CMP-3693"/>
    <n v="331.57"/>
    <n v="548.4"/>
    <x v="75"/>
    <b v="0"/>
    <n v="10"/>
    <n v="4968.5039999999999"/>
    <n v="3315.7"/>
    <n v="1652.8040000000001"/>
    <n v="0.33265626836568918"/>
    <s v="Low"/>
    <s v="Not Met"/>
    <x v="0"/>
  </r>
  <r>
    <s v="ORD-2023-128295"/>
    <d v="2023-06-23T00:00:00"/>
    <s v="Jun-2023"/>
    <s v="Q2-2023"/>
    <d v="2023-07-03T00:00:00"/>
    <d v="2023-07-03T00:00:00"/>
    <n v="10"/>
    <x v="1"/>
    <s v="Nigeria"/>
    <s v="Abuja"/>
    <s v="Consumer"/>
    <s v="Online"/>
    <x v="3"/>
    <s v="Printers"/>
    <s v="PRN-2542"/>
    <n v="337.75"/>
    <n v="548.89"/>
    <x v="33"/>
    <b v="0"/>
    <n v="13"/>
    <n v="7135.57"/>
    <n v="4390.75"/>
    <n v="2744.8199999999997"/>
    <n v="0.38466723751571352"/>
    <s v="Low"/>
    <s v="Not Met"/>
    <x v="0"/>
  </r>
  <r>
    <s v="ORD-2025-364852"/>
    <d v="2025-05-18T00:00:00"/>
    <s v="May-2025"/>
    <s v="Q2-2025"/>
    <d v="2025-06-09T00:00:00"/>
    <d v="2025-06-09T00:00:00"/>
    <n v="22"/>
    <x v="2"/>
    <s v="USA"/>
    <s v="New York"/>
    <s v="Consumer"/>
    <s v="Retail"/>
    <x v="2"/>
    <s v="Networking"/>
    <s v="NET-3749"/>
    <n v="382.96"/>
    <n v="552.84"/>
    <x v="23"/>
    <b v="0"/>
    <n v="8"/>
    <n v="3644.3212800000006"/>
    <n v="3063.68"/>
    <n v="580.64128000000073"/>
    <n v="0.15932768693763483"/>
    <s v="Low"/>
    <s v="Not Met"/>
    <x v="0"/>
  </r>
  <r>
    <s v="ORD-2024-307849"/>
    <d v="2024-08-10T00:00:00"/>
    <s v="Aug-2024"/>
    <s v="Q3-2024"/>
    <d v="2024-09-07T00:00:00"/>
    <d v="2024-09-07T00:00:00"/>
    <n v="28"/>
    <x v="0"/>
    <s v="France"/>
    <s v="Marseille"/>
    <s v="Non-Profit"/>
    <s v="Direct"/>
    <x v="6"/>
    <s v="Printers"/>
    <s v="PRN-1183"/>
    <n v="229.96"/>
    <n v="564.26"/>
    <x v="99"/>
    <b v="0"/>
    <n v="5"/>
    <n v="2525.0635000000002"/>
    <n v="1149.8"/>
    <n v="1375.2635000000002"/>
    <n v="0.54464511486542821"/>
    <s v="Low"/>
    <s v="Not Met"/>
    <x v="0"/>
  </r>
  <r>
    <s v="ORD-2025-246470"/>
    <d v="2025-04-16T00:00:00"/>
    <s v="Apr-2025"/>
    <s v="Q2-2025"/>
    <d v="2025-05-16T00:00:00"/>
    <d v="2025-05-16T00:00:00"/>
    <n v="30"/>
    <x v="2"/>
    <s v="Canada"/>
    <s v="Montreal"/>
    <s v="Enterprise"/>
    <s v="Distributor"/>
    <x v="12"/>
    <s v="Printers"/>
    <s v="PRN-6178"/>
    <n v="763.32"/>
    <n v="568.29"/>
    <x v="1"/>
    <b v="0"/>
    <n v="16"/>
    <n v="7901.5041599999995"/>
    <n v="12213.12"/>
    <n v="-4311.6158400000013"/>
    <n v="-0.54567026134426555"/>
    <s v="Low"/>
    <s v="Not Met"/>
    <x v="0"/>
  </r>
  <r>
    <s v="ORD-2024-446030"/>
    <d v="2024-03-23T00:00:00"/>
    <s v="Mar-2024"/>
    <s v="Q1-2024"/>
    <d v="2024-03-26T00:00:00"/>
    <d v="2024-03-26T00:00:00"/>
    <n v="3"/>
    <x v="3"/>
    <s v="India"/>
    <s v="Bengaluru"/>
    <s v="Education"/>
    <s v="Direct"/>
    <x v="14"/>
    <s v="Phones"/>
    <s v="PHN-4346"/>
    <n v="382.21"/>
    <n v="571.89"/>
    <x v="19"/>
    <b v="0"/>
    <n v="26"/>
    <n v="12668.50728"/>
    <n v="9937.4599999999991"/>
    <n v="2731.0472800000007"/>
    <n v="0.2155776698578809"/>
    <s v="Low"/>
    <s v="Met"/>
    <x v="0"/>
  </r>
  <r>
    <s v="ORD-2025-189846"/>
    <d v="2025-08-11T00:00:00"/>
    <s v="Aug-2025"/>
    <s v="Q3-2025"/>
    <d v="2025-08-28T00:00:00"/>
    <d v="2025-08-28T00:00:00"/>
    <n v="17"/>
    <x v="0"/>
    <s v="France"/>
    <s v="Paris"/>
    <s v="Education"/>
    <s v="Online"/>
    <x v="6"/>
    <s v="Networking"/>
    <s v="NET-6218"/>
    <n v="416.16"/>
    <n v="571.9"/>
    <x v="55"/>
    <b v="0"/>
    <n v="2"/>
    <n v="1062.5902000000001"/>
    <n v="832.32"/>
    <n v="230.27020000000005"/>
    <n v="0.21670649701079497"/>
    <s v="Low"/>
    <s v="Not Met"/>
    <x v="0"/>
  </r>
  <r>
    <s v="ORD-2024-164288"/>
    <d v="2024-12-21T00:00:00"/>
    <s v="Dec-2024"/>
    <s v="Q4-2024"/>
    <d v="2024-12-26T00:00:00"/>
    <d v="2024-12-26T00:00:00"/>
    <n v="5"/>
    <x v="2"/>
    <s v="USA"/>
    <s v="San Francisco"/>
    <s v="Consumer"/>
    <s v="Marketplace"/>
    <x v="7"/>
    <s v="Printers"/>
    <s v="PRN-4788"/>
    <n v="699.57"/>
    <n v="572.71"/>
    <x v="100"/>
    <b v="0"/>
    <n v="26"/>
    <n v="12031.491680000001"/>
    <n v="18188.82"/>
    <n v="-6157.3283199999987"/>
    <n v="-0.51176765805651114"/>
    <s v="Low"/>
    <s v="Met"/>
    <x v="0"/>
  </r>
  <r>
    <s v="ORD-2025-939953"/>
    <d v="2025-01-22T00:00:00"/>
    <s v="Jan-2025"/>
    <s v="Q1-2025"/>
    <d v="2025-01-22T00:00:00"/>
    <d v="2025-01-22T00:00:00"/>
    <n v="0"/>
    <x v="0"/>
    <s v="France"/>
    <s v="Lyon"/>
    <s v="Small Business"/>
    <s v="Online"/>
    <x v="4"/>
    <s v="Accessories"/>
    <s v="ACC-5422"/>
    <n v="591.72"/>
    <n v="577.24"/>
    <x v="33"/>
    <b v="0"/>
    <n v="22"/>
    <n v="12699.28"/>
    <n v="13017.84"/>
    <n v="-318.55999999999949"/>
    <n v="-2.5084886702238195E-2"/>
    <s v="Low"/>
    <s v="Met"/>
    <x v="0"/>
  </r>
  <r>
    <s v="ORD-2024-787018"/>
    <d v="2024-06-23T00:00:00"/>
    <s v="Jun-2024"/>
    <s v="Q2-2024"/>
    <d v="2024-06-28T00:00:00"/>
    <d v="2024-06-28T00:00:00"/>
    <n v="5"/>
    <x v="1"/>
    <s v="Nigeria"/>
    <s v="Port Harcourt"/>
    <s v="Non-Profit"/>
    <s v="Direct"/>
    <x v="7"/>
    <s v="Accessories"/>
    <s v="ACC-7671"/>
    <n v="242.31"/>
    <n v="587.95000000000005"/>
    <x v="72"/>
    <b v="0"/>
    <n v="6"/>
    <n v="2719.8567000000003"/>
    <n v="1453.8600000000001"/>
    <n v="1265.9967000000001"/>
    <n v="0.46546448568411714"/>
    <s v="Low"/>
    <s v="Met"/>
    <x v="1"/>
  </r>
  <r>
    <s v="ORD-2023-723587"/>
    <d v="2023-01-02T00:00:00"/>
    <s v="Jan-2023"/>
    <s v="Q1-2023"/>
    <d v="2023-01-05T00:00:00"/>
    <d v="2023-01-05T00:00:00"/>
    <n v="3"/>
    <x v="2"/>
    <s v="Canada"/>
    <s v="Toronto"/>
    <s v="Corporate"/>
    <s v="Distributor"/>
    <x v="4"/>
    <s v="Laptops"/>
    <s v="LAP-8555"/>
    <n v="315.87"/>
    <n v="591.67999999999995"/>
    <x v="33"/>
    <b v="0"/>
    <n v="7"/>
    <n v="4141.7599999999993"/>
    <n v="2211.09"/>
    <n v="1930.6699999999992"/>
    <n v="0.46614724175229844"/>
    <s v="Low"/>
    <s v="Met"/>
    <x v="0"/>
  </r>
  <r>
    <s v="ORD-2025-866565"/>
    <d v="2025-05-12T00:00:00"/>
    <s v="May-2025"/>
    <s v="Q2-2025"/>
    <d v="2025-05-26T00:00:00"/>
    <d v="2025-05-26T00:00:00"/>
    <n v="14"/>
    <x v="3"/>
    <s v="India"/>
    <s v="Hyderabad"/>
    <s v="Corporate"/>
    <s v="Marketplace"/>
    <x v="14"/>
    <s v="Printers"/>
    <s v="PRN-8850"/>
    <n v="320.12"/>
    <n v="594.41999999999996"/>
    <x v="101"/>
    <b v="0"/>
    <n v="18"/>
    <n v="9586.8057599999993"/>
    <n v="5762.16"/>
    <n v="3824.6457599999994"/>
    <n v="0.39894891538931104"/>
    <s v="Low"/>
    <s v="Not Met"/>
    <x v="0"/>
  </r>
  <r>
    <s v="ORD-2023-727290"/>
    <d v="2023-04-03T00:00:00"/>
    <s v="Apr-2023"/>
    <s v="Q2-2023"/>
    <d v="2023-04-16T00:00:00"/>
    <d v="2023-04-16T00:00:00"/>
    <n v="13"/>
    <x v="0"/>
    <s v="France"/>
    <s v="Marseille"/>
    <s v="Non-Profit"/>
    <s v="Marketplace"/>
    <x v="7"/>
    <s v="Accessories"/>
    <s v="ACC-4815"/>
    <n v="790.54"/>
    <n v="601.49"/>
    <x v="33"/>
    <b v="0"/>
    <n v="15"/>
    <n v="9022.35"/>
    <n v="11858.099999999999"/>
    <n v="-2835.7499999999982"/>
    <n v="-0.31430281467688553"/>
    <s v="Low"/>
    <s v="Not Met"/>
    <x v="0"/>
  </r>
  <r>
    <s v="ORD-2024-872291"/>
    <d v="2024-01-08T00:00:00"/>
    <s v="Jan-2024"/>
    <s v="Q1-2024"/>
    <d v="2024-01-12T00:00:00"/>
    <d v="2024-01-12T00:00:00"/>
    <n v="4"/>
    <x v="3"/>
    <s v="India"/>
    <s v="Bengaluru"/>
    <s v="Corporate"/>
    <s v="Direct"/>
    <x v="10"/>
    <s v="Printers"/>
    <s v="PRN-6585"/>
    <n v="802.32"/>
    <n v="602.34"/>
    <x v="38"/>
    <b v="0"/>
    <n v="25"/>
    <n v="13251.48"/>
    <n v="20058"/>
    <n v="-6806.52"/>
    <n v="-0.51364224977134632"/>
    <s v="Low"/>
    <s v="Met"/>
    <x v="0"/>
  </r>
  <r>
    <s v="ORD-2023-597666"/>
    <d v="2023-10-25T00:00:00"/>
    <s v="Oct-2023"/>
    <s v="Q4-2023"/>
    <d v="2023-11-24T00:00:00"/>
    <d v="2023-11-24T00:00:00"/>
    <n v="30"/>
    <x v="0"/>
    <s v="France"/>
    <s v="Paris"/>
    <s v="Enterprise"/>
    <s v="Distributor"/>
    <x v="8"/>
    <s v="Phones"/>
    <s v="PHN-5938"/>
    <n v="287.85000000000002"/>
    <n v="602.91999999999996"/>
    <x v="102"/>
    <b v="0"/>
    <n v="11"/>
    <n v="5159.7893599999998"/>
    <n v="3166.3500000000004"/>
    <n v="1993.4393599999994"/>
    <n v="0.38634122847216373"/>
    <s v="Low"/>
    <s v="Not Met"/>
    <x v="1"/>
  </r>
  <r>
    <s v="ORD-2023-749324"/>
    <d v="2023-08-19T00:00:00"/>
    <s v="Aug-2023"/>
    <s v="Q3-2023"/>
    <d v="2023-09-07T00:00:00"/>
    <d v="2023-09-07T00:00:00"/>
    <n v="19"/>
    <x v="1"/>
    <s v="South Africa"/>
    <s v="Johannesburg"/>
    <s v="Enterprise"/>
    <s v="Retail"/>
    <x v="0"/>
    <s v="Monitors"/>
    <s v="MON-2296"/>
    <n v="494.61"/>
    <n v="605.23"/>
    <x v="51"/>
    <b v="0"/>
    <n v="18"/>
    <n v="8671.7354400000004"/>
    <n v="8902.98"/>
    <n v="-231.24455999999918"/>
    <n v="-2.6666468505639647E-2"/>
    <s v="Low"/>
    <s v="Not Met"/>
    <x v="1"/>
  </r>
  <r>
    <s v="ORD-2023-517216"/>
    <d v="2023-09-19T00:00:00"/>
    <s v="Sep-2023"/>
    <s v="Q3-2023"/>
    <d v="2023-10-08T00:00:00"/>
    <d v="2023-10-08T00:00:00"/>
    <n v="19"/>
    <x v="3"/>
    <s v="India"/>
    <s v="Bengaluru"/>
    <s v="Education"/>
    <s v="Direct"/>
    <x v="3"/>
    <s v="Printers"/>
    <s v="PRN-5005"/>
    <n v="385.32"/>
    <n v="606.76"/>
    <x v="103"/>
    <b v="0"/>
    <n v="8"/>
    <n v="4436.6291200000005"/>
    <n v="3082.56"/>
    <n v="1354.0691200000006"/>
    <n v="0.30520223425842735"/>
    <s v="Low"/>
    <s v="Not Met"/>
    <x v="0"/>
  </r>
  <r>
    <s v="ORD-2025-496178"/>
    <d v="2025-07-27T00:00:00"/>
    <s v="Jul-2025"/>
    <s v="Q3-2025"/>
    <d v="2025-08-15T00:00:00"/>
    <d v="2025-08-15T00:00:00"/>
    <n v="19"/>
    <x v="3"/>
    <s v="Japan"/>
    <s v="Tokyo"/>
    <s v="Small Business"/>
    <s v="Marketplace"/>
    <x v="3"/>
    <s v="Components"/>
    <s v="CMP-5658"/>
    <n v="275.43"/>
    <n v="608.36"/>
    <x v="104"/>
    <b v="0"/>
    <n v="4"/>
    <n v="1808.04592"/>
    <n v="1101.72"/>
    <n v="706.32592"/>
    <n v="0.39065706915231446"/>
    <s v="Low"/>
    <s v="Not Met"/>
    <x v="1"/>
  </r>
  <r>
    <s v="ORD-2024-275203"/>
    <d v="2024-03-11T00:00:00"/>
    <s v="Mar-2024"/>
    <s v="Q1-2024"/>
    <d v="2024-04-06T00:00:00"/>
    <d v="2024-04-06T00:00:00"/>
    <n v="26"/>
    <x v="1"/>
    <s v="Kenya"/>
    <s v="Kisumu"/>
    <s v="Corporate"/>
    <s v="Retail"/>
    <x v="8"/>
    <s v="Components"/>
    <s v="CMP-8270"/>
    <n v="279.24"/>
    <n v="608.9"/>
    <x v="105"/>
    <b v="0"/>
    <n v="9"/>
    <n v="4866.3287999999993"/>
    <n v="2513.16"/>
    <n v="2353.1687999999995"/>
    <n v="0.48356140670149533"/>
    <s v="Low"/>
    <s v="Not Met"/>
    <x v="0"/>
  </r>
  <r>
    <s v="ORD-2024-153053"/>
    <d v="2024-01-12T00:00:00"/>
    <s v="Jan-2024"/>
    <s v="Q1-2024"/>
    <d v="2024-01-29T00:00:00"/>
    <d v="2024-01-29T00:00:00"/>
    <n v="17"/>
    <x v="3"/>
    <s v="India"/>
    <s v="Hyderabad"/>
    <s v="Small Business"/>
    <s v="Direct"/>
    <x v="4"/>
    <s v="Components"/>
    <s v="CMP-5138"/>
    <n v="310.02"/>
    <n v="619.51"/>
    <x v="106"/>
    <b v="0"/>
    <n v="4"/>
    <n v="2373.9623200000001"/>
    <n v="1240.08"/>
    <n v="1133.8823200000002"/>
    <n v="0.47763282106347843"/>
    <s v="Low"/>
    <s v="Not Met"/>
    <x v="0"/>
  </r>
  <r>
    <s v="ORD-2025-640677"/>
    <d v="2025-04-09T00:00:00"/>
    <s v="Apr-2025"/>
    <s v="Q2-2025"/>
    <d v="2025-05-06T00:00:00"/>
    <d v="2025-05-06T00:00:00"/>
    <n v="27"/>
    <x v="2"/>
    <s v="Brazil"/>
    <s v="Brasília"/>
    <s v="Enterprise"/>
    <s v="Marketplace"/>
    <x v="6"/>
    <s v="Laptops"/>
    <s v="LAP-4517"/>
    <n v="264.19"/>
    <n v="620.92999999999995"/>
    <x v="85"/>
    <b v="0"/>
    <n v="12"/>
    <n v="6393.0952799999995"/>
    <n v="3170.2799999999997"/>
    <n v="3222.8152799999998"/>
    <n v="0.50410875152794532"/>
    <s v="Low"/>
    <s v="Not Met"/>
    <x v="0"/>
  </r>
  <r>
    <s v="ORD-2023-427304"/>
    <d v="2023-06-09T00:00:00"/>
    <s v="Jun-2023"/>
    <s v="Q2-2023"/>
    <d v="2023-06-19T00:00:00"/>
    <d v="2023-06-19T00:00:00"/>
    <n v="10"/>
    <x v="3"/>
    <s v="China"/>
    <s v="Beijing"/>
    <s v="Enterprise"/>
    <s v="Retail"/>
    <x v="6"/>
    <s v="Monitors"/>
    <s v="MON-9194"/>
    <n v="339.61"/>
    <n v="621.02"/>
    <x v="55"/>
    <b v="0"/>
    <n v="10"/>
    <n v="5769.2758000000003"/>
    <n v="3396.1000000000004"/>
    <n v="2373.1758"/>
    <n v="0.41134726129750981"/>
    <s v="Low"/>
    <s v="Not Met"/>
    <x v="0"/>
  </r>
  <r>
    <s v="ORD-2024-999607"/>
    <d v="2024-01-12T00:00:00"/>
    <s v="Jan-2024"/>
    <s v="Q1-2024"/>
    <d v="2024-01-29T00:00:00"/>
    <d v="2024-01-29T00:00:00"/>
    <n v="17"/>
    <x v="2"/>
    <s v="USA"/>
    <s v="Chicago"/>
    <s v="Education"/>
    <s v="Distributor"/>
    <x v="13"/>
    <s v="Printers"/>
    <s v="PRN-8604"/>
    <n v="493.76"/>
    <n v="625.04"/>
    <x v="107"/>
    <b v="0"/>
    <n v="10"/>
    <n v="4637.7968000000001"/>
    <n v="4937.6000000000004"/>
    <n v="-299.80320000000029"/>
    <n v="-6.464345311549663E-2"/>
    <s v="Low"/>
    <s v="Not Met"/>
    <x v="1"/>
  </r>
  <r>
    <s v="ORD-2024-834983"/>
    <d v="2024-03-16T00:00:00"/>
    <s v="Mar-2024"/>
    <s v="Q1-2024"/>
    <d v="2024-04-13T00:00:00"/>
    <d v="2024-04-13T00:00:00"/>
    <n v="28"/>
    <x v="0"/>
    <s v="France"/>
    <s v="Paris"/>
    <s v="Small Business"/>
    <s v="Online"/>
    <x v="12"/>
    <s v="Printers"/>
    <s v="PRN-8758"/>
    <n v="287.61"/>
    <n v="628.54"/>
    <x v="35"/>
    <b v="0"/>
    <n v="21"/>
    <n v="11417.429099999999"/>
    <n v="6039.81"/>
    <n v="5377.619099999999"/>
    <n v="0.47100087531964613"/>
    <s v="Low"/>
    <s v="Not Met"/>
    <x v="0"/>
  </r>
  <r>
    <s v="ORD-2023-825495"/>
    <d v="2023-11-30T00:00:00"/>
    <s v="Nov-2023"/>
    <s v="Q4-2023"/>
    <d v="2023-11-29T00:00:00"/>
    <d v="2023-12-14T00:00:00"/>
    <n v="14"/>
    <x v="1"/>
    <s v="South Africa"/>
    <s v="Durban"/>
    <s v="Small Business"/>
    <s v="Marketplace"/>
    <x v="10"/>
    <s v="Laptops"/>
    <s v="LAP-1525"/>
    <n v="275.56"/>
    <n v="630.72"/>
    <x v="41"/>
    <b v="0"/>
    <n v="23"/>
    <n v="12954.358080000002"/>
    <n v="6337.88"/>
    <n v="6616.4780800000017"/>
    <n v="0.5107530638831933"/>
    <s v="Low"/>
    <s v="Not Met"/>
    <x v="0"/>
  </r>
  <r>
    <s v="ORD-2025-840976"/>
    <d v="2025-09-01T00:00:00"/>
    <s v="Sep-2025"/>
    <s v="Q3-2025"/>
    <d v="2025-09-30T00:00:00"/>
    <d v="2025-09-30T00:00:00"/>
    <n v="29"/>
    <x v="2"/>
    <s v="Brazil"/>
    <s v="Brasília"/>
    <s v="Education"/>
    <s v="Retail"/>
    <x v="12"/>
    <s v="Accessories"/>
    <s v="ACC-1663"/>
    <n v="780.59"/>
    <n v="631.57000000000005"/>
    <x v="33"/>
    <b v="0"/>
    <n v="12"/>
    <n v="7578.84"/>
    <n v="9367.08"/>
    <n v="-1788.2399999999998"/>
    <n v="-0.23595167598207639"/>
    <s v="Low"/>
    <s v="Not Met"/>
    <x v="0"/>
  </r>
  <r>
    <s v="ORD-2024-170313"/>
    <d v="2024-12-27T00:00:00"/>
    <s v="Dec-2024"/>
    <s v="Q4-2024"/>
    <d v="2025-01-15T00:00:00"/>
    <d v="2025-01-15T00:00:00"/>
    <n v="19"/>
    <x v="3"/>
    <s v="India"/>
    <s v="Delhi"/>
    <s v="Non-Profit"/>
    <s v="Distributor"/>
    <x v="14"/>
    <s v="Components"/>
    <s v="CMP-6919"/>
    <n v="495.59"/>
    <n v="631.78"/>
    <x v="108"/>
    <b v="0"/>
    <n v="17"/>
    <n v="9805.8573800000013"/>
    <n v="8425.0299999999988"/>
    <n v="1380.8273800000024"/>
    <n v="0.14081658813601899"/>
    <s v="Low"/>
    <s v="Not Met"/>
    <x v="0"/>
  </r>
  <r>
    <s v="ORD-2024-578646"/>
    <d v="2024-05-27T00:00:00"/>
    <s v="May-2024"/>
    <s v="Q2-2024"/>
    <d v="2024-06-17T00:00:00"/>
    <d v="2024-06-17T00:00:00"/>
    <n v="21"/>
    <x v="3"/>
    <s v="India"/>
    <s v="Delhi"/>
    <s v="Small Business"/>
    <s v="Online"/>
    <x v="2"/>
    <s v="Accessories"/>
    <s v="ACC-7240"/>
    <n v="465.02"/>
    <n v="651.55999999999995"/>
    <x v="106"/>
    <b v="0"/>
    <n v="19"/>
    <n v="11859.695119999998"/>
    <n v="8835.3799999999992"/>
    <n v="3024.3151199999993"/>
    <n v="0.25500783025187918"/>
    <s v="Low"/>
    <s v="Not Met"/>
    <x v="0"/>
  </r>
  <r>
    <s v="ORD-2023-215819"/>
    <d v="2023-07-01T00:00:00"/>
    <s v="Jul-2023"/>
    <s v="Q3-2023"/>
    <d v="2023-07-11T00:00:00"/>
    <d v="2023-07-11T00:00:00"/>
    <n v="10"/>
    <x v="0"/>
    <s v="France"/>
    <s v="Paris"/>
    <s v="Corporate"/>
    <s v="Direct"/>
    <x v="6"/>
    <s v="Networking"/>
    <s v="NET-6533"/>
    <n v="479.5"/>
    <n v="656.66"/>
    <x v="109"/>
    <b v="0"/>
    <n v="14"/>
    <n v="7823.4472399999995"/>
    <n v="6713"/>
    <n v="1110.4472399999995"/>
    <n v="0.14193835606412289"/>
    <s v="Low"/>
    <s v="Not Met"/>
    <x v="0"/>
  </r>
  <r>
    <s v="ORD-2024-792353"/>
    <d v="2024-08-19T00:00:00"/>
    <s v="Aug-2024"/>
    <s v="Q3-2024"/>
    <d v="2024-09-07T00:00:00"/>
    <d v="2024-09-07T00:00:00"/>
    <n v="19"/>
    <x v="0"/>
    <s v="France"/>
    <s v="Lyon"/>
    <s v="Corporate"/>
    <s v="Direct"/>
    <x v="3"/>
    <s v="Components"/>
    <s v="CMP-5435"/>
    <n v="297.58999999999997"/>
    <n v="666.41"/>
    <x v="33"/>
    <b v="0"/>
    <n v="10"/>
    <n v="6664.0999999999995"/>
    <n v="2975.8999999999996"/>
    <n v="3688.2"/>
    <n v="0.55344307558409989"/>
    <s v="Low"/>
    <s v="Not Met"/>
    <x v="0"/>
  </r>
  <r>
    <s v="ORD-2023-430904"/>
    <d v="2023-01-27T00:00:00"/>
    <s v="Jan-2023"/>
    <s v="Q1-2023"/>
    <d v="2023-01-31T00:00:00"/>
    <d v="2023-01-31T00:00:00"/>
    <n v="4"/>
    <x v="0"/>
    <s v="United Kingdom"/>
    <s v="Manchester"/>
    <s v="Enterprise"/>
    <s v="Online"/>
    <x v="9"/>
    <s v="Laptops"/>
    <s v="LAP-9782"/>
    <n v="941.2"/>
    <n v="668.02"/>
    <x v="110"/>
    <b v="0"/>
    <n v="16"/>
    <n v="8336.8896000000004"/>
    <n v="15059.2"/>
    <n v="-6722.3104000000003"/>
    <n v="-0.80633314371825193"/>
    <s v="Low"/>
    <s v="Met"/>
    <x v="1"/>
  </r>
  <r>
    <s v="ORD-2023-552115"/>
    <d v="2023-09-17T00:00:00"/>
    <s v="Sep-2023"/>
    <s v="Q3-2023"/>
    <d v="2023-10-02T00:00:00"/>
    <d v="2023-10-02T00:00:00"/>
    <n v="15"/>
    <x v="2"/>
    <s v="Brazil"/>
    <s v="Rio de Janeiro"/>
    <s v="Small Business"/>
    <s v="Retail"/>
    <x v="4"/>
    <s v="Laptops"/>
    <s v="LAP-4932"/>
    <n v="689.33"/>
    <n v="668.27"/>
    <x v="79"/>
    <b v="0"/>
    <n v="13"/>
    <n v="7071.6331400000008"/>
    <n v="8961.2900000000009"/>
    <n v="-1889.6568600000001"/>
    <n v="-0.26721647214861033"/>
    <s v="Low"/>
    <s v="Not Met"/>
    <x v="0"/>
  </r>
  <r>
    <s v="ORD-2025-184754"/>
    <d v="2025-06-27T00:00:00"/>
    <s v="Jun-2025"/>
    <s v="Q2-2025"/>
    <d v="2025-07-05T00:00:00"/>
    <d v="2025-07-05T00:00:00"/>
    <n v="8"/>
    <x v="0"/>
    <s v="Germany"/>
    <s v="Munich"/>
    <s v="Small Business"/>
    <s v="Direct"/>
    <x v="14"/>
    <s v="Monitors"/>
    <s v="MON-7626"/>
    <n v="314.93"/>
    <n v="687.95"/>
    <x v="111"/>
    <b v="0"/>
    <n v="8"/>
    <n v="4375.3620000000001"/>
    <n v="2519.44"/>
    <n v="1855.922"/>
    <n v="0.424175645352316"/>
    <s v="Low"/>
    <s v="Not Met"/>
    <x v="1"/>
  </r>
  <r>
    <s v="ORD-2025-515515"/>
    <d v="2025-01-03T00:00:00"/>
    <s v="Jan-2025"/>
    <s v="Q1-2025"/>
    <d v="2025-01-23T00:00:00"/>
    <d v="2025-01-23T00:00:00"/>
    <n v="20"/>
    <x v="3"/>
    <s v="Japan"/>
    <s v="Osaka"/>
    <s v="Corporate"/>
    <s v="Distributor"/>
    <x v="6"/>
    <s v="Phones"/>
    <s v="PHN-7019"/>
    <n v="908.6"/>
    <n v="691.37"/>
    <x v="112"/>
    <b v="0"/>
    <n v="20"/>
    <n v="10370.549999999999"/>
    <n v="18172"/>
    <n v="-7801.4500000000007"/>
    <n v="-0.75226964818645115"/>
    <s v="Low"/>
    <s v="Not Met"/>
    <x v="1"/>
  </r>
  <r>
    <s v="ORD-2023-883066"/>
    <d v="2023-08-12T00:00:00"/>
    <s v="Aug-2023"/>
    <s v="Q3-2023"/>
    <d v="2023-09-06T00:00:00"/>
    <d v="2023-09-06T00:00:00"/>
    <n v="25"/>
    <x v="3"/>
    <s v="China"/>
    <s v="Shanghai"/>
    <s v="Small Business"/>
    <s v="Retail"/>
    <x v="4"/>
    <s v="Components"/>
    <s v="CMP-6352"/>
    <n v="950.77"/>
    <n v="694.78"/>
    <x v="76"/>
    <b v="0"/>
    <n v="14"/>
    <n v="8909.8587200000002"/>
    <n v="13310.779999999999"/>
    <n v="-4400.9212799999987"/>
    <n v="-0.49393839097821279"/>
    <s v="Low"/>
    <s v="Not Met"/>
    <x v="0"/>
  </r>
  <r>
    <s v="ORD-2023-609394"/>
    <d v="2023-04-16T00:00:00"/>
    <s v="Apr-2023"/>
    <s v="Q2-2023"/>
    <d v="2023-04-19T00:00:00"/>
    <d v="2023-04-19T00:00:00"/>
    <n v="3"/>
    <x v="0"/>
    <s v="Germany"/>
    <s v="Munich"/>
    <s v="Corporate"/>
    <s v="Direct"/>
    <x v="4"/>
    <s v="Accessories"/>
    <s v="ACC-1731"/>
    <n v="553.61"/>
    <n v="699.47"/>
    <x v="113"/>
    <b v="0"/>
    <n v="33"/>
    <n v="22620.859800000002"/>
    <n v="18269.13"/>
    <n v="4351.729800000001"/>
    <n v="0.19237685209472014"/>
    <s v="Low"/>
    <s v="Met"/>
    <x v="0"/>
  </r>
  <r>
    <s v="ORD-2025-856556"/>
    <d v="2025-06-15T00:00:00"/>
    <s v="Jun-2025"/>
    <s v="Q2-2025"/>
    <d v="2025-07-12T00:00:00"/>
    <d v="2025-07-12T00:00:00"/>
    <n v="27"/>
    <x v="0"/>
    <s v="France"/>
    <s v="Marseille"/>
    <s v="Consumer"/>
    <s v="Direct"/>
    <x v="8"/>
    <s v="Accessories"/>
    <s v="ACC-7906"/>
    <n v="318.83"/>
    <n v="699.5"/>
    <x v="96"/>
    <b v="0"/>
    <n v="13"/>
    <n v="8366.02"/>
    <n v="4144.79"/>
    <n v="4221.2300000000005"/>
    <n v="0.50456848059172699"/>
    <s v="Low"/>
    <s v="Not Met"/>
    <x v="0"/>
  </r>
  <r>
    <s v="ORD-2024-210687"/>
    <d v="2024-01-28T00:00:00"/>
    <s v="Jan-2024"/>
    <s v="Q1-2024"/>
    <d v="2024-02-09T00:00:00"/>
    <d v="2024-02-09T00:00:00"/>
    <n v="12"/>
    <x v="0"/>
    <s v="Germany"/>
    <s v="Berlin"/>
    <s v="Corporate"/>
    <s v="Online"/>
    <x v="14"/>
    <s v="Accessories"/>
    <s v="ACC-7938"/>
    <n v="644.16999999999996"/>
    <n v="700.12"/>
    <x v="114"/>
    <b v="0"/>
    <n v="23"/>
    <n v="16006.14344"/>
    <n v="14815.91"/>
    <n v="1190.23344"/>
    <n v="7.436103796405813E-2"/>
    <s v="Low"/>
    <s v="Not Met"/>
    <x v="0"/>
  </r>
  <r>
    <s v="ORD-2024-289089"/>
    <d v="2024-12-17T00:00:00"/>
    <s v="Dec-2024"/>
    <s v="Q4-2024"/>
    <d v="2024-12-18T00:00:00"/>
    <d v="2024-12-18T00:00:00"/>
    <n v="1"/>
    <x v="0"/>
    <s v="Germany"/>
    <s v="Munich"/>
    <s v="Education"/>
    <s v="Retail"/>
    <x v="5"/>
    <s v="Accessories"/>
    <s v="ACC-5780"/>
    <n v="346.82"/>
    <n v="701.95"/>
    <x v="115"/>
    <b v="0"/>
    <n v="8"/>
    <n v="4790.1068000000005"/>
    <n v="2774.56"/>
    <n v="2015.5468000000005"/>
    <n v="0.42077283120284509"/>
    <s v="Low"/>
    <s v="Met"/>
    <x v="0"/>
  </r>
  <r>
    <s v="ORD-2023-290279"/>
    <d v="2023-06-14T00:00:00"/>
    <s v="Jun-2023"/>
    <s v="Q2-2023"/>
    <d v="2023-06-16T00:00:00"/>
    <d v="2023-06-16T00:00:00"/>
    <n v="2"/>
    <x v="0"/>
    <s v="United Kingdom"/>
    <s v="Manchester"/>
    <s v="Non-Profit"/>
    <s v="Direct"/>
    <x v="12"/>
    <s v="Components"/>
    <s v="CMP-5820"/>
    <n v="357.36"/>
    <n v="703.62"/>
    <x v="104"/>
    <b v="0"/>
    <n v="20"/>
    <n v="10455.7932"/>
    <n v="7147.2000000000007"/>
    <n v="3308.5931999999993"/>
    <n v="0.31643636563125593"/>
    <s v="Low"/>
    <s v="Met"/>
    <x v="1"/>
  </r>
  <r>
    <s v="ORD-2025-417942"/>
    <d v="2025-06-09T00:00:00"/>
    <s v="Jun-2025"/>
    <s v="Q2-2025"/>
    <d v="2025-06-24T00:00:00"/>
    <d v="2025-06-24T00:00:00"/>
    <n v="15"/>
    <x v="3"/>
    <s v="Japan"/>
    <s v="Nagoya"/>
    <s v="Corporate"/>
    <s v="Direct"/>
    <x v="4"/>
    <s v="Phones"/>
    <s v="PHN-5675"/>
    <n v="400.39"/>
    <n v="712.75"/>
    <x v="68"/>
    <b v="0"/>
    <n v="19"/>
    <n v="11984.891250000001"/>
    <n v="7607.41"/>
    <n v="4377.4812500000007"/>
    <n v="0.36524997671547504"/>
    <s v="Low"/>
    <s v="Not Met"/>
    <x v="0"/>
  </r>
  <r>
    <s v="ORD-2023-689428"/>
    <d v="2023-01-07T00:00:00"/>
    <s v="Jan-2023"/>
    <s v="Q1-2023"/>
    <d v="2023-01-30T00:00:00"/>
    <d v="2023-01-30T00:00:00"/>
    <n v="23"/>
    <x v="1"/>
    <s v="South Africa"/>
    <s v="Cape Town"/>
    <s v="Consumer"/>
    <s v="Online"/>
    <x v="13"/>
    <s v="Printers"/>
    <s v="PRN-4787"/>
    <n v="299.02"/>
    <n v="724.7"/>
    <x v="65"/>
    <b v="0"/>
    <n v="5"/>
    <n v="3116.21"/>
    <n v="1495.1"/>
    <n v="1621.1100000000001"/>
    <n v="0.52021847051386139"/>
    <s v="Low"/>
    <s v="Not Met"/>
    <x v="0"/>
  </r>
  <r>
    <s v="ORD-2025-659650"/>
    <d v="2025-02-04T00:00:00"/>
    <s v="Feb-2025"/>
    <s v="Q1-2025"/>
    <d v="2025-02-08T00:00:00"/>
    <d v="2025-02-08T00:00:00"/>
    <n v="4"/>
    <x v="0"/>
    <s v="United Kingdom"/>
    <s v="Manchester"/>
    <s v="Enterprise"/>
    <s v="Marketplace"/>
    <x v="5"/>
    <s v="Networking"/>
    <s v="NET-2502"/>
    <n v="586.21"/>
    <n v="727.22"/>
    <x v="116"/>
    <b v="0"/>
    <n v="15"/>
    <n v="10166.535600000001"/>
    <n v="8793.1500000000015"/>
    <n v="1373.3855999999996"/>
    <n v="0.13508884973559721"/>
    <s v="Low"/>
    <s v="Met"/>
    <x v="0"/>
  </r>
  <r>
    <s v="ORD-2025-244832"/>
    <d v="2025-09-11T00:00:00"/>
    <s v="Sep-2025"/>
    <s v="Q3-2025"/>
    <d v="2025-09-28T00:00:00"/>
    <d v="2025-09-28T00:00:00"/>
    <n v="17"/>
    <x v="1"/>
    <s v="Kenya"/>
    <s v="Nairobi"/>
    <s v="Non-Profit"/>
    <s v="Distributor"/>
    <x v="3"/>
    <s v="Laptops"/>
    <s v="LAP-3278"/>
    <n v="891.46"/>
    <n v="728.61"/>
    <x v="117"/>
    <b v="0"/>
    <n v="6"/>
    <n v="3562.9028999999996"/>
    <n v="5348.76"/>
    <n v="-1785.8571000000006"/>
    <n v="-0.50123653383874167"/>
    <s v="Low"/>
    <s v="Not Met"/>
    <x v="0"/>
  </r>
  <r>
    <s v="ORD-2023-610470"/>
    <d v="2023-06-24T00:00:00"/>
    <s v="Jun-2023"/>
    <s v="Q2-2023"/>
    <d v="2023-07-21T00:00:00"/>
    <d v="2023-07-21T00:00:00"/>
    <n v="27"/>
    <x v="3"/>
    <s v="Japan"/>
    <s v="Nagoya"/>
    <s v="Consumer"/>
    <s v="Marketplace"/>
    <x v="3"/>
    <s v="Phones"/>
    <s v="PHN-6818"/>
    <n v="554.76"/>
    <n v="728.69"/>
    <x v="110"/>
    <b v="0"/>
    <n v="7"/>
    <n v="3978.6474000000003"/>
    <n v="3883.3199999999997"/>
    <n v="95.32740000000058"/>
    <n v="2.395975074343119E-2"/>
    <s v="Low"/>
    <s v="Not Met"/>
    <x v="1"/>
  </r>
  <r>
    <s v="ORD-2023-813340"/>
    <d v="2023-12-26T00:00:00"/>
    <s v="Dec-2023"/>
    <s v="Q4-2023"/>
    <d v="2024-01-03T00:00:00"/>
    <d v="2024-01-03T00:00:00"/>
    <n v="8"/>
    <x v="0"/>
    <s v="France"/>
    <s v="Lyon"/>
    <s v="Small Business"/>
    <s v="Retail"/>
    <x v="7"/>
    <s v="Laptops"/>
    <s v="LAP-2942"/>
    <n v="492.75"/>
    <n v="731.29"/>
    <x v="118"/>
    <b v="0"/>
    <n v="6"/>
    <n v="4133.25108"/>
    <n v="2956.5"/>
    <n v="1176.75108"/>
    <n v="0.28470350753528384"/>
    <s v="Low"/>
    <s v="Not Met"/>
    <x v="0"/>
  </r>
  <r>
    <s v="ORD-2023-192324"/>
    <d v="2023-09-14T00:00:00"/>
    <s v="Sep-2023"/>
    <s v="Q3-2023"/>
    <d v="2023-09-16T00:00:00"/>
    <d v="2023-09-16T00:00:00"/>
    <n v="2"/>
    <x v="0"/>
    <s v="France"/>
    <s v="Lyon"/>
    <s v="Non-Profit"/>
    <s v="Direct"/>
    <x v="4"/>
    <s v="Printers"/>
    <s v="PRN-4432"/>
    <n v="376.83"/>
    <n v="732.88"/>
    <x v="83"/>
    <b v="0"/>
    <n v="25"/>
    <n v="14877.464000000002"/>
    <n v="9420.75"/>
    <n v="5456.7140000000018"/>
    <n v="0.36677716040852132"/>
    <s v="Low"/>
    <s v="Met"/>
    <x v="0"/>
  </r>
  <r>
    <s v="ORD-2024-427031"/>
    <d v="2024-06-08T00:00:00"/>
    <s v="Jun-2024"/>
    <s v="Q2-2024"/>
    <d v="2024-06-24T00:00:00"/>
    <d v="2024-06-24T00:00:00"/>
    <n v="16"/>
    <x v="1"/>
    <s v="South Africa"/>
    <s v="Durban"/>
    <s v="Education"/>
    <s v="Distributor"/>
    <x v="2"/>
    <s v="Monitors"/>
    <s v="MON-1389"/>
    <n v="597.85"/>
    <n v="741.92"/>
    <x v="119"/>
    <b v="0"/>
    <n v="7"/>
    <n v="5032.4433599999993"/>
    <n v="4184.95"/>
    <n v="847.49335999999948"/>
    <n v="0.16840594108544515"/>
    <s v="Low"/>
    <s v="Not Met"/>
    <x v="0"/>
  </r>
  <r>
    <s v="ORD-2025-231184"/>
    <d v="2025-06-01T00:00:00"/>
    <s v="Jun-2025"/>
    <s v="Q2-2025"/>
    <d v="2025-06-06T00:00:00"/>
    <d v="2025-06-06T00:00:00"/>
    <n v="5"/>
    <x v="0"/>
    <s v="France"/>
    <s v="Paris"/>
    <s v="Consumer"/>
    <s v="Distributor"/>
    <x v="14"/>
    <s v="Components"/>
    <s v="CMP-4093"/>
    <n v="379.45"/>
    <n v="742.23"/>
    <x v="120"/>
    <b v="0"/>
    <n v="13"/>
    <n v="8780.5809000000008"/>
    <n v="4932.8499999999995"/>
    <n v="3847.7309000000014"/>
    <n v="0.43820915083192286"/>
    <s v="Low"/>
    <s v="Met"/>
    <x v="0"/>
  </r>
  <r>
    <s v="ORD-2025-703623"/>
    <d v="2025-07-23T00:00:00"/>
    <s v="Jul-2025"/>
    <s v="Q3-2025"/>
    <d v="2025-08-19T00:00:00"/>
    <d v="2025-08-19T00:00:00"/>
    <n v="27"/>
    <x v="3"/>
    <s v="Japan"/>
    <s v="Nagoya"/>
    <s v="Consumer"/>
    <s v="Marketplace"/>
    <x v="4"/>
    <s v="Accessories"/>
    <s v="ACC-1596"/>
    <n v="896.09"/>
    <n v="744.27"/>
    <x v="121"/>
    <b v="0"/>
    <n v="11"/>
    <n v="7507.4514899999995"/>
    <n v="9856.99"/>
    <n v="-2349.5385100000003"/>
    <n v="-0.31296086469950679"/>
    <s v="Low"/>
    <s v="Not Met"/>
    <x v="0"/>
  </r>
  <r>
    <s v="ORD-2023-256951"/>
    <d v="2023-04-19T00:00:00"/>
    <s v="Apr-2023"/>
    <s v="Q2-2023"/>
    <d v="2023-05-07T00:00:00"/>
    <d v="2023-05-07T00:00:00"/>
    <n v="18"/>
    <x v="0"/>
    <s v="United Kingdom"/>
    <s v="London"/>
    <s v="Non-Profit"/>
    <s v="Direct"/>
    <x v="2"/>
    <s v="Networking"/>
    <s v="NET-2439"/>
    <n v="516.96"/>
    <n v="745.38"/>
    <x v="43"/>
    <b v="0"/>
    <n v="4"/>
    <n v="2394.1605599999998"/>
    <n v="2067.84"/>
    <n v="326.32055999999966"/>
    <n v="0.13629852794835101"/>
    <s v="Low"/>
    <s v="Not Met"/>
    <x v="0"/>
  </r>
  <r>
    <s v="ORD-2024-433936"/>
    <d v="2024-08-04T00:00:00"/>
    <s v="Aug-2024"/>
    <s v="Q3-2024"/>
    <d v="2024-08-17T00:00:00"/>
    <d v="2024-08-17T00:00:00"/>
    <n v="13"/>
    <x v="2"/>
    <s v="USA"/>
    <s v="Austin"/>
    <s v="Consumer"/>
    <s v="Retail"/>
    <x v="0"/>
    <s v="Monitors"/>
    <s v="MON-8867"/>
    <n v="352.79"/>
    <n v="754.22"/>
    <x v="61"/>
    <b v="0"/>
    <n v="7"/>
    <n v="4682.9519799999998"/>
    <n v="2469.5300000000002"/>
    <n v="2213.4219799999996"/>
    <n v="0.47265528014233443"/>
    <s v="Low"/>
    <s v="Not Met"/>
    <x v="0"/>
  </r>
  <r>
    <s v="ORD-2024-355095"/>
    <d v="2024-01-02T00:00:00"/>
    <s v="Jan-2024"/>
    <s v="Q1-2024"/>
    <d v="2024-01-02T00:00:00"/>
    <d v="2024-01-02T00:00:00"/>
    <n v="0"/>
    <x v="2"/>
    <s v="Canada"/>
    <s v="Vancouver"/>
    <s v="Education"/>
    <s v="Direct"/>
    <x v="13"/>
    <s v="Laptops"/>
    <s v="LAP-3581"/>
    <n v="444.41"/>
    <n v="754.24"/>
    <x v="122"/>
    <b v="0"/>
    <n v="32"/>
    <n v="19139.594240000002"/>
    <n v="14221.12"/>
    <n v="4918.4742400000014"/>
    <n v="0.25697902360546598"/>
    <s v="Low"/>
    <s v="Met"/>
    <x v="1"/>
  </r>
  <r>
    <s v="ORD-2023-480975"/>
    <d v="2023-02-15T00:00:00"/>
    <s v="Feb-2023"/>
    <s v="Q1-2023"/>
    <d v="2023-02-26T00:00:00"/>
    <d v="2023-02-26T00:00:00"/>
    <n v="11"/>
    <x v="1"/>
    <s v="South Africa"/>
    <s v="Johannesburg"/>
    <s v="Non-Profit"/>
    <s v="Retail"/>
    <x v="12"/>
    <s v="Laptops"/>
    <s v="LAP-3393"/>
    <n v="498.5"/>
    <n v="755.87"/>
    <x v="58"/>
    <b v="0"/>
    <n v="40"/>
    <n v="26304.275999999998"/>
    <n v="19940"/>
    <n v="6364.275999999998"/>
    <n v="0.24194834330357537"/>
    <s v="Low"/>
    <s v="Not Met"/>
    <x v="0"/>
  </r>
  <r>
    <s v="ORD-2023-880296"/>
    <d v="2023-05-02T00:00:00"/>
    <s v="May-2023"/>
    <s v="Q2-2023"/>
    <d v="2023-05-19T00:00:00"/>
    <d v="2023-05-19T00:00:00"/>
    <n v="17"/>
    <x v="3"/>
    <s v="China"/>
    <s v="Shanghai"/>
    <s v="Non-Profit"/>
    <s v="Direct"/>
    <x v="3"/>
    <s v="Monitors"/>
    <s v="MON-5086"/>
    <n v="714.28"/>
    <n v="757.59"/>
    <x v="123"/>
    <b v="0"/>
    <n v="12"/>
    <n v="7854.6931199999999"/>
    <n v="8571.36"/>
    <n v="-716.66688000000067"/>
    <n v="-9.1240595787910383E-2"/>
    <s v="Low"/>
    <s v="Not Met"/>
    <x v="0"/>
  </r>
  <r>
    <s v="ORD-2024-855073"/>
    <d v="2024-07-19T00:00:00"/>
    <s v="Jul-2024"/>
    <s v="Q3-2024"/>
    <d v="2024-07-19T00:00:00"/>
    <d v="2024-07-19T00:00:00"/>
    <n v="0"/>
    <x v="1"/>
    <s v="Kenya"/>
    <s v="Kisumu"/>
    <s v="Small Business"/>
    <s v="Retail"/>
    <x v="13"/>
    <s v="Phones"/>
    <s v="PHN-6854"/>
    <n v="857.24"/>
    <n v="758.23"/>
    <x v="80"/>
    <b v="0"/>
    <n v="6"/>
    <n v="3980.7075"/>
    <n v="5143.4400000000005"/>
    <n v="-1162.7325000000005"/>
    <n v="-0.29209192084572921"/>
    <s v="Low"/>
    <s v="Met"/>
    <x v="0"/>
  </r>
  <r>
    <s v="ORD-2024-350100"/>
    <d v="2024-10-27T00:00:00"/>
    <s v="Oct-2024"/>
    <s v="Q4-2024"/>
    <d v="2024-11-20T00:00:00"/>
    <d v="2024-11-20T00:00:00"/>
    <n v="24"/>
    <x v="3"/>
    <s v="Japan"/>
    <s v="Nagoya"/>
    <s v="Non-Profit"/>
    <s v="Online"/>
    <x v="2"/>
    <s v="Monitors"/>
    <s v="MON-8939"/>
    <n v="317.25"/>
    <n v="758.92"/>
    <x v="88"/>
    <b v="0"/>
    <n v="9"/>
    <n v="6468.2751599999992"/>
    <n v="2855.25"/>
    <n v="3613.0251599999992"/>
    <n v="0.5585762928489888"/>
    <s v="Low"/>
    <s v="Not Met"/>
    <x v="0"/>
  </r>
  <r>
    <s v="ORD-2024-358795"/>
    <d v="2024-10-23T00:00:00"/>
    <s v="Oct-2024"/>
    <s v="Q4-2024"/>
    <d v="2024-10-22T00:00:00"/>
    <d v="2024-11-06T00:00:00"/>
    <n v="14"/>
    <x v="1"/>
    <s v="Nigeria"/>
    <s v="Port Harcourt"/>
    <s v="Education"/>
    <s v="Online"/>
    <x v="3"/>
    <s v="Printers"/>
    <s v="PRN-9322"/>
    <n v="1084.3900000000001"/>
    <n v="759.33"/>
    <x v="124"/>
    <b v="0"/>
    <n v="31"/>
    <n v="17960.432489999999"/>
    <n v="33616.090000000004"/>
    <n v="-15655.657510000005"/>
    <n v="-0.87167486187856302"/>
    <s v="Low"/>
    <s v="Not Met"/>
    <x v="1"/>
  </r>
  <r>
    <s v="ORD-2023-386663"/>
    <d v="2023-06-05T00:00:00"/>
    <s v="Jun-2023"/>
    <s v="Q2-2023"/>
    <d v="2023-06-28T00:00:00"/>
    <d v="2023-06-28T00:00:00"/>
    <n v="23"/>
    <x v="0"/>
    <s v="United Kingdom"/>
    <s v="Birmingham"/>
    <s v="Corporate"/>
    <s v="Direct"/>
    <x v="12"/>
    <s v="Printers"/>
    <s v="PRN-3690"/>
    <n v="605.82000000000005"/>
    <n v="771.12"/>
    <x v="8"/>
    <b v="0"/>
    <n v="19"/>
    <n v="12717.311040000001"/>
    <n v="11510.580000000002"/>
    <n v="1206.7310399999988"/>
    <n v="9.4888851597986767E-2"/>
    <s v="Low"/>
    <s v="Not Met"/>
    <x v="0"/>
  </r>
  <r>
    <s v="ORD-2023-884192"/>
    <d v="2023-01-10T00:00:00"/>
    <s v="Jan-2023"/>
    <s v="Q1-2023"/>
    <d v="2023-01-29T00:00:00"/>
    <d v="2023-01-29T00:00:00"/>
    <n v="19"/>
    <x v="0"/>
    <s v="France"/>
    <s v="Lyon"/>
    <s v="Non-Profit"/>
    <s v="Direct"/>
    <x v="0"/>
    <s v="Laptops"/>
    <s v="LAP-4551"/>
    <n v="401.66"/>
    <n v="772.09"/>
    <x v="47"/>
    <b v="0"/>
    <n v="14"/>
    <n v="9847.2358600000007"/>
    <n v="5623.2400000000007"/>
    <n v="4223.99586"/>
    <n v="0.42895244107619046"/>
    <s v="Low"/>
    <s v="Not Met"/>
    <x v="0"/>
  </r>
  <r>
    <s v="ORD-2023-653343"/>
    <d v="2023-11-10T00:00:00"/>
    <s v="Nov-2023"/>
    <s v="Q4-2023"/>
    <d v="2023-11-28T00:00:00"/>
    <d v="2023-11-28T00:00:00"/>
    <n v="18"/>
    <x v="2"/>
    <s v="Brazil"/>
    <s v="Brasília"/>
    <s v="Education"/>
    <s v="Marketplace"/>
    <x v="5"/>
    <s v="Accessories"/>
    <s v="ACC-5260"/>
    <n v="388.51"/>
    <n v="776.46"/>
    <x v="20"/>
    <b v="0"/>
    <n v="12"/>
    <n v="7854.6693599999999"/>
    <n v="4662.12"/>
    <n v="3192.54936"/>
    <n v="0.40645241876864946"/>
    <s v="Low"/>
    <s v="Not Met"/>
    <x v="0"/>
  </r>
  <r>
    <s v="ORD-2023-925146"/>
    <d v="2023-10-15T00:00:00"/>
    <s v="Oct-2023"/>
    <s v="Q4-2023"/>
    <d v="2023-11-13T00:00:00"/>
    <d v="2023-11-13T00:00:00"/>
    <n v="29"/>
    <x v="3"/>
    <s v="China"/>
    <s v="Shenzhen"/>
    <s v="Non-Profit"/>
    <s v="Distributor"/>
    <x v="3"/>
    <s v="Printers"/>
    <s v="PRN-4983"/>
    <n v="986.44"/>
    <n v="790.61"/>
    <x v="13"/>
    <b v="0"/>
    <n v="6"/>
    <n v="4402.1164799999997"/>
    <n v="5918.64"/>
    <n v="-1516.5235200000006"/>
    <n v="-0.34449872621271499"/>
    <s v="Low"/>
    <s v="Not Met"/>
    <x v="0"/>
  </r>
  <r>
    <s v="ORD-2025-411385"/>
    <d v="2025-06-05T00:00:00"/>
    <s v="Jun-2025"/>
    <s v="Q2-2025"/>
    <d v="2025-06-14T00:00:00"/>
    <d v="2025-06-14T00:00:00"/>
    <n v="9"/>
    <x v="3"/>
    <s v="India"/>
    <s v="Delhi"/>
    <s v="Non-Profit"/>
    <s v="Retail"/>
    <x v="13"/>
    <s v="Accessories"/>
    <s v="ACC-2902"/>
    <n v="618.69000000000005"/>
    <n v="796.15"/>
    <x v="120"/>
    <b v="0"/>
    <n v="11"/>
    <n v="7969.4615000000003"/>
    <n v="6805.59"/>
    <n v="1163.8715000000002"/>
    <n v="0.14604142325049191"/>
    <s v="Low"/>
    <s v="Not Met"/>
    <x v="0"/>
  </r>
  <r>
    <s v="ORD-2023-824839"/>
    <d v="2023-12-06T00:00:00"/>
    <s v="Dec-2023"/>
    <s v="Q4-2023"/>
    <d v="2023-12-31T00:00:00"/>
    <d v="2023-12-31T00:00:00"/>
    <n v="25"/>
    <x v="3"/>
    <s v="Japan"/>
    <s v="Osaka"/>
    <s v="Consumer"/>
    <s v="Retail"/>
    <x v="5"/>
    <s v="Printers"/>
    <s v="PRN-8041"/>
    <n v="663.03"/>
    <n v="813.51"/>
    <x v="0"/>
    <b v="0"/>
    <n v="15"/>
    <n v="10957.9797"/>
    <n v="9945.4499999999989"/>
    <n v="1012.529700000001"/>
    <n v="9.2401129379715952E-2"/>
    <s v="Low"/>
    <s v="Not Met"/>
    <x v="0"/>
  </r>
  <r>
    <s v="ORD-2024-961756"/>
    <d v="2024-11-25T00:00:00"/>
    <s v="Nov-2024"/>
    <s v="Q4-2024"/>
    <d v="2024-12-07T00:00:00"/>
    <d v="2024-12-07T00:00:00"/>
    <n v="12"/>
    <x v="3"/>
    <s v="China"/>
    <s v="Shanghai"/>
    <s v="Corporate"/>
    <s v="Distributor"/>
    <x v="13"/>
    <s v="Accessories"/>
    <s v="ACC-7047"/>
    <n v="769.9"/>
    <n v="814.36"/>
    <x v="33"/>
    <b v="0"/>
    <n v="5"/>
    <n v="4071.8"/>
    <n v="3849.5"/>
    <n v="222.30000000000018"/>
    <n v="5.4595019401738831E-2"/>
    <s v="Low"/>
    <s v="Not Met"/>
    <x v="0"/>
  </r>
  <r>
    <s v="ORD-2024-220234"/>
    <d v="2024-03-15T00:00:00"/>
    <s v="Mar-2024"/>
    <s v="Q1-2024"/>
    <d v="2024-04-09T00:00:00"/>
    <d v="2024-04-09T00:00:00"/>
    <n v="25"/>
    <x v="2"/>
    <s v="Canada"/>
    <s v="Vancouver"/>
    <s v="Consumer"/>
    <s v="Online"/>
    <x v="6"/>
    <s v="Monitors"/>
    <s v="MON-4361"/>
    <n v="648.64"/>
    <n v="815.19"/>
    <x v="125"/>
    <b v="0"/>
    <n v="28"/>
    <n v="17689.623"/>
    <n v="18161.919999999998"/>
    <n v="-472.29699999999866"/>
    <n v="-2.6699099240272032E-2"/>
    <s v="Medium"/>
    <s v="Not Met"/>
    <x v="1"/>
  </r>
  <r>
    <s v="ORD-2024-749242"/>
    <d v="2024-01-16T00:00:00"/>
    <s v="Jan-2024"/>
    <s v="Q1-2024"/>
    <d v="2024-02-11T00:00:00"/>
    <d v="2024-02-11T00:00:00"/>
    <n v="26"/>
    <x v="0"/>
    <s v="Germany"/>
    <s v="Frankfurt"/>
    <s v="Non-Profit"/>
    <s v="Distributor"/>
    <x v="10"/>
    <s v="Monitors"/>
    <s v="MON-4195"/>
    <n v="504.93"/>
    <n v="819.06"/>
    <x v="28"/>
    <b v="0"/>
    <n v="15"/>
    <n v="9509.2865999999995"/>
    <n v="7573.95"/>
    <n v="1935.3365999999996"/>
    <n v="0.20352069312959814"/>
    <s v="Medium"/>
    <s v="Not Met"/>
    <x v="1"/>
  </r>
  <r>
    <s v="ORD-2024-375848"/>
    <d v="2024-05-18T00:00:00"/>
    <s v="May-2024"/>
    <s v="Q2-2024"/>
    <d v="2024-05-21T00:00:00"/>
    <d v="2024-05-21T00:00:00"/>
    <n v="3"/>
    <x v="0"/>
    <s v="France"/>
    <s v="Marseille"/>
    <s v="Non-Profit"/>
    <s v="Marketplace"/>
    <x v="0"/>
    <s v="Printers"/>
    <s v="PRN-1725"/>
    <n v="663.66"/>
    <n v="824.26"/>
    <x v="126"/>
    <b v="0"/>
    <n v="11"/>
    <n v="6899.8804600000003"/>
    <n v="7300.2599999999993"/>
    <n v="-400.379539999999"/>
    <n v="-5.8027025587048933E-2"/>
    <s v="Medium"/>
    <s v="Met"/>
    <x v="1"/>
  </r>
  <r>
    <s v="ORD-2023-890605"/>
    <d v="2023-06-24T00:00:00"/>
    <s v="Jun-2023"/>
    <s v="Q2-2023"/>
    <d v="2023-06-22T00:00:00"/>
    <d v="2023-07-08T00:00:00"/>
    <n v="14"/>
    <x v="2"/>
    <s v="Canada"/>
    <s v="Toronto"/>
    <s v="Non-Profit"/>
    <s v="Retail"/>
    <x v="7"/>
    <s v="Accessories"/>
    <s v="ACC-2903"/>
    <n v="471.42"/>
    <n v="824.81"/>
    <x v="127"/>
    <b v="0"/>
    <n v="15"/>
    <n v="11283.400799999999"/>
    <n v="7071.3"/>
    <n v="4212.1007999999993"/>
    <n v="0.37330064531608231"/>
    <s v="Medium"/>
    <s v="Not Met"/>
    <x v="0"/>
  </r>
  <r>
    <s v="ORD-2024-364080"/>
    <d v="2024-04-16T00:00:00"/>
    <s v="Apr-2024"/>
    <s v="Q2-2024"/>
    <d v="2024-04-27T00:00:00"/>
    <d v="2024-04-27T00:00:00"/>
    <n v="11"/>
    <x v="1"/>
    <s v="Kenya"/>
    <s v="Nakuru"/>
    <s v="Enterprise"/>
    <s v="Online"/>
    <x v="0"/>
    <s v="Printers"/>
    <s v="PRN-2641"/>
    <n v="401.3"/>
    <n v="826.47"/>
    <x v="125"/>
    <b v="0"/>
    <n v="13"/>
    <n v="8326.6852500000005"/>
    <n v="5216.9000000000005"/>
    <n v="3109.7852499999999"/>
    <n v="0.37347217489696755"/>
    <s v="Medium"/>
    <s v="Not Met"/>
    <x v="1"/>
  </r>
  <r>
    <s v="ORD-2023-913592"/>
    <d v="2023-05-10T00:00:00"/>
    <s v="May-2023"/>
    <s v="Q2-2023"/>
    <d v="2023-05-14T00:00:00"/>
    <d v="2023-05-14T00:00:00"/>
    <n v="4"/>
    <x v="3"/>
    <s v="India"/>
    <s v="Delhi"/>
    <s v="Non-Profit"/>
    <s v="Distributor"/>
    <x v="8"/>
    <s v="Monitors"/>
    <s v="MON-2465"/>
    <n v="622.6"/>
    <n v="833.69"/>
    <x v="128"/>
    <b v="0"/>
    <n v="14"/>
    <n v="9232.2830599999998"/>
    <n v="8716.4"/>
    <n v="515.88306000000011"/>
    <n v="5.5878167582959715E-2"/>
    <s v="Medium"/>
    <s v="Met"/>
    <x v="1"/>
  </r>
  <r>
    <s v="ORD-2023-960380"/>
    <d v="2023-02-11T00:00:00"/>
    <s v="Feb-2023"/>
    <s v="Q1-2023"/>
    <d v="2023-02-12T00:00:00"/>
    <d v="2023-02-12T00:00:00"/>
    <n v="1"/>
    <x v="1"/>
    <s v="Nigeria"/>
    <s v="Port Harcourt"/>
    <s v="Non-Profit"/>
    <s v="Direct"/>
    <x v="0"/>
    <s v="Accessories"/>
    <s v="ACC-8242"/>
    <n v="944.61"/>
    <n v="839.04"/>
    <x v="93"/>
    <b v="0"/>
    <n v="6"/>
    <n v="4737.2198399999997"/>
    <n v="5667.66"/>
    <n v="-930.44016000000011"/>
    <n v="-0.19641059343363726"/>
    <s v="Medium"/>
    <s v="Met"/>
    <x v="0"/>
  </r>
  <r>
    <s v="ORD-2025-486350"/>
    <d v="2025-05-27T00:00:00"/>
    <s v="May-2025"/>
    <s v="Q2-2025"/>
    <d v="2025-06-08T00:00:00"/>
    <d v="2025-06-08T00:00:00"/>
    <n v="12"/>
    <x v="3"/>
    <s v="Japan"/>
    <s v="Osaka"/>
    <s v="Corporate"/>
    <s v="Retail"/>
    <x v="2"/>
    <s v="Accessories"/>
    <s v="ACC-1249"/>
    <n v="653.6"/>
    <n v="842.09"/>
    <x v="81"/>
    <b v="0"/>
    <n v="19"/>
    <n v="14431.738420000001"/>
    <n v="12418.4"/>
    <n v="2013.3384200000019"/>
    <n v="0.13950768517324622"/>
    <s v="Medium"/>
    <s v="Not Met"/>
    <x v="0"/>
  </r>
  <r>
    <s v="ORD-2023-596758"/>
    <d v="2023-12-07T00:00:00"/>
    <s v="Dec-2023"/>
    <s v="Q4-2023"/>
    <d v="2023-12-05T00:00:00"/>
    <d v="2023-12-21T00:00:00"/>
    <n v="14"/>
    <x v="3"/>
    <s v="Japan"/>
    <s v="Tokyo"/>
    <s v="Non-Profit"/>
    <s v="Marketplace"/>
    <x v="2"/>
    <s v="Printers"/>
    <s v="PRN-8175"/>
    <n v="1097.5899999999999"/>
    <n v="845.55"/>
    <x v="129"/>
    <b v="0"/>
    <n v="6"/>
    <n v="4139.8127999999997"/>
    <n v="6585.5399999999991"/>
    <n v="-2445.7271999999994"/>
    <n v="-0.59078207594314402"/>
    <s v="Medium"/>
    <s v="Not Met"/>
    <x v="0"/>
  </r>
  <r>
    <s v="ORD-2024-336584"/>
    <d v="2024-12-27T00:00:00"/>
    <s v="Dec-2024"/>
    <s v="Q4-2024"/>
    <d v="2025-01-14T00:00:00"/>
    <d v="2025-01-14T00:00:00"/>
    <n v="18"/>
    <x v="3"/>
    <s v="India"/>
    <s v="Bengaluru"/>
    <s v="Small Business"/>
    <s v="Marketplace"/>
    <x v="10"/>
    <s v="Monitors"/>
    <s v="MON-8629"/>
    <n v="586.07000000000005"/>
    <n v="845.97"/>
    <x v="115"/>
    <b v="0"/>
    <n v="4"/>
    <n v="2886.4496399999998"/>
    <n v="2344.2800000000002"/>
    <n v="542.16963999999962"/>
    <n v="0.18783270370862928"/>
    <s v="Medium"/>
    <s v="Not Met"/>
    <x v="0"/>
  </r>
  <r>
    <s v="ORD-2023-937291"/>
    <d v="2023-04-23T00:00:00"/>
    <s v="Apr-2023"/>
    <s v="Q2-2023"/>
    <d v="2023-04-22T00:00:00"/>
    <d v="2023-05-07T00:00:00"/>
    <n v="14"/>
    <x v="1"/>
    <s v="Kenya"/>
    <s v="Nairobi"/>
    <s v="Small Business"/>
    <s v="Direct"/>
    <x v="10"/>
    <s v="Laptops"/>
    <s v="LAP-1698"/>
    <n v="756.51"/>
    <n v="850.8"/>
    <x v="130"/>
    <b v="0"/>
    <n v="9"/>
    <n v="7090.5672000000004"/>
    <n v="6808.59"/>
    <n v="281.97720000000027"/>
    <n v="3.9767932810791252E-2"/>
    <s v="Medium"/>
    <s v="Not Met"/>
    <x v="0"/>
  </r>
  <r>
    <s v="ORD-2024-968374"/>
    <d v="2024-02-11T00:00:00"/>
    <s v="Feb-2024"/>
    <s v="Q1-2024"/>
    <d v="2024-03-03T00:00:00"/>
    <d v="2024-03-03T00:00:00"/>
    <n v="21"/>
    <x v="1"/>
    <s v="Kenya"/>
    <s v="Kisumu"/>
    <s v="Enterprise"/>
    <s v="Online"/>
    <x v="4"/>
    <s v="Phones"/>
    <s v="PHN-5082"/>
    <n v="516.86"/>
    <n v="852.54"/>
    <x v="131"/>
    <b v="0"/>
    <n v="14"/>
    <n v="11326.846439999999"/>
    <n v="7236.04"/>
    <n v="4090.8064399999994"/>
    <n v="0.36116022775355994"/>
    <s v="Medium"/>
    <s v="Not Met"/>
    <x v="0"/>
  </r>
  <r>
    <s v="ORD-2025-649633"/>
    <d v="2025-07-19T00:00:00"/>
    <s v="Jul-2025"/>
    <s v="Q3-2025"/>
    <d v="2025-07-31T00:00:00"/>
    <d v="2025-07-31T00:00:00"/>
    <n v="12"/>
    <x v="1"/>
    <s v="Kenya"/>
    <s v="Nairobi"/>
    <s v="Small Business"/>
    <s v="Marketplace"/>
    <x v="11"/>
    <s v="Accessories"/>
    <s v="ACC-1028"/>
    <n v="619.64"/>
    <n v="861.16"/>
    <x v="61"/>
    <b v="0"/>
    <n v="14"/>
    <n v="10693.88488"/>
    <n v="8674.9599999999991"/>
    <n v="2018.9248800000005"/>
    <n v="0.18879246435276761"/>
    <s v="Medium"/>
    <s v="Not Met"/>
    <x v="0"/>
  </r>
  <r>
    <s v="ORD-2025-281413"/>
    <d v="2025-08-03T00:00:00"/>
    <s v="Aug-2025"/>
    <s v="Q3-2025"/>
    <d v="2025-08-16T00:00:00"/>
    <d v="2025-08-16T00:00:00"/>
    <n v="13"/>
    <x v="2"/>
    <s v="Canada"/>
    <s v="Montreal"/>
    <s v="Enterprise"/>
    <s v="Distributor"/>
    <x v="11"/>
    <s v="Networking"/>
    <s v="NET-3785"/>
    <n v="698.66"/>
    <n v="868.62"/>
    <x v="13"/>
    <b v="0"/>
    <n v="15"/>
    <n v="12091.190399999999"/>
    <n v="10479.9"/>
    <n v="1611.2903999999999"/>
    <n v="0.13326151906432637"/>
    <s v="Medium"/>
    <s v="Not Met"/>
    <x v="0"/>
  </r>
  <r>
    <s v="ORD-2023-964434"/>
    <d v="2023-11-28T00:00:00"/>
    <s v="Nov-2023"/>
    <s v="Q4-2023"/>
    <d v="2023-12-07T00:00:00"/>
    <d v="2023-12-07T00:00:00"/>
    <n v="9"/>
    <x v="3"/>
    <s v="India"/>
    <s v="Delhi"/>
    <s v="Enterprise"/>
    <s v="Marketplace"/>
    <x v="5"/>
    <s v="Phones"/>
    <s v="PHN-2447"/>
    <n v="699.33"/>
    <n v="873.75"/>
    <x v="132"/>
    <b v="0"/>
    <n v="10"/>
    <n v="6684.1875"/>
    <n v="6993.3"/>
    <n v="-309.11250000000018"/>
    <n v="-4.6245336475076469E-2"/>
    <s v="Medium"/>
    <s v="Not Met"/>
    <x v="1"/>
  </r>
  <r>
    <s v="ORD-2024-542244"/>
    <d v="2024-08-30T00:00:00"/>
    <s v="Aug-2024"/>
    <s v="Q3-2024"/>
    <d v="2024-09-05T00:00:00"/>
    <d v="2024-09-05T00:00:00"/>
    <n v="6"/>
    <x v="3"/>
    <s v="Japan"/>
    <s v="Nagoya"/>
    <s v="Education"/>
    <s v="Online"/>
    <x v="9"/>
    <s v="Laptops"/>
    <s v="LAP-7009"/>
    <n v="466.16"/>
    <n v="876.81"/>
    <x v="133"/>
    <b v="0"/>
    <n v="8"/>
    <n v="5323.9903199999999"/>
    <n v="3729.28"/>
    <n v="1594.7103199999997"/>
    <n v="0.29953291124691594"/>
    <s v="Medium"/>
    <s v="Met"/>
    <x v="1"/>
  </r>
  <r>
    <s v="ORD-2023-676553"/>
    <d v="2023-05-20T00:00:00"/>
    <s v="May-2023"/>
    <s v="Q2-2023"/>
    <d v="2023-06-19T00:00:00"/>
    <d v="2023-06-19T00:00:00"/>
    <n v="30"/>
    <x v="3"/>
    <s v="India"/>
    <s v="Delhi"/>
    <s v="Non-Profit"/>
    <s v="Marketplace"/>
    <x v="2"/>
    <s v="Laptops"/>
    <s v="LAP-2806"/>
    <n v="1161.2"/>
    <n v="878.73"/>
    <x v="134"/>
    <b v="0"/>
    <n v="31"/>
    <n v="22064.910300000003"/>
    <n v="35997.200000000004"/>
    <n v="-13932.289700000001"/>
    <n v="-0.63142290227212028"/>
    <s v="Medium"/>
    <s v="Not Met"/>
    <x v="0"/>
  </r>
  <r>
    <s v="ORD-2025-909340"/>
    <d v="2025-01-20T00:00:00"/>
    <s v="Jan-2025"/>
    <s v="Q1-2025"/>
    <d v="2025-02-03T00:00:00"/>
    <d v="2025-02-03T00:00:00"/>
    <n v="14"/>
    <x v="2"/>
    <s v="Brazil"/>
    <s v="Brasília"/>
    <s v="Enterprise"/>
    <s v="Marketplace"/>
    <x v="6"/>
    <s v="Components"/>
    <s v="CMP-8658"/>
    <n v="974.11"/>
    <n v="880.99"/>
    <x v="94"/>
    <b v="0"/>
    <n v="10"/>
    <n v="7832.0010999999995"/>
    <n v="9741.1"/>
    <n v="-1909.0989000000009"/>
    <n v="-0.2437562093805121"/>
    <s v="Medium"/>
    <s v="Not Met"/>
    <x v="0"/>
  </r>
  <r>
    <s v="ORD-2023-382017"/>
    <d v="2023-01-13T00:00:00"/>
    <s v="Jan-2023"/>
    <s v="Q1-2023"/>
    <d v="2023-01-19T00:00:00"/>
    <d v="2023-01-19T00:00:00"/>
    <n v="6"/>
    <x v="2"/>
    <s v="USA"/>
    <s v="Chicago"/>
    <s v="Corporate"/>
    <s v="Direct"/>
    <x v="2"/>
    <s v="Phones"/>
    <s v="PHN-3159"/>
    <n v="833.57"/>
    <n v="881.57"/>
    <x v="31"/>
    <b v="0"/>
    <n v="18"/>
    <n v="14963.769179999999"/>
    <n v="15004.26"/>
    <n v="-40.490820000000895"/>
    <n v="-2.7059238560107821E-3"/>
    <s v="Medium"/>
    <s v="Met"/>
    <x v="0"/>
  </r>
  <r>
    <s v="ORD-2025-737787"/>
    <d v="2025-09-14T00:00:00"/>
    <s v="Sep-2025"/>
    <s v="Q3-2025"/>
    <d v="2025-09-26T00:00:00"/>
    <d v="2025-09-26T00:00:00"/>
    <n v="12"/>
    <x v="0"/>
    <s v="United Kingdom"/>
    <s v="London"/>
    <s v="Small Business"/>
    <s v="Direct"/>
    <x v="9"/>
    <s v="Networking"/>
    <s v="NET-9003"/>
    <n v="425.15"/>
    <n v="885.92"/>
    <x v="126"/>
    <b v="0"/>
    <n v="13"/>
    <n v="8764.4065599999994"/>
    <n v="5526.95"/>
    <n v="3237.4565599999996"/>
    <n v="0.3693868532725848"/>
    <s v="Medium"/>
    <s v="Not Met"/>
    <x v="1"/>
  </r>
  <r>
    <s v="ORD-2024-212990"/>
    <d v="2024-08-12T00:00:00"/>
    <s v="Aug-2024"/>
    <s v="Q3-2024"/>
    <d v="2024-09-03T00:00:00"/>
    <d v="2024-09-03T00:00:00"/>
    <n v="22"/>
    <x v="2"/>
    <s v="USA"/>
    <s v="Austin"/>
    <s v="Consumer"/>
    <s v="Distributor"/>
    <x v="1"/>
    <s v="Laptops"/>
    <s v="LAP-7979"/>
    <n v="797.8"/>
    <n v="886.22"/>
    <x v="135"/>
    <b v="0"/>
    <n v="36"/>
    <n v="24374.594880000001"/>
    <n v="28720.799999999999"/>
    <n v="-4346.2051199999987"/>
    <n v="-0.17830881462428633"/>
    <s v="Medium"/>
    <s v="Not Met"/>
    <x v="1"/>
  </r>
  <r>
    <s v="ORD-2023-399631"/>
    <d v="2023-06-22T00:00:00"/>
    <s v="Jun-2023"/>
    <s v="Q2-2023"/>
    <d v="2023-07-21T00:00:00"/>
    <d v="2023-07-21T00:00:00"/>
    <n v="29"/>
    <x v="0"/>
    <s v="France"/>
    <s v="Lyon"/>
    <s v="Corporate"/>
    <s v="Retail"/>
    <x v="3"/>
    <s v="Accessories"/>
    <s v="ACC-3385"/>
    <n v="734.34"/>
    <n v="887.9"/>
    <x v="136"/>
    <b v="0"/>
    <n v="12"/>
    <n v="10388.429999999998"/>
    <n v="8812.08"/>
    <n v="1576.3499999999985"/>
    <n v="0.15174092716608753"/>
    <s v="Medium"/>
    <s v="Not Met"/>
    <x v="0"/>
  </r>
  <r>
    <s v="ORD-2024-567435"/>
    <d v="2024-04-26T00:00:00"/>
    <s v="Apr-2024"/>
    <s v="Q2-2024"/>
    <d v="2024-04-24T00:00:00"/>
    <d v="2024-05-10T00:00:00"/>
    <n v="14"/>
    <x v="0"/>
    <s v="United Kingdom"/>
    <s v="London"/>
    <s v="Non-Profit"/>
    <s v="Distributor"/>
    <x v="9"/>
    <s v="Phones"/>
    <s v="PHN-9107"/>
    <n v="1232.77"/>
    <n v="891.73"/>
    <x v="42"/>
    <b v="0"/>
    <n v="10"/>
    <n v="7428.1108999999988"/>
    <n v="12327.7"/>
    <n v="-4899.589100000002"/>
    <n v="-0.65960096260813805"/>
    <s v="Medium"/>
    <s v="Not Met"/>
    <x v="0"/>
  </r>
  <r>
    <s v="ORD-2025-678328"/>
    <d v="2025-06-24T00:00:00"/>
    <s v="Jun-2025"/>
    <s v="Q2-2025"/>
    <d v="2025-07-14T00:00:00"/>
    <d v="2025-07-14T00:00:00"/>
    <n v="20"/>
    <x v="0"/>
    <s v="Germany"/>
    <s v="Berlin"/>
    <s v="Corporate"/>
    <s v="Direct"/>
    <x v="11"/>
    <s v="Accessories"/>
    <s v="ACC-8094"/>
    <n v="385.08"/>
    <n v="893.19"/>
    <x v="11"/>
    <b v="0"/>
    <n v="8"/>
    <n v="6066.54648"/>
    <n v="3080.64"/>
    <n v="2985.9064800000001"/>
    <n v="0.49219213762621666"/>
    <s v="Medium"/>
    <s v="Not Met"/>
    <x v="0"/>
  </r>
  <r>
    <s v="ORD-2024-398783"/>
    <d v="2024-07-18T00:00:00"/>
    <s v="Jul-2024"/>
    <s v="Q3-2024"/>
    <d v="2024-08-07T00:00:00"/>
    <d v="2024-08-07T00:00:00"/>
    <n v="20"/>
    <x v="0"/>
    <s v="France"/>
    <s v="Marseille"/>
    <s v="Corporate"/>
    <s v="Retail"/>
    <x v="6"/>
    <s v="Monitors"/>
    <s v="MON-7622"/>
    <n v="941.35"/>
    <n v="899.83"/>
    <x v="118"/>
    <b v="0"/>
    <n v="18"/>
    <n v="15257.51748"/>
    <n v="16944.3"/>
    <n v="-1686.7825199999988"/>
    <n v="-0.11055419220139073"/>
    <s v="Medium"/>
    <s v="Not Met"/>
    <x v="0"/>
  </r>
  <r>
    <s v="ORD-2023-126505"/>
    <d v="2023-12-19T00:00:00"/>
    <s v="Dec-2023"/>
    <s v="Q4-2023"/>
    <d v="2024-01-01T00:00:00"/>
    <d v="2024-01-01T00:00:00"/>
    <n v="13"/>
    <x v="2"/>
    <s v="Canada"/>
    <s v="Toronto"/>
    <s v="Enterprise"/>
    <s v="Retail"/>
    <x v="12"/>
    <s v="Monitors"/>
    <s v="MON-6065"/>
    <n v="856.1"/>
    <n v="901.48"/>
    <x v="60"/>
    <b v="0"/>
    <n v="17"/>
    <n v="14466.95104"/>
    <n v="14553.7"/>
    <n v="-86.748960000000807"/>
    <n v="-5.9963540182134192E-3"/>
    <s v="Medium"/>
    <s v="Not Met"/>
    <x v="0"/>
  </r>
  <r>
    <s v="ORD-2024-655710"/>
    <d v="2024-11-30T00:00:00"/>
    <s v="Nov-2024"/>
    <s v="Q4-2024"/>
    <d v="2024-12-10T00:00:00"/>
    <d v="2024-12-10T00:00:00"/>
    <n v="10"/>
    <x v="3"/>
    <s v="India"/>
    <s v="Hyderabad"/>
    <s v="Small Business"/>
    <s v="Retail"/>
    <x v="6"/>
    <s v="Accessories"/>
    <s v="ACC-1075"/>
    <n v="851.49"/>
    <n v="901.79"/>
    <x v="137"/>
    <b v="0"/>
    <n v="16"/>
    <n v="10893.6232"/>
    <n v="13623.84"/>
    <n v="-2730.2168000000001"/>
    <n v="-0.25062522816100341"/>
    <s v="Medium"/>
    <s v="Not Met"/>
    <x v="1"/>
  </r>
  <r>
    <s v="ORD-2023-502205"/>
    <d v="2023-10-09T00:00:00"/>
    <s v="Oct-2023"/>
    <s v="Q4-2023"/>
    <d v="2023-10-11T00:00:00"/>
    <d v="2023-10-11T00:00:00"/>
    <n v="2"/>
    <x v="1"/>
    <s v="Nigeria"/>
    <s v="Port Harcourt"/>
    <s v="Education"/>
    <s v="Marketplace"/>
    <x v="12"/>
    <s v="Networking"/>
    <s v="NET-8856"/>
    <n v="391.16"/>
    <n v="902.47"/>
    <x v="91"/>
    <b v="0"/>
    <n v="12"/>
    <n v="10786.32144"/>
    <n v="4693.92"/>
    <n v="6092.4014399999996"/>
    <n v="0.56482661618139207"/>
    <s v="Medium"/>
    <s v="Met"/>
    <x v="0"/>
  </r>
  <r>
    <s v="ORD-2024-885858"/>
    <d v="2024-01-10T00:00:00"/>
    <s v="Jan-2024"/>
    <s v="Q1-2024"/>
    <d v="2024-01-23T00:00:00"/>
    <d v="2024-01-23T00:00:00"/>
    <n v="13"/>
    <x v="0"/>
    <s v="France"/>
    <s v="Marseille"/>
    <s v="Corporate"/>
    <s v="Direct"/>
    <x v="13"/>
    <s v="Printers"/>
    <s v="PRN-6776"/>
    <n v="720"/>
    <n v="907.59"/>
    <x v="138"/>
    <b v="0"/>
    <n v="10"/>
    <n v="7678.2113999999992"/>
    <n v="7200"/>
    <n v="478.21139999999923"/>
    <n v="6.2281614179052078E-2"/>
    <s v="Medium"/>
    <s v="Not Met"/>
    <x v="0"/>
  </r>
  <r>
    <s v="ORD-2023-378104"/>
    <d v="2023-10-18T00:00:00"/>
    <s v="Oct-2023"/>
    <s v="Q4-2023"/>
    <d v="2023-10-20T00:00:00"/>
    <d v="2023-10-20T00:00:00"/>
    <n v="2"/>
    <x v="1"/>
    <s v="Kenya"/>
    <s v="Kisumu"/>
    <s v="Consumer"/>
    <s v="Retail"/>
    <x v="3"/>
    <s v="Phones"/>
    <s v="PHN-8891"/>
    <n v="774.12"/>
    <n v="908.3"/>
    <x v="33"/>
    <b v="0"/>
    <n v="30"/>
    <n v="27249"/>
    <n v="23223.599999999999"/>
    <n v="4025.4000000000015"/>
    <n v="0.14772652207420461"/>
    <s v="Medium"/>
    <s v="Met"/>
    <x v="0"/>
  </r>
  <r>
    <s v="ORD-2025-526752"/>
    <d v="2025-06-09T00:00:00"/>
    <s v="Jun-2025"/>
    <s v="Q2-2025"/>
    <d v="2025-06-25T00:00:00"/>
    <d v="2025-06-25T00:00:00"/>
    <n v="16"/>
    <x v="3"/>
    <s v="India"/>
    <s v="Hyderabad"/>
    <s v="Enterprise"/>
    <s v="Distributor"/>
    <x v="7"/>
    <s v="Phones"/>
    <s v="PHN-3482"/>
    <n v="527.33000000000004"/>
    <n v="911.72"/>
    <x v="12"/>
    <b v="0"/>
    <n v="25"/>
    <n v="19510.808000000001"/>
    <n v="13183.250000000002"/>
    <n v="6327.5579999999991"/>
    <n v="0.32431040272652978"/>
    <s v="Medium"/>
    <s v="Not Met"/>
    <x v="0"/>
  </r>
  <r>
    <s v="ORD-2023-276806"/>
    <d v="2023-03-04T00:00:00"/>
    <s v="Mar-2023"/>
    <s v="Q1-2023"/>
    <d v="2023-03-24T00:00:00"/>
    <d v="2023-03-24T00:00:00"/>
    <n v="20"/>
    <x v="2"/>
    <s v="Canada"/>
    <s v="Montreal"/>
    <s v="Consumer"/>
    <s v="Distributor"/>
    <x v="1"/>
    <s v="Laptops"/>
    <s v="LAP-6160"/>
    <n v="481.71"/>
    <n v="912.45"/>
    <x v="139"/>
    <b v="0"/>
    <n v="24"/>
    <n v="17453.3436"/>
    <n v="11561.039999999999"/>
    <n v="5892.3036000000011"/>
    <n v="0.33760313983619739"/>
    <s v="Medium"/>
    <s v="Not Met"/>
    <x v="1"/>
  </r>
  <r>
    <s v="ORD-2023-931633"/>
    <d v="2023-05-14T00:00:00"/>
    <s v="May-2023"/>
    <s v="Q2-2023"/>
    <d v="2023-05-22T00:00:00"/>
    <d v="2023-05-22T00:00:00"/>
    <n v="8"/>
    <x v="1"/>
    <s v="Kenya"/>
    <s v="Mombasa"/>
    <s v="Small Business"/>
    <s v="Distributor"/>
    <x v="6"/>
    <s v="Printers"/>
    <s v="PRN-9488"/>
    <n v="432.01"/>
    <n v="913.78"/>
    <x v="64"/>
    <b v="0"/>
    <n v="12"/>
    <n v="10428.057360000001"/>
    <n v="5184.12"/>
    <n v="5243.9373600000008"/>
    <n v="0.50286809699711899"/>
    <s v="Medium"/>
    <s v="Not Met"/>
    <x v="0"/>
  </r>
  <r>
    <s v="ORD-2023-949710"/>
    <d v="2023-03-07T00:00:00"/>
    <s v="Mar-2023"/>
    <s v="Q1-2023"/>
    <d v="2023-04-01T00:00:00"/>
    <d v="2023-04-01T00:00:00"/>
    <n v="25"/>
    <x v="1"/>
    <s v="Kenya"/>
    <s v="Nairobi"/>
    <s v="Consumer"/>
    <s v="Marketplace"/>
    <x v="0"/>
    <s v="Printers"/>
    <s v="PRN-7049"/>
    <n v="1024.0999999999999"/>
    <n v="918.19"/>
    <x v="140"/>
    <b v="0"/>
    <n v="10"/>
    <n v="7446.5209000000004"/>
    <n v="10241"/>
    <n v="-2794.4790999999996"/>
    <n v="-0.37527311579827827"/>
    <s v="Medium"/>
    <s v="Not Met"/>
    <x v="0"/>
  </r>
  <r>
    <s v="ORD-2024-902741"/>
    <d v="2024-12-23T00:00:00"/>
    <s v="Dec-2024"/>
    <s v="Q4-2024"/>
    <d v="2025-01-11T00:00:00"/>
    <d v="2025-01-11T00:00:00"/>
    <n v="19"/>
    <x v="0"/>
    <s v="Germany"/>
    <s v="Berlin"/>
    <s v="Education"/>
    <s v="Retail"/>
    <x v="12"/>
    <s v="Phones"/>
    <s v="PHN-8057"/>
    <n v="501.81"/>
    <n v="921.62"/>
    <x v="141"/>
    <b v="0"/>
    <n v="9"/>
    <n v="8211.6342000000004"/>
    <n v="4516.29"/>
    <n v="3695.3442000000005"/>
    <n v="0.45001325071202031"/>
    <s v="Medium"/>
    <s v="Not Met"/>
    <x v="0"/>
  </r>
  <r>
    <s v="ORD-2025-898022"/>
    <d v="2025-09-02T00:00:00"/>
    <s v="Sep-2025"/>
    <s v="Q3-2025"/>
    <d v="2025-09-11T00:00:00"/>
    <d v="2025-09-11T00:00:00"/>
    <n v="9"/>
    <x v="2"/>
    <s v="Canada"/>
    <s v="Toronto"/>
    <s v="Corporate"/>
    <s v="Distributor"/>
    <x v="7"/>
    <s v="Printers"/>
    <s v="PRN-1276"/>
    <n v="1207.6300000000001"/>
    <n v="921.68"/>
    <x v="71"/>
    <b v="0"/>
    <n v="17"/>
    <n v="12597.52224"/>
    <n v="20529.710000000003"/>
    <n v="-7932.1877600000025"/>
    <n v="-0.62966253274897988"/>
    <s v="Medium"/>
    <s v="Not Met"/>
    <x v="0"/>
  </r>
  <r>
    <s v="ORD-2024-692673"/>
    <d v="2024-03-07T00:00:00"/>
    <s v="Mar-2024"/>
    <s v="Q1-2024"/>
    <d v="2024-03-25T00:00:00"/>
    <d v="2024-03-25T00:00:00"/>
    <n v="18"/>
    <x v="0"/>
    <s v="Germany"/>
    <s v="Munich"/>
    <s v="Corporate"/>
    <s v="Online"/>
    <x v="4"/>
    <s v="Components"/>
    <s v="CMP-7617"/>
    <n v="712.84"/>
    <n v="927.51"/>
    <x v="142"/>
    <b v="0"/>
    <n v="27"/>
    <n v="18957.37689"/>
    <n v="19246.68"/>
    <n v="-289.30311000000074"/>
    <n v="-1.5260714163076427E-2"/>
    <s v="Medium"/>
    <s v="Not Met"/>
    <x v="1"/>
  </r>
  <r>
    <s v="ORD-2023-747341"/>
    <d v="2023-04-19T00:00:00"/>
    <s v="Apr-2023"/>
    <s v="Q2-2023"/>
    <d v="2023-04-28T00:00:00"/>
    <d v="2023-04-28T00:00:00"/>
    <n v="9"/>
    <x v="2"/>
    <s v="Brazil"/>
    <s v="Rio de Janeiro"/>
    <s v="Corporate"/>
    <s v="Distributor"/>
    <x v="7"/>
    <s v="Phones"/>
    <s v="PHN-7132"/>
    <n v="1013.54"/>
    <n v="927.93"/>
    <x v="143"/>
    <b v="0"/>
    <n v="16"/>
    <n v="12248.675999999999"/>
    <n v="16216.64"/>
    <n v="-3967.9639999999999"/>
    <n v="-0.32395044166406234"/>
    <s v="Medium"/>
    <s v="Not Met"/>
    <x v="0"/>
  </r>
  <r>
    <s v="ORD-2023-144816"/>
    <d v="2023-05-07T00:00:00"/>
    <s v="May-2023"/>
    <s v="Q2-2023"/>
    <d v="2023-05-29T00:00:00"/>
    <d v="2023-05-29T00:00:00"/>
    <n v="22"/>
    <x v="1"/>
    <s v="South Africa"/>
    <s v="Durban"/>
    <s v="Education"/>
    <s v="Distributor"/>
    <x v="12"/>
    <s v="Accessories"/>
    <s v="ACC-2364"/>
    <n v="653.86"/>
    <n v="931.84"/>
    <x v="34"/>
    <b v="0"/>
    <n v="12"/>
    <n v="9829.0483199999999"/>
    <n v="7846.32"/>
    <n v="1982.7283200000002"/>
    <n v="0.20172129136506273"/>
    <s v="Medium"/>
    <s v="Not Met"/>
    <x v="0"/>
  </r>
  <r>
    <s v="ORD-2025-757957"/>
    <d v="2025-04-24T00:00:00"/>
    <s v="Apr-2025"/>
    <s v="Q2-2025"/>
    <d v="2025-05-06T00:00:00"/>
    <d v="2025-05-06T00:00:00"/>
    <n v="12"/>
    <x v="2"/>
    <s v="Brazil"/>
    <s v="Brasília"/>
    <s v="Consumer"/>
    <s v="Online"/>
    <x v="8"/>
    <s v="Phones"/>
    <s v="PHN-2787"/>
    <n v="394.13"/>
    <n v="932.29"/>
    <x v="144"/>
    <b v="0"/>
    <n v="7"/>
    <n v="5814.6927299999998"/>
    <n v="2758.91"/>
    <n v="3055.7827299999999"/>
    <n v="0.5255278089303268"/>
    <s v="Medium"/>
    <s v="Not Met"/>
    <x v="0"/>
  </r>
  <r>
    <s v="ORD-2024-777623"/>
    <d v="2024-09-19T00:00:00"/>
    <s v="Sep-2024"/>
    <s v="Q3-2024"/>
    <d v="2024-10-14T00:00:00"/>
    <d v="2024-10-14T00:00:00"/>
    <n v="25"/>
    <x v="2"/>
    <s v="Brazil"/>
    <s v="Rio de Janeiro"/>
    <s v="Small Business"/>
    <s v="Retail"/>
    <x v="12"/>
    <s v="Printers"/>
    <s v="PRN-2749"/>
    <n v="386.96"/>
    <n v="937.46"/>
    <x v="145"/>
    <b v="0"/>
    <n v="41"/>
    <n v="28211.92124"/>
    <n v="15865.359999999999"/>
    <n v="12346.561240000001"/>
    <n v="0.43763631462626335"/>
    <s v="Medium"/>
    <s v="Not Met"/>
    <x v="1"/>
  </r>
  <r>
    <s v="ORD-2025-993993"/>
    <d v="2025-08-30T00:00:00"/>
    <s v="Aug-2025"/>
    <s v="Q3-2025"/>
    <d v="2025-09-22T00:00:00"/>
    <d v="2025-09-22T00:00:00"/>
    <n v="23"/>
    <x v="0"/>
    <s v="France"/>
    <s v="Marseille"/>
    <s v="Corporate"/>
    <s v="Direct"/>
    <x v="10"/>
    <s v="Components"/>
    <s v="CMP-5311"/>
    <n v="663.9"/>
    <n v="947.77"/>
    <x v="98"/>
    <b v="0"/>
    <n v="15"/>
    <n v="11742.8703"/>
    <n v="9958.5"/>
    <n v="1784.3703000000005"/>
    <n v="0.1519535049280073"/>
    <s v="Medium"/>
    <s v="Not Met"/>
    <x v="0"/>
  </r>
  <r>
    <s v="ORD-2024-211453"/>
    <d v="2024-04-04T00:00:00"/>
    <s v="Apr-2024"/>
    <s v="Q2-2024"/>
    <d v="2024-04-24T00:00:00"/>
    <d v="2024-04-24T00:00:00"/>
    <n v="20"/>
    <x v="0"/>
    <s v="Germany"/>
    <s v="Frankfurt"/>
    <s v="Non-Profit"/>
    <s v="Direct"/>
    <x v="11"/>
    <s v="Accessories"/>
    <s v="ACC-6543"/>
    <n v="683.42"/>
    <n v="951.51"/>
    <x v="33"/>
    <b v="0"/>
    <n v="14"/>
    <n v="13321.14"/>
    <n v="9567.8799999999992"/>
    <n v="3753.26"/>
    <n v="0.28175216235247136"/>
    <s v="Medium"/>
    <s v="Not Met"/>
    <x v="0"/>
  </r>
  <r>
    <s v="ORD-2025-779530"/>
    <d v="2025-05-19T00:00:00"/>
    <s v="May-2025"/>
    <s v="Q2-2025"/>
    <d v="2025-05-17T00:00:00"/>
    <d v="2025-06-02T00:00:00"/>
    <n v="14"/>
    <x v="2"/>
    <s v="Brazil"/>
    <s v="São Paulo"/>
    <s v="Small Business"/>
    <s v="Distributor"/>
    <x v="5"/>
    <s v="Monitors"/>
    <s v="MON-2993"/>
    <n v="383.77"/>
    <n v="952.56"/>
    <x v="33"/>
    <b v="0"/>
    <n v="10"/>
    <n v="9525.5999999999985"/>
    <n v="3837.7"/>
    <n v="5687.8999999999987"/>
    <n v="0.59711724195851179"/>
    <s v="Medium"/>
    <s v="Not Met"/>
    <x v="0"/>
  </r>
  <r>
    <s v="ORD-2024-356812"/>
    <d v="2024-03-07T00:00:00"/>
    <s v="Mar-2024"/>
    <s v="Q1-2024"/>
    <d v="2024-04-03T00:00:00"/>
    <d v="2024-04-03T00:00:00"/>
    <n v="27"/>
    <x v="0"/>
    <s v="Germany"/>
    <s v="Frankfurt"/>
    <s v="Corporate"/>
    <s v="Direct"/>
    <x v="7"/>
    <s v="Printers"/>
    <s v="PRN-6911"/>
    <n v="738.16"/>
    <n v="956.49"/>
    <x v="146"/>
    <b v="0"/>
    <n v="5"/>
    <n v="4055.5175999999997"/>
    <n v="3690.7999999999997"/>
    <n v="364.71759999999995"/>
    <n v="8.9931208780847108E-2"/>
    <s v="Medium"/>
    <s v="Not Met"/>
    <x v="0"/>
  </r>
  <r>
    <s v="ORD-2025-337268"/>
    <d v="2025-02-16T00:00:00"/>
    <s v="Feb-2025"/>
    <s v="Q1-2025"/>
    <d v="2025-03-17T00:00:00"/>
    <d v="2025-03-17T00:00:00"/>
    <n v="29"/>
    <x v="0"/>
    <s v="Germany"/>
    <s v="Munich"/>
    <s v="Consumer"/>
    <s v="Retail"/>
    <x v="5"/>
    <s v="Accessories"/>
    <s v="ACC-5150"/>
    <n v="730.42"/>
    <n v="956.7"/>
    <x v="106"/>
    <b v="0"/>
    <n v="22"/>
    <n v="20163.409200000002"/>
    <n v="16069.24"/>
    <n v="4094.1692000000021"/>
    <n v="0.20304945256975698"/>
    <s v="Medium"/>
    <s v="Not Met"/>
    <x v="0"/>
  </r>
  <r>
    <s v="ORD-2023-294716"/>
    <d v="2023-04-10T00:00:00"/>
    <s v="Apr-2023"/>
    <s v="Q2-2023"/>
    <d v="2023-04-25T00:00:00"/>
    <d v="2023-04-25T00:00:00"/>
    <n v="15"/>
    <x v="0"/>
    <s v="United Kingdom"/>
    <s v="London"/>
    <s v="Small Business"/>
    <s v="Retail"/>
    <x v="0"/>
    <s v="Printers"/>
    <s v="PRN-5067"/>
    <n v="405.66"/>
    <n v="962.51"/>
    <x v="134"/>
    <b v="0"/>
    <n v="7"/>
    <n v="5457.4317000000001"/>
    <n v="2839.6200000000003"/>
    <n v="2617.8116999999997"/>
    <n v="0.47967832561239376"/>
    <s v="Medium"/>
    <s v="Not Met"/>
    <x v="0"/>
  </r>
  <r>
    <s v="ORD-2023-573656"/>
    <d v="2023-05-02T00:00:00"/>
    <s v="May-2023"/>
    <s v="Q2-2023"/>
    <d v="2023-05-16T00:00:00"/>
    <d v="2023-05-16T00:00:00"/>
    <n v="14"/>
    <x v="3"/>
    <s v="India"/>
    <s v="Bengaluru"/>
    <s v="Non-Profit"/>
    <s v="Retail"/>
    <x v="5"/>
    <s v="Monitors"/>
    <s v="MON-4830"/>
    <n v="475.37"/>
    <n v="963.73"/>
    <x v="87"/>
    <b v="0"/>
    <n v="22"/>
    <n v="20332.775539999999"/>
    <n v="10458.14"/>
    <n v="9874.6355399999993"/>
    <n v="0.48565113604750881"/>
    <s v="Medium"/>
    <s v="Not Met"/>
    <x v="0"/>
  </r>
  <r>
    <s v="ORD-2023-197661"/>
    <d v="2023-08-08T00:00:00"/>
    <s v="Aug-2023"/>
    <s v="Q3-2023"/>
    <d v="2023-08-22T00:00:00"/>
    <d v="2023-08-22T00:00:00"/>
    <n v="14"/>
    <x v="0"/>
    <s v="United Kingdom"/>
    <s v="Birmingham"/>
    <s v="Non-Profit"/>
    <s v="Direct"/>
    <x v="9"/>
    <s v="Monitors"/>
    <s v="MON-7511"/>
    <n v="446.69"/>
    <n v="967.25"/>
    <x v="75"/>
    <b v="0"/>
    <n v="10"/>
    <n v="8763.2849999999999"/>
    <n v="4466.8999999999996"/>
    <n v="4296.3850000000002"/>
    <n v="0.49027105702941309"/>
    <s v="Medium"/>
    <s v="Not Met"/>
    <x v="0"/>
  </r>
  <r>
    <s v="ORD-2024-997336"/>
    <d v="2024-10-04T00:00:00"/>
    <s v="Oct-2024"/>
    <s v="Q4-2024"/>
    <d v="2024-11-02T00:00:00"/>
    <d v="2024-11-02T00:00:00"/>
    <n v="29"/>
    <x v="1"/>
    <s v="Nigeria"/>
    <s v="Abuja"/>
    <s v="Corporate"/>
    <s v="Distributor"/>
    <x v="6"/>
    <s v="Accessories"/>
    <s v="ACC-9038"/>
    <n v="412.09"/>
    <n v="968.94"/>
    <x v="147"/>
    <b v="0"/>
    <n v="23"/>
    <n v="20079.343620000003"/>
    <n v="9478.07"/>
    <n v="10601.273620000004"/>
    <n v="0.52796913189137418"/>
    <s v="Medium"/>
    <s v="Not Met"/>
    <x v="0"/>
  </r>
  <r>
    <s v="ORD-2024-310809"/>
    <d v="2024-04-05T00:00:00"/>
    <s v="Apr-2024"/>
    <s v="Q2-2024"/>
    <d v="2024-04-09T00:00:00"/>
    <d v="2024-04-09T00:00:00"/>
    <n v="4"/>
    <x v="1"/>
    <s v="Nigeria"/>
    <s v="Lagos"/>
    <s v="Non-Profit"/>
    <s v="Direct"/>
    <x v="12"/>
    <s v="Components"/>
    <s v="CMP-6529"/>
    <n v="395.07"/>
    <n v="970.27"/>
    <x v="148"/>
    <b v="0"/>
    <n v="38"/>
    <n v="32335.21802"/>
    <n v="15012.66"/>
    <n v="17322.55802"/>
    <n v="0.53571799049833657"/>
    <s v="Medium"/>
    <s v="Met"/>
    <x v="0"/>
  </r>
  <r>
    <s v="ORD-2023-619385"/>
    <d v="2023-09-30T00:00:00"/>
    <s v="Sep-2023"/>
    <s v="Q3-2023"/>
    <d v="2023-10-03T00:00:00"/>
    <d v="2023-10-03T00:00:00"/>
    <n v="3"/>
    <x v="3"/>
    <s v="China"/>
    <s v="Beijing"/>
    <s v="Non-Profit"/>
    <s v="Retail"/>
    <x v="3"/>
    <s v="Laptops"/>
    <s v="LAP-5763"/>
    <n v="1019.36"/>
    <n v="972.91"/>
    <x v="115"/>
    <b v="0"/>
    <n v="17"/>
    <n v="14108.16791"/>
    <n v="17329.12"/>
    <n v="-3220.9520899999989"/>
    <n v="-0.22830406545678819"/>
    <s v="Medium"/>
    <s v="Met"/>
    <x v="0"/>
  </r>
  <r>
    <s v="ORD-2023-133848"/>
    <d v="2023-08-15T00:00:00"/>
    <s v="Aug-2023"/>
    <s v="Q3-2023"/>
    <d v="2023-09-07T00:00:00"/>
    <d v="2023-09-07T00:00:00"/>
    <n v="23"/>
    <x v="2"/>
    <s v="USA"/>
    <s v="New York"/>
    <s v="Enterprise"/>
    <s v="Online"/>
    <x v="12"/>
    <s v="Phones"/>
    <s v="PHN-2013"/>
    <n v="590.33000000000004"/>
    <n v="973.04"/>
    <x v="33"/>
    <b v="0"/>
    <n v="26"/>
    <n v="25299.040000000001"/>
    <n v="15348.580000000002"/>
    <n v="9950.4599999999991"/>
    <n v="0.39331373838691108"/>
    <s v="Medium"/>
    <s v="Not Met"/>
    <x v="0"/>
  </r>
  <r>
    <s v="ORD-2023-568013"/>
    <d v="2023-09-30T00:00:00"/>
    <s v="Sep-2023"/>
    <s v="Q3-2023"/>
    <d v="2023-10-30T00:00:00"/>
    <d v="2023-10-30T00:00:00"/>
    <n v="30"/>
    <x v="3"/>
    <s v="Japan"/>
    <s v="Tokyo"/>
    <s v="Enterprise"/>
    <s v="Online"/>
    <x v="0"/>
    <s v="Printers"/>
    <s v="PRN-1786"/>
    <n v="649.13"/>
    <n v="975.43"/>
    <x v="20"/>
    <b v="0"/>
    <n v="27"/>
    <n v="22201.762229999997"/>
    <n v="17526.509999999998"/>
    <n v="4675.2522299999982"/>
    <n v="0.21058023149543473"/>
    <s v="Medium"/>
    <s v="Not Met"/>
    <x v="0"/>
  </r>
  <r>
    <s v="ORD-2024-728474"/>
    <d v="2024-09-09T00:00:00"/>
    <s v="Sep-2024"/>
    <s v="Q3-2024"/>
    <d v="2024-09-13T00:00:00"/>
    <d v="2024-09-13T00:00:00"/>
    <n v="4"/>
    <x v="0"/>
    <s v="United Kingdom"/>
    <s v="London"/>
    <s v="Consumer"/>
    <s v="Marketplace"/>
    <x v="6"/>
    <s v="Networking"/>
    <s v="NET-1145"/>
    <n v="1133.08"/>
    <n v="976.17"/>
    <x v="106"/>
    <b v="0"/>
    <n v="27"/>
    <n v="25249.613219999999"/>
    <n v="30593.159999999996"/>
    <n v="-5343.5467799999969"/>
    <n v="-0.21162885678452373"/>
    <s v="Medium"/>
    <s v="Met"/>
    <x v="0"/>
  </r>
  <r>
    <s v="ORD-2025-765220"/>
    <d v="2025-04-06T00:00:00"/>
    <s v="Apr-2025"/>
    <s v="Q2-2025"/>
    <d v="2025-04-30T00:00:00"/>
    <d v="2025-04-30T00:00:00"/>
    <n v="24"/>
    <x v="2"/>
    <s v="Brazil"/>
    <s v="Brasília"/>
    <s v="Education"/>
    <s v="Online"/>
    <x v="12"/>
    <s v="Monitors"/>
    <s v="MON-4925"/>
    <n v="855.78"/>
    <n v="977.38"/>
    <x v="115"/>
    <b v="0"/>
    <n v="38"/>
    <n v="31680.795320000001"/>
    <n v="32519.64"/>
    <n v="-838.84467999999833"/>
    <n v="-2.6478018355506307E-2"/>
    <s v="Medium"/>
    <s v="Not Met"/>
    <x v="0"/>
  </r>
  <r>
    <s v="ORD-2023-249805"/>
    <d v="2023-12-22T00:00:00"/>
    <s v="Dec-2023"/>
    <s v="Q4-2023"/>
    <d v="2024-01-16T00:00:00"/>
    <d v="2024-01-16T00:00:00"/>
    <n v="25"/>
    <x v="3"/>
    <s v="India"/>
    <s v="Hyderabad"/>
    <s v="Small Business"/>
    <s v="Retail"/>
    <x v="13"/>
    <s v="Components"/>
    <s v="CMP-1555"/>
    <n v="1346.81"/>
    <n v="978.09"/>
    <x v="149"/>
    <b v="0"/>
    <n v="17"/>
    <n v="13983.752729999998"/>
    <n v="22895.77"/>
    <n v="-8912.0172700000021"/>
    <n v="-0.6373122753293996"/>
    <s v="Medium"/>
    <s v="Not Met"/>
    <x v="0"/>
  </r>
  <r>
    <s v="ORD-2024-468615"/>
    <d v="2024-07-09T00:00:00"/>
    <s v="Jul-2024"/>
    <s v="Q3-2024"/>
    <d v="2024-07-12T00:00:00"/>
    <d v="2024-07-12T00:00:00"/>
    <n v="3"/>
    <x v="3"/>
    <s v="China"/>
    <s v="Shanghai"/>
    <s v="Small Business"/>
    <s v="Retail"/>
    <x v="0"/>
    <s v="Accessories"/>
    <s v="ACC-3721"/>
    <n v="748.39"/>
    <n v="979.42"/>
    <x v="33"/>
    <b v="0"/>
    <n v="23"/>
    <n v="22526.66"/>
    <n v="17212.97"/>
    <n v="5313.6899999999987"/>
    <n v="0.23588450307324738"/>
    <s v="Medium"/>
    <s v="Met"/>
    <x v="0"/>
  </r>
  <r>
    <s v="ORD-2025-278048"/>
    <d v="2025-06-22T00:00:00"/>
    <s v="Jun-2025"/>
    <s v="Q2-2025"/>
    <d v="2025-07-08T00:00:00"/>
    <d v="2025-07-08T00:00:00"/>
    <n v="16"/>
    <x v="0"/>
    <s v="United Kingdom"/>
    <s v="London"/>
    <s v="Education"/>
    <s v="Direct"/>
    <x v="13"/>
    <s v="Phones"/>
    <s v="PHN-5316"/>
    <n v="892.73"/>
    <n v="979.84"/>
    <x v="98"/>
    <b v="0"/>
    <n v="10"/>
    <n v="8093.4784"/>
    <n v="8927.2999999999993"/>
    <n v="-833.82159999999931"/>
    <n v="-0.10302388649112838"/>
    <s v="Medium"/>
    <s v="Not Met"/>
    <x v="0"/>
  </r>
  <r>
    <s v="ORD-2024-837651"/>
    <d v="2024-12-10T00:00:00"/>
    <s v="Dec-2024"/>
    <s v="Q4-2024"/>
    <d v="2024-12-19T00:00:00"/>
    <d v="2024-12-19T00:00:00"/>
    <n v="9"/>
    <x v="1"/>
    <s v="Nigeria"/>
    <s v="Lagos"/>
    <s v="Corporate"/>
    <s v="Retail"/>
    <x v="11"/>
    <s v="Monitors"/>
    <s v="MON-4789"/>
    <n v="488.68"/>
    <n v="984.36"/>
    <x v="93"/>
    <b v="0"/>
    <n v="14"/>
    <n v="12967.958640000001"/>
    <n v="6841.52"/>
    <n v="6126.4386400000003"/>
    <n v="0.47242891576649876"/>
    <s v="Medium"/>
    <s v="Not Met"/>
    <x v="0"/>
  </r>
  <r>
    <s v="ORD-2025-635337"/>
    <d v="2025-08-05T00:00:00"/>
    <s v="Aug-2025"/>
    <s v="Q3-2025"/>
    <d v="2025-08-28T00:00:00"/>
    <d v="2025-08-28T00:00:00"/>
    <n v="23"/>
    <x v="3"/>
    <s v="India"/>
    <s v="Mumbai"/>
    <s v="Non-Profit"/>
    <s v="Distributor"/>
    <x v="9"/>
    <s v="Laptops"/>
    <s v="LAP-3905"/>
    <n v="638.54"/>
    <n v="987.24"/>
    <x v="33"/>
    <b v="0"/>
    <n v="11"/>
    <n v="10859.64"/>
    <n v="7023.94"/>
    <n v="3835.7"/>
    <n v="0.35320692030306716"/>
    <s v="Medium"/>
    <s v="Not Met"/>
    <x v="0"/>
  </r>
  <r>
    <s v="ORD-2023-369150"/>
    <d v="2023-07-18T00:00:00"/>
    <s v="Jul-2023"/>
    <s v="Q3-2023"/>
    <d v="2023-08-10T00:00:00"/>
    <d v="2023-08-10T00:00:00"/>
    <n v="23"/>
    <x v="1"/>
    <s v="South Africa"/>
    <s v="Johannesburg"/>
    <s v="Small Business"/>
    <s v="Retail"/>
    <x v="5"/>
    <s v="Components"/>
    <s v="CMP-8659"/>
    <n v="1271.56"/>
    <n v="995.47"/>
    <x v="100"/>
    <b v="0"/>
    <n v="13"/>
    <n v="10456.416880000001"/>
    <n v="16530.28"/>
    <n v="-6073.8631199999982"/>
    <n v="-0.58087423155607754"/>
    <s v="Medium"/>
    <s v="Not Met"/>
    <x v="0"/>
  </r>
  <r>
    <s v="ORD-2024-389336"/>
    <d v="2024-05-20T00:00:00"/>
    <s v="May-2024"/>
    <s v="Q2-2024"/>
    <d v="2024-06-02T00:00:00"/>
    <d v="2024-06-02T00:00:00"/>
    <n v="13"/>
    <x v="2"/>
    <s v="Canada"/>
    <s v="Vancouver"/>
    <s v="Enterprise"/>
    <s v="Marketplace"/>
    <x v="12"/>
    <s v="Components"/>
    <s v="CMP-5946"/>
    <n v="675.43"/>
    <n v="996.36"/>
    <x v="53"/>
    <b v="0"/>
    <n v="22"/>
    <n v="17930.494560000003"/>
    <n v="14859.46"/>
    <n v="3071.0345600000037"/>
    <n v="0.17127439233332575"/>
    <s v="Medium"/>
    <s v="Not Met"/>
    <x v="0"/>
  </r>
  <r>
    <s v="ORD-2023-868460"/>
    <d v="2023-06-01T00:00:00"/>
    <s v="Jun-2023"/>
    <s v="Q2-2023"/>
    <d v="2023-06-01T00:00:00"/>
    <d v="2023-06-01T00:00:00"/>
    <n v="0"/>
    <x v="3"/>
    <s v="India"/>
    <s v="Bengaluru"/>
    <s v="Corporate"/>
    <s v="Retail"/>
    <x v="10"/>
    <s v="Accessories"/>
    <s v="ACC-4587"/>
    <n v="669.37"/>
    <n v="997.2"/>
    <x v="150"/>
    <b v="0"/>
    <n v="5"/>
    <n v="4577.1480000000001"/>
    <n v="3346.85"/>
    <n v="1230.2980000000002"/>
    <n v="0.26879139586484863"/>
    <s v="Medium"/>
    <s v="Met"/>
    <x v="0"/>
  </r>
  <r>
    <s v="ORD-2023-309373"/>
    <d v="2023-07-05T00:00:00"/>
    <s v="Jul-2023"/>
    <s v="Q3-2023"/>
    <d v="2023-07-14T00:00:00"/>
    <d v="2023-07-14T00:00:00"/>
    <n v="9"/>
    <x v="2"/>
    <s v="Brazil"/>
    <s v="Brasília"/>
    <s v="Enterprise"/>
    <s v="Direct"/>
    <x v="4"/>
    <s v="Networking"/>
    <s v="NET-2394"/>
    <n v="578.85"/>
    <n v="998.76"/>
    <x v="150"/>
    <b v="0"/>
    <n v="28"/>
    <n v="25672.127039999999"/>
    <n v="16207.800000000001"/>
    <n v="9464.3270399999983"/>
    <n v="0.36866158480960831"/>
    <s v="Medium"/>
    <s v="Not Met"/>
    <x v="0"/>
  </r>
  <r>
    <s v="ORD-2025-947929"/>
    <d v="2025-03-23T00:00:00"/>
    <s v="Mar-2025"/>
    <s v="Q1-2025"/>
    <d v="2025-04-02T00:00:00"/>
    <d v="2025-04-02T00:00:00"/>
    <n v="10"/>
    <x v="0"/>
    <s v="Germany"/>
    <s v="Berlin"/>
    <s v="Enterprise"/>
    <s v="Online"/>
    <x v="10"/>
    <s v="Printers"/>
    <s v="PRN-3159"/>
    <n v="663.61"/>
    <n v="1002.11"/>
    <x v="151"/>
    <b v="0"/>
    <n v="17"/>
    <n v="16252.219979999998"/>
    <n v="11281.37"/>
    <n v="4970.8499799999972"/>
    <n v="0.30585667595670812"/>
    <s v="Medium"/>
    <s v="Not Met"/>
    <x v="0"/>
  </r>
  <r>
    <s v="ORD-2023-521818"/>
    <d v="2023-01-22T00:00:00"/>
    <s v="Jan-2023"/>
    <s v="Q1-2023"/>
    <d v="2023-01-30T00:00:00"/>
    <d v="2023-01-30T00:00:00"/>
    <n v="8"/>
    <x v="2"/>
    <s v="USA"/>
    <s v="San Francisco"/>
    <s v="Small Business"/>
    <s v="Online"/>
    <x v="13"/>
    <s v="Networking"/>
    <s v="NET-4155"/>
    <n v="413.52"/>
    <n v="1004.34"/>
    <x v="94"/>
    <b v="0"/>
    <n v="18"/>
    <n v="16071.44868"/>
    <n v="7443.36"/>
    <n v="8628.0886800000007"/>
    <n v="0.53685817948304593"/>
    <s v="Medium"/>
    <s v="Not Met"/>
    <x v="0"/>
  </r>
  <r>
    <s v="ORD-2024-320972"/>
    <d v="2024-11-08T00:00:00"/>
    <s v="Nov-2024"/>
    <s v="Q4-2024"/>
    <d v="2024-11-08T00:00:00"/>
    <d v="2024-11-08T00:00:00"/>
    <n v="0"/>
    <x v="1"/>
    <s v="Kenya"/>
    <s v="Nakuru"/>
    <s v="Enterprise"/>
    <s v="Marketplace"/>
    <x v="7"/>
    <s v="Networking"/>
    <s v="NET-2628"/>
    <n v="803.28"/>
    <n v="1009"/>
    <x v="152"/>
    <b v="0"/>
    <n v="4"/>
    <n v="3592.04"/>
    <n v="3213.12"/>
    <n v="378.92000000000007"/>
    <n v="0.10548880302001093"/>
    <s v="Medium"/>
    <s v="Met"/>
    <x v="0"/>
  </r>
  <r>
    <s v="ORD-2024-756884"/>
    <d v="2024-10-13T00:00:00"/>
    <s v="Oct-2024"/>
    <s v="Q4-2024"/>
    <d v="2024-10-24T00:00:00"/>
    <d v="2024-10-24T00:00:00"/>
    <n v="11"/>
    <x v="0"/>
    <s v="France"/>
    <s v="Paris"/>
    <s v="Education"/>
    <s v="Distributor"/>
    <x v="6"/>
    <s v="Components"/>
    <s v="CMP-5006"/>
    <n v="816.7"/>
    <n v="1010.75"/>
    <x v="7"/>
    <b v="0"/>
    <n v="43"/>
    <n v="41419.524249999995"/>
    <n v="35118.1"/>
    <n v="6301.4242499999964"/>
    <n v="0.15213656757537472"/>
    <s v="Medium"/>
    <s v="Not Met"/>
    <x v="0"/>
  </r>
  <r>
    <s v="ORD-2024-664046"/>
    <d v="2024-09-02T00:00:00"/>
    <s v="Sep-2024"/>
    <s v="Q3-2024"/>
    <d v="2024-09-08T00:00:00"/>
    <d v="2024-09-08T00:00:00"/>
    <n v="6"/>
    <x v="2"/>
    <s v="USA"/>
    <s v="Austin"/>
    <s v="Consumer"/>
    <s v="Direct"/>
    <x v="2"/>
    <s v="Components"/>
    <s v="CMP-7563"/>
    <n v="462.94"/>
    <n v="1015.7"/>
    <x v="153"/>
    <b v="0"/>
    <n v="14"/>
    <n v="12186.368600000002"/>
    <n v="6481.16"/>
    <n v="5705.2086000000018"/>
    <n v="0.46816314090483041"/>
    <s v="Medium"/>
    <s v="Met"/>
    <x v="0"/>
  </r>
  <r>
    <s v="ORD-2024-909942"/>
    <d v="2024-06-09T00:00:00"/>
    <s v="Jun-2024"/>
    <s v="Q2-2024"/>
    <d v="2024-07-07T00:00:00"/>
    <d v="2024-07-07T00:00:00"/>
    <n v="28"/>
    <x v="3"/>
    <s v="China"/>
    <s v="Shenzhen"/>
    <s v="Corporate"/>
    <s v="Online"/>
    <x v="3"/>
    <s v="Components"/>
    <s v="CMP-6392"/>
    <n v="550.22"/>
    <n v="1025.05"/>
    <x v="33"/>
    <b v="0"/>
    <n v="27"/>
    <n v="27676.35"/>
    <n v="14855.94"/>
    <n v="12820.409999999998"/>
    <n v="0.46322618408858102"/>
    <s v="Medium"/>
    <s v="Not Met"/>
    <x v="0"/>
  </r>
  <r>
    <s v="ORD-2025-650719"/>
    <d v="2025-02-12T00:00:00"/>
    <s v="Feb-2025"/>
    <s v="Q1-2025"/>
    <d v="2025-02-28T00:00:00"/>
    <d v="2025-02-28T00:00:00"/>
    <n v="16"/>
    <x v="2"/>
    <s v="Brazil"/>
    <s v="São Paulo"/>
    <s v="Non-Profit"/>
    <s v="Direct"/>
    <x v="4"/>
    <s v="Monitors"/>
    <s v="MON-5179"/>
    <n v="414.95"/>
    <n v="1027.73"/>
    <x v="154"/>
    <b v="0"/>
    <n v="8"/>
    <n v="7703.8640800000003"/>
    <n v="3319.6"/>
    <n v="4384.2640800000008"/>
    <n v="0.56909935513815568"/>
    <s v="Medium"/>
    <s v="Not Met"/>
    <x v="0"/>
  </r>
  <r>
    <s v="ORD-2024-510520"/>
    <d v="2024-09-25T00:00:00"/>
    <s v="Sep-2024"/>
    <s v="Q3-2024"/>
    <d v="2024-10-03T00:00:00"/>
    <d v="2024-10-03T00:00:00"/>
    <n v="8"/>
    <x v="2"/>
    <s v="Canada"/>
    <s v="Toronto"/>
    <s v="Consumer"/>
    <s v="Online"/>
    <x v="10"/>
    <s v="Printers"/>
    <s v="PRN-9557"/>
    <n v="558.19000000000005"/>
    <n v="1031.6400000000001"/>
    <x v="33"/>
    <b v="0"/>
    <n v="21"/>
    <n v="21664.440000000002"/>
    <n v="11721.990000000002"/>
    <n v="9942.4500000000007"/>
    <n v="0.45892947152107322"/>
    <s v="Medium"/>
    <s v="Not Met"/>
    <x v="0"/>
  </r>
  <r>
    <s v="ORD-2025-636162"/>
    <d v="2025-01-07T00:00:00"/>
    <s v="Jan-2025"/>
    <s v="Q1-2025"/>
    <d v="2025-01-20T00:00:00"/>
    <d v="2025-01-20T00:00:00"/>
    <n v="13"/>
    <x v="1"/>
    <s v="South Africa"/>
    <s v="Cape Town"/>
    <s v="Corporate"/>
    <s v="Direct"/>
    <x v="12"/>
    <s v="Networking"/>
    <s v="NET-7901"/>
    <n v="432.13"/>
    <n v="1034.6600000000001"/>
    <x v="63"/>
    <b v="0"/>
    <n v="7"/>
    <n v="6576.298960000001"/>
    <n v="3024.91"/>
    <n v="3551.3889600000011"/>
    <n v="0.54002851476204794"/>
    <s v="Medium"/>
    <s v="Not Met"/>
    <x v="0"/>
  </r>
  <r>
    <s v="ORD-2024-206081"/>
    <d v="2024-12-10T00:00:00"/>
    <s v="Dec-2024"/>
    <s v="Q4-2024"/>
    <d v="2025-01-08T00:00:00"/>
    <d v="2025-01-08T00:00:00"/>
    <n v="29"/>
    <x v="0"/>
    <s v="France"/>
    <s v="Marseille"/>
    <s v="Small Business"/>
    <s v="Retail"/>
    <x v="12"/>
    <s v="Printers"/>
    <s v="PRN-6791"/>
    <n v="891.08"/>
    <n v="1040.0999999999999"/>
    <x v="144"/>
    <b v="0"/>
    <n v="28"/>
    <n v="25948.414799999995"/>
    <n v="24950.240000000002"/>
    <n v="998.17479999999341"/>
    <n v="3.8467660074556598E-2"/>
    <s v="Medium"/>
    <s v="Not Met"/>
    <x v="0"/>
  </r>
  <r>
    <s v="ORD-2024-566589"/>
    <d v="2024-06-11T00:00:00"/>
    <s v="Jun-2024"/>
    <s v="Q2-2024"/>
    <d v="2024-07-09T00:00:00"/>
    <d v="2024-07-09T00:00:00"/>
    <n v="28"/>
    <x v="1"/>
    <s v="Nigeria"/>
    <s v="Port Harcourt"/>
    <s v="Corporate"/>
    <s v="Marketplace"/>
    <x v="1"/>
    <s v="Phones"/>
    <s v="PHN-2436"/>
    <n v="895.54"/>
    <n v="1045"/>
    <x v="155"/>
    <b v="0"/>
    <n v="15"/>
    <n v="12289.2"/>
    <n v="13433.099999999999"/>
    <n v="-1143.8999999999978"/>
    <n v="-9.3081730299775234E-2"/>
    <s v="Medium"/>
    <s v="Not Met"/>
    <x v="1"/>
  </r>
  <r>
    <s v="ORD-2024-419248"/>
    <d v="2024-03-04T00:00:00"/>
    <s v="Mar-2024"/>
    <s v="Q1-2024"/>
    <d v="2024-03-16T00:00:00"/>
    <d v="2024-03-16T00:00:00"/>
    <n v="12"/>
    <x v="1"/>
    <s v="South Africa"/>
    <s v="Johannesburg"/>
    <s v="Enterprise"/>
    <s v="Distributor"/>
    <x v="7"/>
    <s v="Monitors"/>
    <s v="MON-8422"/>
    <n v="441.08"/>
    <n v="1054.29"/>
    <x v="124"/>
    <b v="0"/>
    <n v="6"/>
    <n v="4826.5396199999996"/>
    <n v="2646.48"/>
    <n v="2180.0596199999995"/>
    <n v="0.45168169985932899"/>
    <s v="Medium"/>
    <s v="Not Met"/>
    <x v="1"/>
  </r>
  <r>
    <s v="ORD-2024-532184"/>
    <d v="2024-01-25T00:00:00"/>
    <s v="Jan-2024"/>
    <s v="Q1-2024"/>
    <d v="2024-02-08T00:00:00"/>
    <d v="2024-02-08T00:00:00"/>
    <n v="14"/>
    <x v="3"/>
    <s v="Japan"/>
    <s v="Osaka"/>
    <s v="Consumer"/>
    <s v="Marketplace"/>
    <x v="1"/>
    <s v="Networking"/>
    <s v="NET-9569"/>
    <n v="937.16"/>
    <n v="1069.77"/>
    <x v="44"/>
    <b v="0"/>
    <n v="9"/>
    <n v="9262.0686600000008"/>
    <n v="8434.44"/>
    <n v="827.62866000000031"/>
    <n v="8.9356783066645962E-2"/>
    <s v="Medium"/>
    <s v="Not Met"/>
    <x v="0"/>
  </r>
  <r>
    <s v="ORD-2023-349264"/>
    <d v="2023-06-01T00:00:00"/>
    <s v="Jun-2023"/>
    <s v="Q2-2023"/>
    <d v="2023-06-08T00:00:00"/>
    <d v="2023-06-08T00:00:00"/>
    <n v="7"/>
    <x v="0"/>
    <s v="Germany"/>
    <s v="Frankfurt"/>
    <s v="Consumer"/>
    <s v="Online"/>
    <x v="13"/>
    <s v="Phones"/>
    <s v="PHN-1924"/>
    <n v="804.17"/>
    <n v="1072.29"/>
    <x v="156"/>
    <b v="0"/>
    <n v="5"/>
    <n v="5189.8836000000001"/>
    <n v="4020.85"/>
    <n v="1169.0336000000002"/>
    <n v="0.2252523736755869"/>
    <s v="Medium"/>
    <s v="Met"/>
    <x v="0"/>
  </r>
  <r>
    <s v="ORD-2025-487025"/>
    <d v="2025-04-11T00:00:00"/>
    <s v="Apr-2025"/>
    <s v="Q2-2025"/>
    <d v="2025-05-04T00:00:00"/>
    <d v="2025-05-04T00:00:00"/>
    <n v="23"/>
    <x v="3"/>
    <s v="Japan"/>
    <s v="Osaka"/>
    <s v="Small Business"/>
    <s v="Online"/>
    <x v="7"/>
    <s v="Components"/>
    <s v="CMP-3743"/>
    <n v="786.2"/>
    <n v="1075.3"/>
    <x v="96"/>
    <b v="0"/>
    <n v="9"/>
    <n v="8903.4839999999986"/>
    <n v="7075.8"/>
    <n v="1827.6839999999984"/>
    <n v="0.20527739478163815"/>
    <s v="Medium"/>
    <s v="Not Met"/>
    <x v="0"/>
  </r>
  <r>
    <s v="ORD-2025-150713"/>
    <d v="2025-07-11T00:00:00"/>
    <s v="Jul-2025"/>
    <s v="Q3-2025"/>
    <d v="2025-07-16T00:00:00"/>
    <d v="2025-07-16T00:00:00"/>
    <n v="5"/>
    <x v="0"/>
    <s v="United Kingdom"/>
    <s v="London"/>
    <s v="Enterprise"/>
    <s v="Online"/>
    <x v="12"/>
    <s v="Printers"/>
    <s v="PRN-5753"/>
    <n v="930.03"/>
    <n v="1086.68"/>
    <x v="144"/>
    <b v="0"/>
    <n v="26"/>
    <n v="25174.028880000002"/>
    <n v="24180.78"/>
    <n v="993.24888000000283"/>
    <n v="3.9455300728168656E-2"/>
    <s v="Medium"/>
    <s v="Met"/>
    <x v="0"/>
  </r>
  <r>
    <s v="ORD-2023-501220"/>
    <d v="2023-04-19T00:00:00"/>
    <s v="Apr-2023"/>
    <s v="Q2-2023"/>
    <d v="2023-05-07T00:00:00"/>
    <d v="2023-05-07T00:00:00"/>
    <n v="18"/>
    <x v="0"/>
    <s v="United Kingdom"/>
    <s v="Birmingham"/>
    <s v="Enterprise"/>
    <s v="Retail"/>
    <x v="9"/>
    <s v="Laptops"/>
    <s v="LAP-9766"/>
    <n v="1089.1500000000001"/>
    <n v="1088.2"/>
    <x v="131"/>
    <b v="0"/>
    <n v="15"/>
    <n v="15490.527"/>
    <n v="16337.250000000002"/>
    <n v="-846.72300000000178"/>
    <n v="-5.4660696824582002E-2"/>
    <s v="Medium"/>
    <s v="Not Met"/>
    <x v="0"/>
  </r>
  <r>
    <s v="ORD-2025-725646"/>
    <d v="2025-09-10T00:00:00"/>
    <s v="Sep-2025"/>
    <s v="Q3-2025"/>
    <d v="2025-09-30T00:00:00"/>
    <d v="2025-09-30T00:00:00"/>
    <n v="20"/>
    <x v="1"/>
    <s v="Kenya"/>
    <s v="Mombasa"/>
    <s v="Corporate"/>
    <s v="Direct"/>
    <x v="5"/>
    <s v="Phones"/>
    <s v="PHN-6954"/>
    <n v="1009.48"/>
    <n v="1088.81"/>
    <x v="157"/>
    <b v="0"/>
    <n v="6"/>
    <n v="5487.6023999999998"/>
    <n v="6056.88"/>
    <n v="-569.27760000000035"/>
    <n v="-0.10373885688219693"/>
    <s v="Medium"/>
    <s v="Not Met"/>
    <x v="0"/>
  </r>
  <r>
    <s v="ORD-2023-212701"/>
    <d v="2023-12-02T00:00:00"/>
    <s v="Dec-2023"/>
    <s v="Q4-2023"/>
    <d v="2023-12-16T00:00:00"/>
    <d v="2023-12-16T00:00:00"/>
    <n v="14"/>
    <x v="0"/>
    <s v="Germany"/>
    <s v="Frankfurt"/>
    <s v="Education"/>
    <s v="Direct"/>
    <x v="9"/>
    <s v="Monitors"/>
    <s v="MON-4278"/>
    <n v="879.08"/>
    <n v="1093.3900000000001"/>
    <x v="61"/>
    <b v="0"/>
    <n v="17"/>
    <n v="16487.22781"/>
    <n v="14944.36"/>
    <n v="1542.8678099999997"/>
    <n v="9.3579577341935186E-2"/>
    <s v="Medium"/>
    <s v="Not Met"/>
    <x v="0"/>
  </r>
  <r>
    <s v="ORD-2025-983096"/>
    <d v="2025-05-17T00:00:00"/>
    <s v="May-2025"/>
    <s v="Q2-2025"/>
    <d v="2025-05-28T00:00:00"/>
    <d v="2025-05-28T00:00:00"/>
    <n v="11"/>
    <x v="3"/>
    <s v="India"/>
    <s v="Bengaluru"/>
    <s v="Corporate"/>
    <s v="Distributor"/>
    <x v="4"/>
    <s v="Laptops"/>
    <s v="LAP-9016"/>
    <n v="623.4"/>
    <n v="1100.0899999999999"/>
    <x v="24"/>
    <b v="0"/>
    <n v="12"/>
    <n v="11696.156879999999"/>
    <n v="7480.7999999999993"/>
    <n v="4215.3568799999994"/>
    <n v="0.36040529579490388"/>
    <s v="Medium"/>
    <s v="Not Met"/>
    <x v="0"/>
  </r>
  <r>
    <s v="ORD-2024-202877"/>
    <d v="2024-07-13T00:00:00"/>
    <s v="Jul-2024"/>
    <s v="Q3-2024"/>
    <d v="2024-08-03T00:00:00"/>
    <d v="2024-08-03T00:00:00"/>
    <n v="21"/>
    <x v="2"/>
    <s v="Brazil"/>
    <s v="Rio de Janeiro"/>
    <s v="Corporate"/>
    <s v="Marketplace"/>
    <x v="7"/>
    <s v="Monitors"/>
    <s v="MON-6287"/>
    <n v="702.98"/>
    <n v="1104.8"/>
    <x v="143"/>
    <b v="0"/>
    <n v="12"/>
    <n v="10937.519999999999"/>
    <n v="8435.76"/>
    <n v="2501.7599999999984"/>
    <n v="0.22873192460448061"/>
    <s v="Medium"/>
    <s v="Not Met"/>
    <x v="0"/>
  </r>
  <r>
    <s v="ORD-2023-722117"/>
    <d v="2023-09-18T00:00:00"/>
    <s v="Sep-2023"/>
    <s v="Q3-2023"/>
    <d v="2023-10-08T00:00:00"/>
    <d v="2023-10-08T00:00:00"/>
    <n v="20"/>
    <x v="3"/>
    <s v="India"/>
    <s v="Delhi"/>
    <s v="Small Business"/>
    <s v="Direct"/>
    <x v="4"/>
    <s v="Components"/>
    <s v="CMP-1009"/>
    <n v="825.64"/>
    <n v="1108.43"/>
    <x v="24"/>
    <b v="0"/>
    <n v="7"/>
    <n v="6874.4828600000001"/>
    <n v="5779.48"/>
    <n v="1095.0028600000005"/>
    <n v="0.15928512475773349"/>
    <s v="Medium"/>
    <s v="Not Met"/>
    <x v="0"/>
  </r>
  <r>
    <s v="ORD-2024-604471"/>
    <d v="2024-01-21T00:00:00"/>
    <s v="Jan-2024"/>
    <s v="Q1-2024"/>
    <d v="2024-01-25T00:00:00"/>
    <d v="2024-01-25T00:00:00"/>
    <n v="4"/>
    <x v="3"/>
    <s v="India"/>
    <s v="Delhi"/>
    <s v="Consumer"/>
    <s v="Direct"/>
    <x v="8"/>
    <s v="Monitors"/>
    <s v="MON-8973"/>
    <n v="523.70000000000005"/>
    <n v="1109.92"/>
    <x v="158"/>
    <b v="0"/>
    <n v="11"/>
    <n v="11842.8464"/>
    <n v="5760.7000000000007"/>
    <n v="6082.1463999999996"/>
    <n v="0.51357133197302973"/>
    <s v="Medium"/>
    <s v="Met"/>
    <x v="0"/>
  </r>
  <r>
    <s v="ORD-2023-173313"/>
    <d v="2023-06-15T00:00:00"/>
    <s v="Jun-2023"/>
    <s v="Q2-2023"/>
    <d v="2023-07-12T00:00:00"/>
    <d v="2023-07-12T00:00:00"/>
    <n v="27"/>
    <x v="0"/>
    <s v="United Kingdom"/>
    <s v="Manchester"/>
    <s v="Consumer"/>
    <s v="Direct"/>
    <x v="1"/>
    <s v="Accessories"/>
    <s v="ACC-3833"/>
    <n v="751.28"/>
    <n v="1111.8800000000001"/>
    <x v="35"/>
    <b v="0"/>
    <n v="7"/>
    <n v="6732.4334000000008"/>
    <n v="5258.96"/>
    <n v="1473.4734000000008"/>
    <n v="0.21886193482433863"/>
    <s v="Medium"/>
    <s v="Not Met"/>
    <x v="0"/>
  </r>
  <r>
    <s v="ORD-2024-689872"/>
    <d v="2024-08-03T00:00:00"/>
    <s v="Aug-2024"/>
    <s v="Q3-2024"/>
    <d v="2024-08-09T00:00:00"/>
    <d v="2024-08-09T00:00:00"/>
    <n v="6"/>
    <x v="1"/>
    <s v="Kenya"/>
    <s v="Mombasa"/>
    <s v="Consumer"/>
    <s v="Marketplace"/>
    <x v="2"/>
    <s v="Laptops"/>
    <s v="LAP-1969"/>
    <n v="643.21"/>
    <n v="1112.81"/>
    <x v="86"/>
    <b v="0"/>
    <n v="4"/>
    <n v="3823.6151599999998"/>
    <n v="2572.84"/>
    <n v="1250.7751599999997"/>
    <n v="0.32711847496702562"/>
    <s v="Medium"/>
    <s v="Met"/>
    <x v="0"/>
  </r>
  <r>
    <s v="ORD-2025-822030"/>
    <d v="2025-08-07T00:00:00"/>
    <s v="Aug-2025"/>
    <s v="Q3-2025"/>
    <d v="2025-09-06T00:00:00"/>
    <d v="2025-09-06T00:00:00"/>
    <n v="30"/>
    <x v="2"/>
    <s v="Canada"/>
    <s v="Montreal"/>
    <s v="Education"/>
    <s v="Direct"/>
    <x v="7"/>
    <s v="Networking"/>
    <s v="NET-1336"/>
    <n v="833.73"/>
    <n v="1116.5999999999999"/>
    <x v="23"/>
    <b v="0"/>
    <n v="14"/>
    <n v="12881.097599999999"/>
    <n v="11672.220000000001"/>
    <n v="1208.877599999998"/>
    <n v="9.3848958958279924E-2"/>
    <s v="Medium"/>
    <s v="Not Met"/>
    <x v="0"/>
  </r>
  <r>
    <s v="ORD-2024-343877"/>
    <d v="2024-03-09T00:00:00"/>
    <s v="Mar-2024"/>
    <s v="Q1-2024"/>
    <d v="2024-03-26T00:00:00"/>
    <d v="2024-03-26T00:00:00"/>
    <n v="17"/>
    <x v="3"/>
    <s v="China"/>
    <s v="Shenzhen"/>
    <s v="Enterprise"/>
    <s v="Online"/>
    <x v="12"/>
    <s v="Monitors"/>
    <s v="MON-5749"/>
    <n v="1029.67"/>
    <n v="1118.43"/>
    <x v="159"/>
    <b v="0"/>
    <n v="9"/>
    <n v="7327.9533600000004"/>
    <n v="9267.0300000000007"/>
    <n v="-1939.0766400000002"/>
    <n v="-0.26461367106736061"/>
    <s v="Medium"/>
    <s v="Not Met"/>
    <x v="1"/>
  </r>
  <r>
    <s v="ORD-2024-626750"/>
    <d v="2024-08-12T00:00:00"/>
    <s v="Aug-2024"/>
    <s v="Q3-2024"/>
    <d v="2024-08-15T00:00:00"/>
    <d v="2024-08-15T00:00:00"/>
    <n v="3"/>
    <x v="2"/>
    <s v="USA"/>
    <s v="Chicago"/>
    <s v="Corporate"/>
    <s v="Marketplace"/>
    <x v="0"/>
    <s v="Printers"/>
    <s v="PRN-5591"/>
    <n v="850.7"/>
    <n v="1118.56"/>
    <x v="54"/>
    <b v="0"/>
    <n v="19"/>
    <n v="17427.164800000002"/>
    <n v="16163.300000000001"/>
    <n v="1263.8648000000012"/>
    <n v="7.2522685962090688E-2"/>
    <s v="Medium"/>
    <s v="Met"/>
    <x v="0"/>
  </r>
  <r>
    <s v="ORD-2025-246692"/>
    <d v="2025-04-17T00:00:00"/>
    <s v="Apr-2025"/>
    <s v="Q2-2025"/>
    <d v="2025-04-17T00:00:00"/>
    <d v="2025-04-17T00:00:00"/>
    <n v="0"/>
    <x v="2"/>
    <s v="Brazil"/>
    <s v="São Paulo"/>
    <s v="Corporate"/>
    <s v="Distributor"/>
    <x v="5"/>
    <s v="Phones"/>
    <s v="PHN-4566"/>
    <n v="719.41"/>
    <n v="1125.99"/>
    <x v="87"/>
    <b v="0"/>
    <n v="21"/>
    <n v="22676.312610000001"/>
    <n v="15107.609999999999"/>
    <n v="7568.7026100000021"/>
    <n v="0.33377131194876403"/>
    <s v="Medium"/>
    <s v="Met"/>
    <x v="0"/>
  </r>
  <r>
    <s v="ORD-2025-820255"/>
    <d v="2025-05-29T00:00:00"/>
    <s v="May-2025"/>
    <s v="Q2-2025"/>
    <d v="2025-06-20T00:00:00"/>
    <d v="2025-06-20T00:00:00"/>
    <n v="22"/>
    <x v="0"/>
    <s v="Germany"/>
    <s v="Berlin"/>
    <s v="Corporate"/>
    <s v="Direct"/>
    <x v="13"/>
    <s v="Printers"/>
    <s v="PRN-9787"/>
    <n v="483.47"/>
    <n v="1135.43"/>
    <x v="160"/>
    <b v="0"/>
    <n v="11"/>
    <n v="10666.229420000001"/>
    <n v="5318.17"/>
    <n v="5348.0594200000014"/>
    <n v="0.50140112399719983"/>
    <s v="Medium"/>
    <s v="Not Met"/>
    <x v="0"/>
  </r>
  <r>
    <s v="ORD-2023-453699"/>
    <d v="2023-07-01T00:00:00"/>
    <s v="Jul-2023"/>
    <s v="Q3-2023"/>
    <d v="2023-07-08T00:00:00"/>
    <d v="2023-07-08T00:00:00"/>
    <n v="7"/>
    <x v="0"/>
    <s v="Germany"/>
    <s v="Frankfurt"/>
    <s v="Small Business"/>
    <s v="Distributor"/>
    <x v="9"/>
    <s v="Laptops"/>
    <s v="LAP-4666"/>
    <n v="460.21"/>
    <n v="1139.1500000000001"/>
    <x v="68"/>
    <b v="0"/>
    <n v="14"/>
    <n v="14114.068500000001"/>
    <n v="6442.94"/>
    <n v="7671.1285000000016"/>
    <n v="0.54350937151821255"/>
    <s v="Medium"/>
    <s v="Met"/>
    <x v="0"/>
  </r>
  <r>
    <s v="ORD-2023-239789"/>
    <d v="2023-12-03T00:00:00"/>
    <s v="Dec-2023"/>
    <s v="Q4-2023"/>
    <d v="2023-12-26T00:00:00"/>
    <d v="2023-12-26T00:00:00"/>
    <n v="23"/>
    <x v="2"/>
    <s v="Brazil"/>
    <s v="Rio de Janeiro"/>
    <s v="Education"/>
    <s v="Retail"/>
    <x v="11"/>
    <s v="Phones"/>
    <s v="PHN-4644"/>
    <n v="1303.1099999999999"/>
    <n v="1145.67"/>
    <x v="129"/>
    <b v="0"/>
    <n v="13"/>
    <n v="12153.267360000002"/>
    <n v="16940.43"/>
    <n v="-4787.1626399999986"/>
    <n v="-0.39389922875851208"/>
    <s v="Medium"/>
    <s v="Not Met"/>
    <x v="0"/>
  </r>
  <r>
    <s v="ORD-2023-406606"/>
    <d v="2023-10-25T00:00:00"/>
    <s v="Oct-2023"/>
    <s v="Q4-2023"/>
    <d v="2023-10-28T00:00:00"/>
    <d v="2023-10-28T00:00:00"/>
    <n v="3"/>
    <x v="2"/>
    <s v="Brazil"/>
    <s v="Brasília"/>
    <s v="Corporate"/>
    <s v="Distributor"/>
    <x v="5"/>
    <s v="Accessories"/>
    <s v="ACC-2867"/>
    <n v="509.31"/>
    <n v="1145.9000000000001"/>
    <x v="31"/>
    <b v="0"/>
    <n v="8"/>
    <n v="8644.6696000000011"/>
    <n v="4074.48"/>
    <n v="4570.1896000000015"/>
    <n v="0.52867140231709964"/>
    <s v="Medium"/>
    <s v="Met"/>
    <x v="0"/>
  </r>
  <r>
    <s v="ORD-2023-181257"/>
    <d v="2023-11-15T00:00:00"/>
    <s v="Nov-2023"/>
    <s v="Q4-2023"/>
    <d v="2023-12-06T00:00:00"/>
    <d v="2023-12-06T00:00:00"/>
    <n v="21"/>
    <x v="0"/>
    <s v="United Kingdom"/>
    <s v="Manchester"/>
    <s v="Education"/>
    <s v="Direct"/>
    <x v="2"/>
    <s v="Accessories"/>
    <s v="ACC-1060"/>
    <n v="1184.99"/>
    <n v="1154.3399999999999"/>
    <x v="89"/>
    <b v="0"/>
    <n v="5"/>
    <n v="5610.0923999999995"/>
    <n v="5924.95"/>
    <n v="-314.85760000000028"/>
    <n v="-5.6123424990290764E-2"/>
    <s v="Medium"/>
    <s v="Not Met"/>
    <x v="0"/>
  </r>
  <r>
    <s v="ORD-2023-933238"/>
    <d v="2023-03-17T00:00:00"/>
    <s v="Mar-2023"/>
    <s v="Q1-2023"/>
    <d v="2023-04-06T00:00:00"/>
    <d v="2023-04-06T00:00:00"/>
    <n v="20"/>
    <x v="0"/>
    <s v="Germany"/>
    <s v="Munich"/>
    <s v="Consumer"/>
    <s v="Retail"/>
    <x v="11"/>
    <s v="Phones"/>
    <s v="PHN-8483"/>
    <n v="692.18"/>
    <n v="1159.3499999999999"/>
    <x v="105"/>
    <b v="0"/>
    <n v="2"/>
    <n v="2059.0056"/>
    <n v="1384.36"/>
    <n v="674.64560000000006"/>
    <n v="0.32765602968734037"/>
    <s v="Medium"/>
    <s v="Not Met"/>
    <x v="0"/>
  </r>
  <r>
    <s v="ORD-2023-619570"/>
    <d v="2023-11-14T00:00:00"/>
    <s v="Nov-2023"/>
    <s v="Q4-2023"/>
    <d v="2023-11-30T00:00:00"/>
    <d v="2023-11-30T00:00:00"/>
    <n v="16"/>
    <x v="2"/>
    <s v="Brazil"/>
    <s v="São Paulo"/>
    <s v="Enterprise"/>
    <s v="Direct"/>
    <x v="12"/>
    <s v="Networking"/>
    <s v="NET-4104"/>
    <n v="1017.92"/>
    <n v="1175.25"/>
    <x v="2"/>
    <b v="0"/>
    <n v="15"/>
    <n v="16306.59375"/>
    <n v="15268.8"/>
    <n v="1037.7937500000007"/>
    <n v="6.3642583234159542E-2"/>
    <s v="Medium"/>
    <s v="Not Met"/>
    <x v="0"/>
  </r>
  <r>
    <s v="ORD-2023-835010"/>
    <d v="2023-03-23T00:00:00"/>
    <s v="Mar-2023"/>
    <s v="Q1-2023"/>
    <d v="2023-04-15T00:00:00"/>
    <d v="2023-04-15T00:00:00"/>
    <n v="23"/>
    <x v="1"/>
    <s v="Kenya"/>
    <s v="Mombasa"/>
    <s v="Small Business"/>
    <s v="Retail"/>
    <x v="8"/>
    <s v="Accessories"/>
    <s v="ACC-2988"/>
    <n v="875.36"/>
    <n v="1178.6199999999999"/>
    <x v="11"/>
    <b v="0"/>
    <n v="53"/>
    <n v="53034.364139999991"/>
    <n v="46394.080000000002"/>
    <n v="6640.2841399999888"/>
    <n v="0.12520719815685888"/>
    <s v="Medium"/>
    <s v="Not Met"/>
    <x v="0"/>
  </r>
  <r>
    <s v="ORD-2024-170021"/>
    <d v="2024-11-05T00:00:00"/>
    <s v="Nov-2024"/>
    <s v="Q4-2024"/>
    <d v="2024-11-08T00:00:00"/>
    <d v="2024-11-08T00:00:00"/>
    <n v="3"/>
    <x v="2"/>
    <s v="Canada"/>
    <s v="Toronto"/>
    <s v="Education"/>
    <s v="Marketplace"/>
    <x v="11"/>
    <s v="Components"/>
    <s v="CMP-2015"/>
    <n v="1020.4"/>
    <n v="1184.71"/>
    <x v="161"/>
    <b v="0"/>
    <n v="16"/>
    <n v="16946.091840000001"/>
    <n v="16326.4"/>
    <n v="619.69184000000132"/>
    <n v="3.6568422138328345E-2"/>
    <s v="Medium"/>
    <s v="Met"/>
    <x v="0"/>
  </r>
  <r>
    <s v="ORD-2024-833375"/>
    <d v="2024-04-24T00:00:00"/>
    <s v="Apr-2024"/>
    <s v="Q2-2024"/>
    <d v="2024-05-10T00:00:00"/>
    <d v="2024-05-10T00:00:00"/>
    <n v="16"/>
    <x v="1"/>
    <s v="Kenya"/>
    <s v="Kisumu"/>
    <s v="Non-Profit"/>
    <s v="Online"/>
    <x v="9"/>
    <s v="Monitors"/>
    <s v="MON-6190"/>
    <n v="513.30999999999995"/>
    <n v="1186.26"/>
    <x v="75"/>
    <b v="0"/>
    <n v="15"/>
    <n v="16121.273400000002"/>
    <n v="7699.65"/>
    <n v="8421.6234000000022"/>
    <n v="0.52239194702820446"/>
    <s v="Medium"/>
    <s v="Not Met"/>
    <x v="0"/>
  </r>
  <r>
    <s v="ORD-2024-678110"/>
    <d v="2024-07-24T00:00:00"/>
    <s v="Jul-2024"/>
    <s v="Q3-2024"/>
    <d v="2024-08-08T00:00:00"/>
    <d v="2024-08-08T00:00:00"/>
    <n v="15"/>
    <x v="0"/>
    <s v="France"/>
    <s v="Marseille"/>
    <s v="Enterprise"/>
    <s v="Marketplace"/>
    <x v="2"/>
    <s v="Laptops"/>
    <s v="LAP-9901"/>
    <n v="501.5"/>
    <n v="1201.47"/>
    <x v="162"/>
    <b v="0"/>
    <n v="5"/>
    <n v="5250.4239000000007"/>
    <n v="2507.5"/>
    <n v="2742.9239000000007"/>
    <n v="0.52241951359394057"/>
    <s v="Medium"/>
    <s v="Not Met"/>
    <x v="0"/>
  </r>
  <r>
    <s v="ORD-2024-868223"/>
    <d v="2024-03-03T00:00:00"/>
    <s v="Mar-2024"/>
    <s v="Q1-2024"/>
    <d v="2024-03-19T00:00:00"/>
    <d v="2024-03-19T00:00:00"/>
    <n v="16"/>
    <x v="3"/>
    <s v="China"/>
    <s v="Beijing"/>
    <s v="Consumer"/>
    <s v="Distributor"/>
    <x v="14"/>
    <s v="Phones"/>
    <s v="PHN-4915"/>
    <n v="988.83"/>
    <n v="1206.04"/>
    <x v="154"/>
    <b v="0"/>
    <n v="34"/>
    <n v="38422.022320000004"/>
    <n v="33620.22"/>
    <n v="4801.8023200000025"/>
    <n v="0.12497526236406606"/>
    <s v="Medium"/>
    <s v="Not Met"/>
    <x v="0"/>
  </r>
  <r>
    <s v="ORD-2025-125517"/>
    <d v="2025-03-21T00:00:00"/>
    <s v="Mar-2025"/>
    <s v="Q1-2025"/>
    <d v="2025-04-09T00:00:00"/>
    <d v="2025-04-09T00:00:00"/>
    <n v="19"/>
    <x v="3"/>
    <s v="Japan"/>
    <s v="Tokyo"/>
    <s v="Small Business"/>
    <s v="Distributor"/>
    <x v="10"/>
    <s v="Components"/>
    <s v="CMP-7055"/>
    <n v="1055.45"/>
    <n v="1210.04"/>
    <x v="163"/>
    <b v="0"/>
    <n v="18"/>
    <n v="21584.693520000001"/>
    <n v="18998.100000000002"/>
    <n v="2586.5935199999985"/>
    <n v="0.1198346188053727"/>
    <s v="Medium"/>
    <s v="Not Met"/>
    <x v="0"/>
  </r>
  <r>
    <s v="ORD-2025-680118"/>
    <d v="2025-03-10T00:00:00"/>
    <s v="Mar-2025"/>
    <s v="Q1-2025"/>
    <d v="2025-03-27T00:00:00"/>
    <d v="2025-03-27T00:00:00"/>
    <n v="17"/>
    <x v="2"/>
    <s v="Brazil"/>
    <s v="Rio de Janeiro"/>
    <s v="Enterprise"/>
    <s v="Direct"/>
    <x v="6"/>
    <s v="Networking"/>
    <s v="NET-6269"/>
    <n v="996.73"/>
    <n v="1217.43"/>
    <x v="164"/>
    <b v="0"/>
    <n v="9"/>
    <n v="10189.8891"/>
    <n v="8970.57"/>
    <n v="1219.3191000000006"/>
    <n v="0.11965970267527255"/>
    <s v="Medium"/>
    <s v="Not Met"/>
    <x v="0"/>
  </r>
  <r>
    <s v="ORD-2024-357368"/>
    <d v="2024-10-30T00:00:00"/>
    <s v="Oct-2024"/>
    <s v="Q4-2024"/>
    <d v="2024-11-24T00:00:00"/>
    <d v="2024-11-24T00:00:00"/>
    <n v="25"/>
    <x v="3"/>
    <s v="China"/>
    <s v="Shenzhen"/>
    <s v="Small Business"/>
    <s v="Online"/>
    <x v="10"/>
    <s v="Components"/>
    <s v="CMP-4610"/>
    <n v="811.05"/>
    <n v="1217.71"/>
    <x v="13"/>
    <b v="0"/>
    <n v="5"/>
    <n v="5650.1744000000008"/>
    <n v="4055.25"/>
    <n v="1594.9244000000008"/>
    <n v="0.28227879125288602"/>
    <s v="Medium"/>
    <s v="Not Met"/>
    <x v="0"/>
  </r>
  <r>
    <s v="ORD-2024-605629"/>
    <d v="2024-07-15T00:00:00"/>
    <s v="Jul-2024"/>
    <s v="Q3-2024"/>
    <d v="2024-07-15T00:00:00"/>
    <d v="2024-07-15T00:00:00"/>
    <n v="0"/>
    <x v="3"/>
    <s v="Japan"/>
    <s v="Tokyo"/>
    <s v="Small Business"/>
    <s v="Marketplace"/>
    <x v="14"/>
    <s v="Accessories"/>
    <s v="ACC-2735"/>
    <n v="801.77"/>
    <n v="1218.92"/>
    <x v="165"/>
    <b v="0"/>
    <n v="16"/>
    <n v="14549.029120000001"/>
    <n v="12828.32"/>
    <n v="1720.7091200000013"/>
    <n v="0.11826968698788344"/>
    <s v="Medium"/>
    <s v="Met"/>
    <x v="1"/>
  </r>
  <r>
    <s v="ORD-2023-808024"/>
    <d v="2023-12-30T00:00:00"/>
    <s v="Dec-2023"/>
    <s v="Q4-2023"/>
    <d v="2024-01-08T00:00:00"/>
    <d v="2024-01-08T00:00:00"/>
    <n v="9"/>
    <x v="0"/>
    <s v="France"/>
    <s v="Marseille"/>
    <s v="Consumer"/>
    <s v="Marketplace"/>
    <x v="5"/>
    <s v="Accessories"/>
    <s v="ACC-6594"/>
    <n v="861.1"/>
    <n v="1224.72"/>
    <x v="98"/>
    <b v="0"/>
    <n v="24"/>
    <n v="24278.849280000002"/>
    <n v="20666.400000000001"/>
    <n v="3612.4492800000007"/>
    <n v="0.14878997098827909"/>
    <s v="Medium"/>
    <s v="Not Met"/>
    <x v="0"/>
  </r>
  <r>
    <s v="ORD-2024-347736"/>
    <d v="2024-05-22T00:00:00"/>
    <s v="May-2024"/>
    <s v="Q2-2024"/>
    <d v="2024-06-06T00:00:00"/>
    <d v="2024-06-06T00:00:00"/>
    <n v="15"/>
    <x v="3"/>
    <s v="Japan"/>
    <s v="Nagoya"/>
    <s v="Corporate"/>
    <s v="Distributor"/>
    <x v="8"/>
    <s v="Monitors"/>
    <s v="MON-6870"/>
    <n v="673.88"/>
    <n v="1228.01"/>
    <x v="99"/>
    <b v="0"/>
    <n v="13"/>
    <n v="14287.896349999999"/>
    <n v="8760.44"/>
    <n v="5527.4563499999986"/>
    <n v="0.38686285332689996"/>
    <s v="Medium"/>
    <s v="Not Met"/>
    <x v="0"/>
  </r>
  <r>
    <s v="ORD-2023-752962"/>
    <d v="2023-04-21T00:00:00"/>
    <s v="Apr-2023"/>
    <s v="Q2-2023"/>
    <d v="2023-04-19T00:00:00"/>
    <d v="2023-05-05T00:00:00"/>
    <n v="14"/>
    <x v="3"/>
    <s v="Japan"/>
    <s v="Nagoya"/>
    <s v="Small Business"/>
    <s v="Direct"/>
    <x v="7"/>
    <s v="Components"/>
    <s v="CMP-8604"/>
    <n v="607.04"/>
    <n v="1229.3399999999999"/>
    <x v="115"/>
    <b v="0"/>
    <n v="7"/>
    <n v="7340.3891399999993"/>
    <n v="4249.28"/>
    <n v="3091.1091399999996"/>
    <n v="0.42110970972310058"/>
    <s v="Medium"/>
    <s v="Not Met"/>
    <x v="0"/>
  </r>
  <r>
    <s v="ORD-2024-207669"/>
    <d v="2024-01-24T00:00:00"/>
    <s v="Jan-2024"/>
    <s v="Q1-2024"/>
    <d v="2024-02-04T00:00:00"/>
    <d v="2024-02-04T00:00:00"/>
    <n v="11"/>
    <x v="0"/>
    <s v="United Kingdom"/>
    <s v="Manchester"/>
    <s v="Consumer"/>
    <s v="Retail"/>
    <x v="4"/>
    <s v="Laptops"/>
    <s v="LAP-5689"/>
    <n v="525.34"/>
    <n v="1233.79"/>
    <x v="153"/>
    <b v="0"/>
    <n v="4"/>
    <n v="4229.4321199999995"/>
    <n v="2101.36"/>
    <n v="2128.0721199999994"/>
    <n v="0.50315788494082736"/>
    <s v="Medium"/>
    <s v="Not Met"/>
    <x v="0"/>
  </r>
  <r>
    <s v="ORD-2023-548874"/>
    <d v="2023-03-19T00:00:00"/>
    <s v="Mar-2023"/>
    <s v="Q1-2023"/>
    <d v="2023-04-09T00:00:00"/>
    <d v="2023-04-09T00:00:00"/>
    <n v="21"/>
    <x v="0"/>
    <s v="United Kingdom"/>
    <s v="Manchester"/>
    <s v="Consumer"/>
    <s v="Retail"/>
    <x v="5"/>
    <s v="Accessories"/>
    <s v="ACC-9150"/>
    <n v="1082.17"/>
    <n v="1234.0999999999999"/>
    <x v="140"/>
    <b v="0"/>
    <n v="16"/>
    <n v="16013.681599999998"/>
    <n v="17314.72"/>
    <n v="-1301.0384000000031"/>
    <n v="-8.124542703534228E-2"/>
    <s v="Medium"/>
    <s v="Not Met"/>
    <x v="0"/>
  </r>
  <r>
    <s v="ORD-2025-922513"/>
    <d v="2025-08-28T00:00:00"/>
    <s v="Aug-2025"/>
    <s v="Q3-2025"/>
    <d v="2025-08-26T00:00:00"/>
    <d v="2025-09-11T00:00:00"/>
    <n v="14"/>
    <x v="1"/>
    <s v="Nigeria"/>
    <s v="Port Harcourt"/>
    <s v="Small Business"/>
    <s v="Retail"/>
    <x v="13"/>
    <s v="Accessories"/>
    <s v="ACC-4483"/>
    <n v="521.05999999999995"/>
    <n v="1240.31"/>
    <x v="160"/>
    <b v="0"/>
    <n v="18"/>
    <n v="19066.045319999997"/>
    <n v="9379.0799999999981"/>
    <n v="9686.9653199999993"/>
    <n v="0.50807417885650974"/>
    <s v="Medium"/>
    <s v="Not Met"/>
    <x v="0"/>
  </r>
  <r>
    <s v="ORD-2024-503082"/>
    <d v="2024-05-19T00:00:00"/>
    <s v="May-2024"/>
    <s v="Q2-2024"/>
    <d v="2024-06-08T00:00:00"/>
    <d v="2024-06-08T00:00:00"/>
    <n v="20"/>
    <x v="2"/>
    <s v="Brazil"/>
    <s v="Brasília"/>
    <s v="Small Business"/>
    <s v="Retail"/>
    <x v="10"/>
    <s v="Monitors"/>
    <s v="MON-4271"/>
    <n v="1075.9000000000001"/>
    <n v="1242.1500000000001"/>
    <x v="166"/>
    <b v="0"/>
    <n v="7"/>
    <n v="8590.7094000000016"/>
    <n v="7531.3000000000011"/>
    <n v="1059.4094000000005"/>
    <n v="0.12332036280961853"/>
    <s v="Medium"/>
    <s v="Not Met"/>
    <x v="0"/>
  </r>
  <r>
    <s v="ORD-2025-580047"/>
    <d v="2025-06-14T00:00:00"/>
    <s v="Jun-2025"/>
    <s v="Q2-2025"/>
    <d v="2025-06-29T00:00:00"/>
    <d v="2025-06-29T00:00:00"/>
    <n v="15"/>
    <x v="1"/>
    <s v="Nigeria"/>
    <s v="Port Harcourt"/>
    <s v="Consumer"/>
    <s v="Marketplace"/>
    <x v="7"/>
    <s v="Accessories"/>
    <s v="ACC-3961"/>
    <n v="730.99"/>
    <n v="1242.8399999999999"/>
    <x v="38"/>
    <b v="0"/>
    <n v="10"/>
    <n v="10936.992"/>
    <n v="7309.9"/>
    <n v="3627.0920000000006"/>
    <n v="0.33163524303574515"/>
    <s v="Medium"/>
    <s v="Not Met"/>
    <x v="0"/>
  </r>
  <r>
    <s v="ORD-2025-526650"/>
    <d v="2025-04-27T00:00:00"/>
    <s v="Apr-2025"/>
    <s v="Q2-2025"/>
    <d v="2025-05-25T00:00:00"/>
    <d v="2025-05-25T00:00:00"/>
    <n v="28"/>
    <x v="0"/>
    <s v="France"/>
    <s v="Paris"/>
    <s v="Small Business"/>
    <s v="Marketplace"/>
    <x v="1"/>
    <s v="Phones"/>
    <s v="PHN-8350"/>
    <n v="603.45000000000005"/>
    <n v="1244.08"/>
    <x v="167"/>
    <b v="0"/>
    <n v="11"/>
    <n v="10947.904"/>
    <n v="6637.9500000000007"/>
    <n v="4309.9539999999997"/>
    <n v="0.39367846119220623"/>
    <s v="Medium"/>
    <s v="Not Met"/>
    <x v="0"/>
  </r>
  <r>
    <s v="ORD-2023-431328"/>
    <d v="2023-12-20T00:00:00"/>
    <s v="Dec-2023"/>
    <s v="Q4-2023"/>
    <d v="2024-01-14T00:00:00"/>
    <d v="2024-01-14T00:00:00"/>
    <n v="25"/>
    <x v="3"/>
    <s v="India"/>
    <s v="Mumbai"/>
    <s v="Non-Profit"/>
    <s v="Marketplace"/>
    <x v="5"/>
    <s v="Monitors"/>
    <s v="MON-1572"/>
    <n v="1085.6099999999999"/>
    <n v="1246.4100000000001"/>
    <x v="61"/>
    <b v="0"/>
    <n v="7"/>
    <n v="7738.9596900000006"/>
    <n v="7599.2699999999995"/>
    <n v="139.68969000000106"/>
    <n v="1.8050189637310417E-2"/>
    <s v="Medium"/>
    <s v="Not Met"/>
    <x v="0"/>
  </r>
  <r>
    <s v="ORD-2023-472078"/>
    <d v="2023-02-28T00:00:00"/>
    <s v="Feb-2023"/>
    <s v="Q1-2023"/>
    <d v="2023-03-06T00:00:00"/>
    <d v="2023-03-06T00:00:00"/>
    <n v="6"/>
    <x v="0"/>
    <s v="Germany"/>
    <s v="Frankfurt"/>
    <s v="Small Business"/>
    <s v="Marketplace"/>
    <x v="0"/>
    <s v="Printers"/>
    <s v="PRN-9624"/>
    <n v="880.02"/>
    <n v="1251.21"/>
    <x v="148"/>
    <b v="0"/>
    <n v="29"/>
    <n v="31822.023930000003"/>
    <n v="25520.579999999998"/>
    <n v="6301.4439300000049"/>
    <n v="0.19802146915172672"/>
    <s v="Medium"/>
    <s v="Met"/>
    <x v="0"/>
  </r>
  <r>
    <s v="ORD-2023-497686"/>
    <d v="2023-07-03T00:00:00"/>
    <s v="Jul-2023"/>
    <s v="Q3-2023"/>
    <d v="2023-07-23T00:00:00"/>
    <d v="2023-07-23T00:00:00"/>
    <n v="20"/>
    <x v="1"/>
    <s v="South Africa"/>
    <s v="Johannesburg"/>
    <s v="Small Business"/>
    <s v="Distributor"/>
    <x v="6"/>
    <s v="Laptops"/>
    <s v="LAP-6342"/>
    <n v="1001.96"/>
    <n v="1254.95"/>
    <x v="21"/>
    <b v="0"/>
    <n v="18"/>
    <n v="21572.590500000002"/>
    <n v="18035.28"/>
    <n v="3537.3105000000032"/>
    <n v="0.16397244920585699"/>
    <s v="Medium"/>
    <s v="Not Met"/>
    <x v="0"/>
  </r>
  <r>
    <s v="ORD-2024-287210"/>
    <d v="2024-03-18T00:00:00"/>
    <s v="Mar-2024"/>
    <s v="Q1-2024"/>
    <d v="2024-03-21T00:00:00"/>
    <d v="2024-03-21T00:00:00"/>
    <n v="3"/>
    <x v="0"/>
    <s v="Germany"/>
    <s v="Munich"/>
    <s v="Small Business"/>
    <s v="Online"/>
    <x v="7"/>
    <s v="Accessories"/>
    <s v="ACC-2761"/>
    <n v="910.63"/>
    <n v="1269.4000000000001"/>
    <x v="116"/>
    <b v="0"/>
    <n v="9"/>
    <n v="10647.727199999999"/>
    <n v="8195.67"/>
    <n v="2452.0571999999993"/>
    <n v="0.23028925834989455"/>
    <s v="Medium"/>
    <s v="Met"/>
    <x v="0"/>
  </r>
  <r>
    <s v="ORD-2024-550400"/>
    <d v="2024-08-19T00:00:00"/>
    <s v="Aug-2024"/>
    <s v="Q3-2024"/>
    <d v="2024-09-02T00:00:00"/>
    <d v="2024-09-02T00:00:00"/>
    <n v="14"/>
    <x v="2"/>
    <s v="Canada"/>
    <s v="Toronto"/>
    <s v="Consumer"/>
    <s v="Distributor"/>
    <x v="8"/>
    <s v="Printers"/>
    <s v="PRN-9793"/>
    <n v="1337.01"/>
    <n v="1269.78"/>
    <x v="157"/>
    <b v="0"/>
    <n v="7"/>
    <n v="7466.3063999999986"/>
    <n v="9359.07"/>
    <n v="-1892.7636000000011"/>
    <n v="-0.25350735672996244"/>
    <s v="Medium"/>
    <s v="Not Met"/>
    <x v="0"/>
  </r>
  <r>
    <s v="ORD-2023-525643"/>
    <d v="2023-08-17T00:00:00"/>
    <s v="Aug-2023"/>
    <s v="Q3-2023"/>
    <d v="2023-09-03T00:00:00"/>
    <d v="2023-09-03T00:00:00"/>
    <n v="17"/>
    <x v="1"/>
    <s v="South Africa"/>
    <s v="Durban"/>
    <s v="Enterprise"/>
    <s v="Retail"/>
    <x v="13"/>
    <s v="Phones"/>
    <s v="PHN-8072"/>
    <n v="676.37"/>
    <n v="1276.67"/>
    <x v="26"/>
    <b v="0"/>
    <n v="10"/>
    <n v="11924.0978"/>
    <n v="6763.7"/>
    <n v="5160.3977999999997"/>
    <n v="0.4327705027712872"/>
    <s v="Medium"/>
    <s v="Not Met"/>
    <x v="0"/>
  </r>
  <r>
    <s v="ORD-2023-594955"/>
    <d v="2023-06-20T00:00:00"/>
    <s v="Jun-2023"/>
    <s v="Q2-2023"/>
    <d v="2023-07-08T00:00:00"/>
    <d v="2023-07-08T00:00:00"/>
    <n v="18"/>
    <x v="2"/>
    <s v="USA"/>
    <s v="New York"/>
    <s v="Consumer"/>
    <s v="Marketplace"/>
    <x v="11"/>
    <s v="Networking"/>
    <s v="NET-3828"/>
    <n v="1145.53"/>
    <n v="1278.3"/>
    <x v="120"/>
    <b v="0"/>
    <n v="41"/>
    <n v="47693.373"/>
    <n v="46966.729999999996"/>
    <n v="726.64300000000367"/>
    <n v="1.5235722581416158E-2"/>
    <s v="Medium"/>
    <s v="Not Met"/>
    <x v="0"/>
  </r>
  <r>
    <s v="ORD-2025-626047"/>
    <d v="2025-04-28T00:00:00"/>
    <s v="Apr-2025"/>
    <s v="Q2-2025"/>
    <d v="2025-05-15T00:00:00"/>
    <d v="2025-05-15T00:00:00"/>
    <n v="17"/>
    <x v="3"/>
    <s v="Japan"/>
    <s v="Nagoya"/>
    <s v="Education"/>
    <s v="Direct"/>
    <x v="9"/>
    <s v="Networking"/>
    <s v="NET-1966"/>
    <n v="691.19"/>
    <n v="1284.3"/>
    <x v="130"/>
    <b v="0"/>
    <n v="7"/>
    <n v="8324.8326000000015"/>
    <n v="4838.33"/>
    <n v="3486.5026000000016"/>
    <n v="0.41880753253825198"/>
    <s v="Medium"/>
    <s v="Not Met"/>
    <x v="0"/>
  </r>
  <r>
    <s v="ORD-2023-841426"/>
    <d v="2023-12-22T00:00:00"/>
    <s v="Dec-2023"/>
    <s v="Q4-2023"/>
    <d v="2023-12-23T00:00:00"/>
    <d v="2023-12-23T00:00:00"/>
    <n v="1"/>
    <x v="1"/>
    <s v="South Africa"/>
    <s v="Cape Town"/>
    <s v="Non-Profit"/>
    <s v="Marketplace"/>
    <x v="0"/>
    <s v="Components"/>
    <s v="CMP-4531"/>
    <n v="1186.18"/>
    <n v="1285.0899999999999"/>
    <x v="164"/>
    <b v="0"/>
    <n v="11"/>
    <n v="13146.470699999998"/>
    <n v="13047.980000000001"/>
    <n v="98.49069999999665"/>
    <n v="7.4917977796121861E-3"/>
    <s v="Medium"/>
    <s v="Met"/>
    <x v="0"/>
  </r>
  <r>
    <s v="ORD-2023-588455"/>
    <d v="2023-05-23T00:00:00"/>
    <s v="May-2023"/>
    <s v="Q2-2023"/>
    <d v="2023-05-25T00:00:00"/>
    <d v="2023-05-25T00:00:00"/>
    <n v="2"/>
    <x v="2"/>
    <s v="Brazil"/>
    <s v="Rio de Janeiro"/>
    <s v="Enterprise"/>
    <s v="Retail"/>
    <x v="7"/>
    <s v="Printers"/>
    <s v="PRN-1271"/>
    <n v="690.49"/>
    <n v="1290.29"/>
    <x v="106"/>
    <b v="0"/>
    <n v="22"/>
    <n v="27194.152039999997"/>
    <n v="15190.78"/>
    <n v="12003.372039999997"/>
    <n v="0.44139534199647718"/>
    <s v="Medium"/>
    <s v="Met"/>
    <x v="0"/>
  </r>
  <r>
    <s v="ORD-2025-608069"/>
    <d v="2025-04-12T00:00:00"/>
    <s v="Apr-2025"/>
    <s v="Q2-2025"/>
    <d v="2025-04-30T00:00:00"/>
    <d v="2025-04-30T00:00:00"/>
    <n v="18"/>
    <x v="1"/>
    <s v="Kenya"/>
    <s v="Kisumu"/>
    <s v="Corporate"/>
    <s v="Marketplace"/>
    <x v="6"/>
    <s v="Networking"/>
    <s v="NET-3432"/>
    <n v="1119.04"/>
    <n v="1299.02"/>
    <x v="136"/>
    <b v="0"/>
    <n v="14"/>
    <n v="17731.623"/>
    <n v="15666.56"/>
    <n v="2065.0630000000001"/>
    <n v="0.11646215352085933"/>
    <s v="Medium"/>
    <s v="Not Met"/>
    <x v="0"/>
  </r>
  <r>
    <s v="ORD-2025-762212"/>
    <d v="2025-08-25T00:00:00"/>
    <s v="Aug-2025"/>
    <s v="Q3-2025"/>
    <d v="2025-09-24T00:00:00"/>
    <d v="2025-09-24T00:00:00"/>
    <n v="30"/>
    <x v="1"/>
    <s v="Kenya"/>
    <s v="Nairobi"/>
    <s v="Consumer"/>
    <s v="Direct"/>
    <x v="4"/>
    <s v="Components"/>
    <s v="CMP-4970"/>
    <n v="589.14"/>
    <n v="1300.58"/>
    <x v="168"/>
    <b v="0"/>
    <n v="11"/>
    <n v="13519.529099999998"/>
    <n v="6480.54"/>
    <n v="7038.989099999998"/>
    <n v="0.52065342275863724"/>
    <s v="Medium"/>
    <s v="Not Met"/>
    <x v="0"/>
  </r>
  <r>
    <s v="ORD-2024-760799"/>
    <d v="2024-02-03T00:00:00"/>
    <s v="Feb-2024"/>
    <s v="Q1-2024"/>
    <d v="2024-02-19T00:00:00"/>
    <d v="2024-02-19T00:00:00"/>
    <n v="16"/>
    <x v="3"/>
    <s v="China"/>
    <s v="Shenzhen"/>
    <s v="Small Business"/>
    <s v="Online"/>
    <x v="2"/>
    <s v="Laptops"/>
    <s v="LAP-5531"/>
    <n v="993.75"/>
    <n v="1310.29"/>
    <x v="14"/>
    <b v="0"/>
    <n v="19"/>
    <n v="19542.975350000001"/>
    <n v="18881.25"/>
    <n v="661.72535000000062"/>
    <n v="3.3860010471742245E-2"/>
    <s v="Medium"/>
    <s v="Not Met"/>
    <x v="1"/>
  </r>
  <r>
    <s v="ORD-2023-580751"/>
    <d v="2023-12-24T00:00:00"/>
    <s v="Dec-2023"/>
    <s v="Q4-2023"/>
    <d v="2024-01-13T00:00:00"/>
    <d v="2024-01-13T00:00:00"/>
    <n v="20"/>
    <x v="3"/>
    <s v="Japan"/>
    <s v="Nagoya"/>
    <s v="Education"/>
    <s v="Direct"/>
    <x v="4"/>
    <s v="Laptops"/>
    <s v="LAP-1946"/>
    <n v="625.37"/>
    <n v="1319.04"/>
    <x v="130"/>
    <b v="0"/>
    <n v="8"/>
    <n v="9771.4483199999995"/>
    <n v="5002.96"/>
    <n v="4768.4883199999995"/>
    <n v="0.48800220436513547"/>
    <s v="Medium"/>
    <s v="Not Met"/>
    <x v="0"/>
  </r>
  <r>
    <s v="ORD-2024-921935"/>
    <d v="2024-01-01T00:00:00"/>
    <s v="Jan-2024"/>
    <s v="Q1-2024"/>
    <d v="2024-01-27T00:00:00"/>
    <d v="2024-01-27T00:00:00"/>
    <n v="26"/>
    <x v="0"/>
    <s v="United Kingdom"/>
    <s v="Manchester"/>
    <s v="Education"/>
    <s v="Distributor"/>
    <x v="0"/>
    <s v="Accessories"/>
    <s v="ACC-3103"/>
    <n v="657.45"/>
    <n v="1325.96"/>
    <x v="42"/>
    <b v="0"/>
    <n v="21"/>
    <n v="23195.01828"/>
    <n v="13806.45"/>
    <n v="9388.5682799999995"/>
    <n v="0.40476658249048808"/>
    <s v="Medium"/>
    <s v="Not Met"/>
    <x v="0"/>
  </r>
  <r>
    <s v="ORD-2024-381197"/>
    <d v="2024-11-01T00:00:00"/>
    <s v="Nov-2024"/>
    <s v="Q4-2024"/>
    <d v="2024-11-12T00:00:00"/>
    <d v="2024-11-12T00:00:00"/>
    <n v="11"/>
    <x v="0"/>
    <s v="Germany"/>
    <s v="Frankfurt"/>
    <s v="Consumer"/>
    <s v="Online"/>
    <x v="4"/>
    <s v="Printers"/>
    <s v="PRN-2409"/>
    <n v="599.84"/>
    <n v="1330.85"/>
    <x v="68"/>
    <b v="0"/>
    <n v="11"/>
    <n v="12955.824749999998"/>
    <n v="6598.2400000000007"/>
    <n v="6357.5847499999973"/>
    <n v="0.49071246892252063"/>
    <s v="Medium"/>
    <s v="Not Met"/>
    <x v="0"/>
  </r>
  <r>
    <s v="ORD-2024-988736"/>
    <d v="2024-09-09T00:00:00"/>
    <s v="Sep-2024"/>
    <s v="Q3-2024"/>
    <d v="2024-10-01T00:00:00"/>
    <d v="2024-10-01T00:00:00"/>
    <n v="22"/>
    <x v="3"/>
    <s v="China"/>
    <s v="Shenzhen"/>
    <s v="Consumer"/>
    <s v="Direct"/>
    <x v="5"/>
    <s v="Printers"/>
    <s v="PRN-3014"/>
    <n v="1166.18"/>
    <n v="1335.02"/>
    <x v="39"/>
    <b v="0"/>
    <n v="6"/>
    <n v="6984.8246399999998"/>
    <n v="6997.08"/>
    <n v="-12.25536000000011"/>
    <n v="-1.7545694604582242E-3"/>
    <s v="Medium"/>
    <s v="Not Met"/>
    <x v="0"/>
  </r>
  <r>
    <s v="ORD-2025-509940"/>
    <d v="2025-05-16T00:00:00"/>
    <s v="May-2025"/>
    <s v="Q2-2025"/>
    <d v="2025-05-27T00:00:00"/>
    <d v="2025-05-27T00:00:00"/>
    <n v="11"/>
    <x v="3"/>
    <s v="China"/>
    <s v="Beijing"/>
    <s v="Enterprise"/>
    <s v="Online"/>
    <x v="6"/>
    <s v="Phones"/>
    <s v="PHN-3800"/>
    <n v="918.12"/>
    <n v="1337.69"/>
    <x v="169"/>
    <b v="0"/>
    <n v="8"/>
    <n v="9684.8756000000012"/>
    <n v="7344.96"/>
    <n v="2339.9156000000012"/>
    <n v="0.24160512707050164"/>
    <s v="Medium"/>
    <s v="Not Met"/>
    <x v="0"/>
  </r>
  <r>
    <s v="ORD-2024-219735"/>
    <d v="2024-04-03T00:00:00"/>
    <s v="Apr-2024"/>
    <s v="Q2-2024"/>
    <d v="2024-04-07T00:00:00"/>
    <d v="2024-04-07T00:00:00"/>
    <n v="4"/>
    <x v="2"/>
    <s v="Brazil"/>
    <s v="Brasília"/>
    <s v="Non-Profit"/>
    <s v="Direct"/>
    <x v="9"/>
    <s v="Phones"/>
    <s v="PHN-5445"/>
    <n v="1023.27"/>
    <n v="1343.64"/>
    <x v="59"/>
    <b v="0"/>
    <n v="7"/>
    <n v="8154.5511600000009"/>
    <n v="7162.8899999999994"/>
    <n v="991.66116000000147"/>
    <n v="0.12160830688810116"/>
    <s v="Medium"/>
    <s v="Met"/>
    <x v="0"/>
  </r>
  <r>
    <s v="ORD-2025-683043"/>
    <d v="2025-08-13T00:00:00"/>
    <s v="Aug-2025"/>
    <s v="Q3-2025"/>
    <d v="2025-09-03T00:00:00"/>
    <d v="2025-09-03T00:00:00"/>
    <n v="21"/>
    <x v="0"/>
    <s v="France"/>
    <s v="Paris"/>
    <s v="Education"/>
    <s v="Retail"/>
    <x v="1"/>
    <s v="Phones"/>
    <s v="PHN-9465"/>
    <n v="603.47"/>
    <n v="1344.05"/>
    <x v="111"/>
    <b v="0"/>
    <n v="18"/>
    <n v="19233.355499999998"/>
    <n v="10862.460000000001"/>
    <n v="8370.8954999999969"/>
    <n v="0.43522803392262976"/>
    <s v="Medium"/>
    <s v="Not Met"/>
    <x v="1"/>
  </r>
  <r>
    <s v="ORD-2023-382272"/>
    <d v="2023-05-20T00:00:00"/>
    <s v="May-2023"/>
    <s v="Q2-2023"/>
    <d v="2023-05-18T00:00:00"/>
    <d v="2023-06-03T00:00:00"/>
    <n v="14"/>
    <x v="1"/>
    <s v="South Africa"/>
    <s v="Durban"/>
    <s v="Corporate"/>
    <s v="Distributor"/>
    <x v="13"/>
    <s v="Components"/>
    <s v="CMP-5208"/>
    <n v="917.88"/>
    <n v="1347.92"/>
    <x v="33"/>
    <b v="0"/>
    <n v="5"/>
    <n v="6739.6"/>
    <n v="4589.3999999999996"/>
    <n v="2150.2000000000007"/>
    <n v="0.3190397056205117"/>
    <s v="Medium"/>
    <s v="Not Met"/>
    <x v="0"/>
  </r>
  <r>
    <s v="ORD-2023-842488"/>
    <d v="2023-10-31T00:00:00"/>
    <s v="Oct-2023"/>
    <s v="Q4-2023"/>
    <d v="2023-11-02T00:00:00"/>
    <d v="2023-11-02T00:00:00"/>
    <n v="2"/>
    <x v="1"/>
    <s v="Kenya"/>
    <s v="Kisumu"/>
    <s v="Education"/>
    <s v="Retail"/>
    <x v="11"/>
    <s v="Accessories"/>
    <s v="ACC-4124"/>
    <n v="867.89"/>
    <n v="1349.94"/>
    <x v="129"/>
    <b v="0"/>
    <n v="10"/>
    <n v="11015.510400000003"/>
    <n v="8678.9"/>
    <n v="2336.6104000000032"/>
    <n v="0.21212003031652557"/>
    <s v="Medium"/>
    <s v="Met"/>
    <x v="0"/>
  </r>
  <r>
    <s v="ORD-2024-640340"/>
    <d v="2024-10-22T00:00:00"/>
    <s v="Oct-2024"/>
    <s v="Q4-2024"/>
    <d v="2024-10-29T00:00:00"/>
    <d v="2024-10-29T00:00:00"/>
    <n v="7"/>
    <x v="1"/>
    <s v="Nigeria"/>
    <s v="Port Harcourt"/>
    <s v="Enterprise"/>
    <s v="Distributor"/>
    <x v="7"/>
    <s v="Monitors"/>
    <s v="MON-8758"/>
    <n v="1023.06"/>
    <n v="1355.61"/>
    <x v="48"/>
    <b v="0"/>
    <n v="23"/>
    <n v="26408.63841"/>
    <n v="23530.379999999997"/>
    <n v="2878.2584100000022"/>
    <n v="0.10898927711888809"/>
    <s v="Medium"/>
    <s v="Met"/>
    <x v="0"/>
  </r>
  <r>
    <s v="ORD-2025-683247"/>
    <d v="2025-03-10T00:00:00"/>
    <s v="Mar-2025"/>
    <s v="Q1-2025"/>
    <d v="2025-04-04T00:00:00"/>
    <d v="2025-04-04T00:00:00"/>
    <n v="25"/>
    <x v="3"/>
    <s v="Japan"/>
    <s v="Osaka"/>
    <s v="Corporate"/>
    <s v="Direct"/>
    <x v="2"/>
    <s v="Printers"/>
    <s v="PRN-9867"/>
    <n v="783.72"/>
    <n v="1355.94"/>
    <x v="74"/>
    <b v="0"/>
    <n v="4"/>
    <n v="4409.5168800000001"/>
    <n v="3134.88"/>
    <n v="1274.63688"/>
    <n v="0.28906497348525856"/>
    <s v="Medium"/>
    <s v="Not Met"/>
    <x v="0"/>
  </r>
  <r>
    <s v="ORD-2024-571797"/>
    <d v="2024-07-11T00:00:00"/>
    <s v="Jul-2024"/>
    <s v="Q3-2024"/>
    <d v="2024-07-31T00:00:00"/>
    <d v="2024-07-31T00:00:00"/>
    <n v="20"/>
    <x v="3"/>
    <s v="China"/>
    <s v="Shenzhen"/>
    <s v="Consumer"/>
    <s v="Online"/>
    <x v="14"/>
    <s v="Phones"/>
    <s v="PHN-7815"/>
    <n v="647.26"/>
    <n v="1374.72"/>
    <x v="26"/>
    <b v="0"/>
    <n v="22"/>
    <n v="28247.74656"/>
    <n v="14239.72"/>
    <n v="14008.02656"/>
    <n v="0.49589890401508901"/>
    <s v="Medium"/>
    <s v="Not Met"/>
    <x v="0"/>
  </r>
  <r>
    <s v="ORD-2023-334213"/>
    <d v="2023-08-19T00:00:00"/>
    <s v="Aug-2023"/>
    <s v="Q3-2023"/>
    <d v="2023-08-23T00:00:00"/>
    <d v="2023-08-23T00:00:00"/>
    <n v="4"/>
    <x v="1"/>
    <s v="Nigeria"/>
    <s v="Abuja"/>
    <s v="Small Business"/>
    <s v="Online"/>
    <x v="3"/>
    <s v="Monitors"/>
    <s v="MON-5517"/>
    <n v="790.63"/>
    <n v="1382.31"/>
    <x v="46"/>
    <b v="0"/>
    <n v="7"/>
    <n v="8698.8768300000011"/>
    <n v="5534.41"/>
    <n v="3164.4668300000012"/>
    <n v="0.36377878338116448"/>
    <s v="Medium"/>
    <s v="Met"/>
    <x v="0"/>
  </r>
  <r>
    <s v="ORD-2024-892173"/>
    <d v="2024-01-18T00:00:00"/>
    <s v="Jan-2024"/>
    <s v="Q1-2024"/>
    <d v="2024-02-03T00:00:00"/>
    <d v="2024-02-03T00:00:00"/>
    <n v="16"/>
    <x v="1"/>
    <s v="South Africa"/>
    <s v="Cape Town"/>
    <s v="Non-Profit"/>
    <s v="Distributor"/>
    <x v="5"/>
    <s v="Printers"/>
    <s v="PRN-6660"/>
    <n v="666.23"/>
    <n v="1382.91"/>
    <x v="23"/>
    <b v="0"/>
    <n v="13"/>
    <n v="14813.731920000002"/>
    <n v="8660.99"/>
    <n v="6152.7419200000022"/>
    <n v="0.41534043907553048"/>
    <s v="Medium"/>
    <s v="Not Met"/>
    <x v="0"/>
  </r>
  <r>
    <s v="ORD-2025-779659"/>
    <d v="2025-07-03T00:00:00"/>
    <s v="Jul-2025"/>
    <s v="Q3-2025"/>
    <d v="2025-07-23T00:00:00"/>
    <d v="2025-07-23T00:00:00"/>
    <n v="20"/>
    <x v="3"/>
    <s v="China"/>
    <s v="Beijing"/>
    <s v="Small Business"/>
    <s v="Online"/>
    <x v="7"/>
    <s v="Components"/>
    <s v="CMP-1220"/>
    <n v="647.36"/>
    <n v="1383.6"/>
    <x v="130"/>
    <b v="0"/>
    <n v="12"/>
    <n v="15374.563199999999"/>
    <n v="7768.32"/>
    <n v="7606.243199999999"/>
    <n v="0.49472906000997802"/>
    <s v="Medium"/>
    <s v="Not Met"/>
    <x v="0"/>
  </r>
  <r>
    <s v="ORD-2025-881624"/>
    <d v="2025-02-21T00:00:00"/>
    <s v="Feb-2025"/>
    <s v="Q1-2025"/>
    <d v="2025-03-21T00:00:00"/>
    <d v="2025-03-21T00:00:00"/>
    <n v="28"/>
    <x v="1"/>
    <s v="Nigeria"/>
    <s v="Abuja"/>
    <s v="Enterprise"/>
    <s v="Marketplace"/>
    <x v="1"/>
    <s v="Phones"/>
    <s v="PHN-5887"/>
    <n v="1437.39"/>
    <n v="1388.31"/>
    <x v="170"/>
    <b v="0"/>
    <n v="18"/>
    <n v="21541.017959999997"/>
    <n v="25873.02"/>
    <n v="-4332.002040000003"/>
    <n v="-0.20110479681341872"/>
    <s v="Medium"/>
    <s v="Not Met"/>
    <x v="0"/>
  </r>
  <r>
    <s v="ORD-2024-155337"/>
    <d v="2024-05-21T00:00:00"/>
    <s v="May-2024"/>
    <s v="Q2-2024"/>
    <d v="2024-05-27T00:00:00"/>
    <d v="2024-05-27T00:00:00"/>
    <n v="6"/>
    <x v="1"/>
    <s v="South Africa"/>
    <s v="Johannesburg"/>
    <s v="Non-Profit"/>
    <s v="Online"/>
    <x v="7"/>
    <s v="Components"/>
    <s v="CMP-8101"/>
    <n v="1157.51"/>
    <n v="1394.3"/>
    <x v="171"/>
    <b v="0"/>
    <n v="12"/>
    <n v="12080.215199999999"/>
    <n v="13890.119999999999"/>
    <n v="-1809.9048000000003"/>
    <n v="-0.14982388724333326"/>
    <s v="Medium"/>
    <s v="Met"/>
    <x v="1"/>
  </r>
  <r>
    <s v="ORD-2023-304451"/>
    <d v="2023-10-07T00:00:00"/>
    <s v="Oct-2023"/>
    <s v="Q4-2023"/>
    <d v="2023-10-23T00:00:00"/>
    <d v="2023-10-23T00:00:00"/>
    <n v="16"/>
    <x v="3"/>
    <s v="India"/>
    <s v="Hyderabad"/>
    <s v="Consumer"/>
    <s v="Retail"/>
    <x v="14"/>
    <s v="Monitors"/>
    <s v="MON-7602"/>
    <n v="906.81"/>
    <n v="1395.56"/>
    <x v="117"/>
    <b v="0"/>
    <n v="6"/>
    <n v="6824.2884000000004"/>
    <n v="5440.86"/>
    <n v="1383.4284000000007"/>
    <n v="0.20272126834498974"/>
    <s v="Medium"/>
    <s v="Not Met"/>
    <x v="0"/>
  </r>
  <r>
    <s v="ORD-2024-599522"/>
    <d v="2024-04-19T00:00:00"/>
    <s v="Apr-2024"/>
    <s v="Q2-2024"/>
    <d v="2024-05-06T00:00:00"/>
    <d v="2024-05-06T00:00:00"/>
    <n v="17"/>
    <x v="1"/>
    <s v="Nigeria"/>
    <s v="Port Harcourt"/>
    <s v="Non-Profit"/>
    <s v="Online"/>
    <x v="13"/>
    <s v="Printers"/>
    <s v="PRN-7303"/>
    <n v="865.33"/>
    <n v="1395.64"/>
    <x v="143"/>
    <b v="0"/>
    <n v="13"/>
    <n v="14968.239"/>
    <n v="11249.29"/>
    <n v="3718.9489999999987"/>
    <n v="0.24845601409758347"/>
    <s v="Medium"/>
    <s v="Not Met"/>
    <x v="0"/>
  </r>
  <r>
    <s v="ORD-2023-308124"/>
    <d v="2023-04-19T00:00:00"/>
    <s v="Apr-2023"/>
    <s v="Q2-2023"/>
    <d v="2023-04-30T00:00:00"/>
    <d v="2023-04-30T00:00:00"/>
    <n v="11"/>
    <x v="3"/>
    <s v="India"/>
    <s v="Delhi"/>
    <s v="Small Business"/>
    <s v="Retail"/>
    <x v="13"/>
    <s v="Networking"/>
    <s v="NET-2062"/>
    <n v="826.55"/>
    <n v="1397.05"/>
    <x v="84"/>
    <b v="0"/>
    <n v="28"/>
    <n v="32506.559399999998"/>
    <n v="23143.399999999998"/>
    <n v="9363.1594000000005"/>
    <n v="0.28803907804527601"/>
    <s v="Medium"/>
    <s v="Not Met"/>
    <x v="0"/>
  </r>
  <r>
    <s v="ORD-2023-107265"/>
    <d v="2023-04-22T00:00:00"/>
    <s v="Apr-2023"/>
    <s v="Q2-2023"/>
    <d v="2023-05-14T00:00:00"/>
    <d v="2023-05-14T00:00:00"/>
    <n v="22"/>
    <x v="3"/>
    <s v="Japan"/>
    <s v="Nagoya"/>
    <s v="Enterprise"/>
    <s v="Retail"/>
    <x v="13"/>
    <s v="Accessories"/>
    <s v="ACC-7713"/>
    <n v="1209.22"/>
    <n v="1404.33"/>
    <x v="172"/>
    <b v="0"/>
    <n v="11"/>
    <n v="13856.52411"/>
    <n v="13301.42"/>
    <n v="555.10411000000022"/>
    <n v="4.0060848275751328E-2"/>
    <s v="Medium"/>
    <s v="Not Met"/>
    <x v="0"/>
  </r>
  <r>
    <s v="ORD-2023-374486"/>
    <d v="2023-06-24T00:00:00"/>
    <s v="Jun-2023"/>
    <s v="Q2-2023"/>
    <d v="2023-06-23T00:00:00"/>
    <d v="2023-07-08T00:00:00"/>
    <n v="14"/>
    <x v="2"/>
    <s v="Brazil"/>
    <s v="Rio de Janeiro"/>
    <s v="Non-Profit"/>
    <s v="Retail"/>
    <x v="10"/>
    <s v="Printers"/>
    <s v="PRN-6490"/>
    <n v="804.01"/>
    <n v="1405.07"/>
    <x v="173"/>
    <b v="0"/>
    <n v="8"/>
    <n v="10161.46624"/>
    <n v="6432.08"/>
    <n v="3729.3862399999998"/>
    <n v="0.36701260939287439"/>
    <s v="Medium"/>
    <s v="Not Met"/>
    <x v="0"/>
  </r>
  <r>
    <s v="ORD-2024-947056"/>
    <d v="2024-07-31T00:00:00"/>
    <s v="Jul-2024"/>
    <s v="Q3-2024"/>
    <d v="2024-08-15T00:00:00"/>
    <d v="2024-08-15T00:00:00"/>
    <n v="15"/>
    <x v="3"/>
    <s v="Japan"/>
    <s v="Tokyo"/>
    <s v="Corporate"/>
    <s v="Marketplace"/>
    <x v="6"/>
    <s v="Monitors"/>
    <s v="MON-1564"/>
    <n v="1252.52"/>
    <n v="1417.24"/>
    <x v="100"/>
    <b v="0"/>
    <n v="5"/>
    <n v="5725.6496000000006"/>
    <n v="6262.6"/>
    <n v="-536.95039999999972"/>
    <n v="-9.3779821943696953E-2"/>
    <s v="Medium"/>
    <s v="Not Met"/>
    <x v="0"/>
  </r>
  <r>
    <s v="ORD-2023-536542"/>
    <d v="2023-06-10T00:00:00"/>
    <s v="Jun-2023"/>
    <s v="Q2-2023"/>
    <d v="2023-06-18T00:00:00"/>
    <d v="2023-06-18T00:00:00"/>
    <n v="8"/>
    <x v="1"/>
    <s v="Kenya"/>
    <s v="Nakuru"/>
    <s v="Enterprise"/>
    <s v="Direct"/>
    <x v="2"/>
    <s v="Phones"/>
    <s v="PHN-2337"/>
    <n v="894.23"/>
    <n v="1421.55"/>
    <x v="144"/>
    <b v="0"/>
    <n v="3"/>
    <n v="3799.8031499999997"/>
    <n v="2682.69"/>
    <n v="1117.1131499999997"/>
    <n v="0.29399237431549574"/>
    <s v="Medium"/>
    <s v="Not Met"/>
    <x v="0"/>
  </r>
  <r>
    <s v="ORD-2023-621393"/>
    <d v="2023-07-07T00:00:00"/>
    <s v="Jul-2023"/>
    <s v="Q3-2023"/>
    <d v="2023-07-13T00:00:00"/>
    <d v="2023-07-13T00:00:00"/>
    <n v="6"/>
    <x v="1"/>
    <s v="South Africa"/>
    <s v="Cape Town"/>
    <s v="Small Business"/>
    <s v="Marketplace"/>
    <x v="4"/>
    <s v="Accessories"/>
    <s v="ACC-9445"/>
    <n v="612.59"/>
    <n v="1424.74"/>
    <x v="174"/>
    <b v="0"/>
    <n v="15"/>
    <n v="20430.771599999996"/>
    <n v="9188.85"/>
    <n v="11241.921599999996"/>
    <n v="0.55024459281802152"/>
    <s v="Medium"/>
    <s v="Met"/>
    <x v="0"/>
  </r>
  <r>
    <s v="ORD-2023-700699"/>
    <d v="2023-01-12T00:00:00"/>
    <s v="Jan-2023"/>
    <s v="Q1-2023"/>
    <d v="2023-01-26T00:00:00"/>
    <d v="2023-01-26T00:00:00"/>
    <n v="14"/>
    <x v="3"/>
    <s v="China"/>
    <s v="Shenzhen"/>
    <s v="Non-Profit"/>
    <s v="Retail"/>
    <x v="7"/>
    <s v="Printers"/>
    <s v="PRN-1641"/>
    <n v="1083.0899999999999"/>
    <n v="1425.87"/>
    <x v="33"/>
    <b v="0"/>
    <n v="8"/>
    <n v="11406.96"/>
    <n v="8664.7199999999993"/>
    <n v="2742.24"/>
    <n v="0.24040059752992909"/>
    <s v="Medium"/>
    <s v="Not Met"/>
    <x v="0"/>
  </r>
  <r>
    <s v="ORD-2025-191328"/>
    <d v="2025-05-10T00:00:00"/>
    <s v="May-2025"/>
    <s v="Q2-2025"/>
    <d v="2025-05-27T00:00:00"/>
    <d v="2025-05-27T00:00:00"/>
    <n v="17"/>
    <x v="2"/>
    <s v="Canada"/>
    <s v="Vancouver"/>
    <s v="Education"/>
    <s v="Direct"/>
    <x v="8"/>
    <s v="Components"/>
    <s v="CMP-9307"/>
    <n v="862.89"/>
    <n v="1426.03"/>
    <x v="60"/>
    <b v="0"/>
    <n v="19"/>
    <n v="25577.274079999999"/>
    <n v="16394.91"/>
    <n v="9182.3640799999994"/>
    <n v="0.35900479665188778"/>
    <s v="Medium"/>
    <s v="Not Met"/>
    <x v="0"/>
  </r>
  <r>
    <s v="ORD-2023-664790"/>
    <d v="2023-04-16T00:00:00"/>
    <s v="Apr-2023"/>
    <s v="Q2-2023"/>
    <d v="2023-04-23T00:00:00"/>
    <d v="2023-04-23T00:00:00"/>
    <n v="7"/>
    <x v="2"/>
    <s v="USA"/>
    <s v="Austin"/>
    <s v="Corporate"/>
    <s v="Distributor"/>
    <x v="11"/>
    <s v="Printers"/>
    <s v="PRN-9249"/>
    <n v="1099.1500000000001"/>
    <n v="1431.37"/>
    <x v="101"/>
    <b v="0"/>
    <n v="8"/>
    <n v="10260.060159999999"/>
    <n v="8793.2000000000007"/>
    <n v="1466.8601599999984"/>
    <n v="0.14296798821109433"/>
    <s v="Medium"/>
    <s v="Met"/>
    <x v="0"/>
  </r>
  <r>
    <s v="ORD-2024-588972"/>
    <d v="2024-11-02T00:00:00"/>
    <s v="Nov-2024"/>
    <s v="Q4-2024"/>
    <d v="2024-11-29T00:00:00"/>
    <d v="2024-11-29T00:00:00"/>
    <n v="27"/>
    <x v="2"/>
    <s v="Brazil"/>
    <s v="Brasília"/>
    <s v="Small Business"/>
    <s v="Direct"/>
    <x v="1"/>
    <s v="Networking"/>
    <s v="NET-8561"/>
    <n v="1363.51"/>
    <n v="1433.9"/>
    <x v="31"/>
    <b v="0"/>
    <n v="8"/>
    <n v="10817.3416"/>
    <n v="10908.08"/>
    <n v="-90.738400000000183"/>
    <n v="-8.3882346842037592E-3"/>
    <s v="Medium"/>
    <s v="Not Met"/>
    <x v="0"/>
  </r>
  <r>
    <s v="ORD-2023-921939"/>
    <d v="2023-06-23T00:00:00"/>
    <s v="Jun-2023"/>
    <s v="Q2-2023"/>
    <d v="2023-07-18T00:00:00"/>
    <d v="2023-07-18T00:00:00"/>
    <n v="25"/>
    <x v="2"/>
    <s v="Canada"/>
    <s v="Vancouver"/>
    <s v="Enterprise"/>
    <s v="Online"/>
    <x v="9"/>
    <s v="Phones"/>
    <s v="PHN-4677"/>
    <n v="807.02"/>
    <n v="1435.54"/>
    <x v="33"/>
    <b v="0"/>
    <n v="23"/>
    <n v="33017.42"/>
    <n v="18561.46"/>
    <n v="14455.96"/>
    <n v="0.43782827368098415"/>
    <s v="Medium"/>
    <s v="Not Met"/>
    <x v="0"/>
  </r>
  <r>
    <s v="ORD-2024-745822"/>
    <d v="2024-03-31T00:00:00"/>
    <s v="Mar-2024"/>
    <s v="Q1-2024"/>
    <d v="2024-04-17T00:00:00"/>
    <d v="2024-04-17T00:00:00"/>
    <n v="17"/>
    <x v="0"/>
    <s v="Germany"/>
    <s v="Frankfurt"/>
    <s v="Education"/>
    <s v="Direct"/>
    <x v="2"/>
    <s v="Monitors"/>
    <s v="MON-8651"/>
    <n v="1025.51"/>
    <n v="1436.54"/>
    <x v="97"/>
    <b v="0"/>
    <n v="28"/>
    <n v="34632.106319999999"/>
    <n v="28714.28"/>
    <n v="5917.8263200000001"/>
    <n v="0.17087688127656453"/>
    <s v="Medium"/>
    <s v="Not Met"/>
    <x v="0"/>
  </r>
  <r>
    <s v="ORD-2025-762301"/>
    <d v="2025-05-02T00:00:00"/>
    <s v="May-2025"/>
    <s v="Q2-2025"/>
    <d v="2025-05-13T00:00:00"/>
    <d v="2025-05-13T00:00:00"/>
    <n v="11"/>
    <x v="1"/>
    <s v="Kenya"/>
    <s v="Nakuru"/>
    <s v="Small Business"/>
    <s v="Online"/>
    <x v="13"/>
    <s v="Accessories"/>
    <s v="ACC-2252"/>
    <n v="1057.5999999999999"/>
    <n v="1437.06"/>
    <x v="111"/>
    <b v="0"/>
    <n v="4"/>
    <n v="4569.8508000000002"/>
    <n v="4230.3999999999996"/>
    <n v="339.45080000000053"/>
    <n v="7.4280499485891424E-2"/>
    <s v="Medium"/>
    <s v="Not Met"/>
    <x v="1"/>
  </r>
  <r>
    <s v="ORD-2024-890180"/>
    <d v="2024-01-20T00:00:00"/>
    <s v="Jan-2024"/>
    <s v="Q1-2024"/>
    <d v="2024-02-13T00:00:00"/>
    <d v="2024-02-13T00:00:00"/>
    <n v="24"/>
    <x v="0"/>
    <s v="France"/>
    <s v="Marseille"/>
    <s v="Corporate"/>
    <s v="Retail"/>
    <x v="2"/>
    <s v="Printers"/>
    <s v="PRN-8392"/>
    <n v="643.53"/>
    <n v="1439.01"/>
    <x v="33"/>
    <b v="0"/>
    <n v="15"/>
    <n v="21585.15"/>
    <n v="9652.9499999999989"/>
    <n v="11932.200000000003"/>
    <n v="0.55279671440782208"/>
    <s v="Medium"/>
    <s v="Not Met"/>
    <x v="0"/>
  </r>
  <r>
    <s v="ORD-2024-102866"/>
    <d v="2024-12-12T00:00:00"/>
    <s v="Dec-2024"/>
    <s v="Q4-2024"/>
    <d v="2024-12-20T00:00:00"/>
    <d v="2024-12-20T00:00:00"/>
    <n v="8"/>
    <x v="3"/>
    <s v="Japan"/>
    <s v="Tokyo"/>
    <s v="Corporate"/>
    <s v="Retail"/>
    <x v="4"/>
    <s v="Laptops"/>
    <s v="LAP-8347"/>
    <n v="1202.47"/>
    <n v="1444.72"/>
    <x v="133"/>
    <b v="0"/>
    <n v="17"/>
    <n v="18641.222160000001"/>
    <n v="20441.990000000002"/>
    <n v="-1800.7678400000004"/>
    <n v="-9.6601382921343834E-2"/>
    <s v="Medium"/>
    <s v="Not Met"/>
    <x v="1"/>
  </r>
  <r>
    <s v="ORD-2025-332931"/>
    <d v="2025-02-15T00:00:00"/>
    <s v="Feb-2025"/>
    <s v="Q1-2025"/>
    <d v="2025-03-01T00:00:00"/>
    <d v="2025-03-01T00:00:00"/>
    <n v="14"/>
    <x v="1"/>
    <s v="Kenya"/>
    <s v="Mombasa"/>
    <s v="Education"/>
    <s v="Direct"/>
    <x v="5"/>
    <s v="Accessories"/>
    <s v="ACC-5144"/>
    <n v="1162.8599999999999"/>
    <n v="1447.68"/>
    <x v="108"/>
    <b v="0"/>
    <n v="12"/>
    <n v="15860.782080000001"/>
    <n v="13954.32"/>
    <n v="1906.4620800000012"/>
    <n v="0.12019975247021369"/>
    <s v="Medium"/>
    <s v="Not Met"/>
    <x v="0"/>
  </r>
  <r>
    <s v="ORD-2023-479747"/>
    <d v="2023-07-14T00:00:00"/>
    <s v="Jul-2023"/>
    <s v="Q3-2023"/>
    <d v="2023-07-14T00:00:00"/>
    <d v="2023-07-14T00:00:00"/>
    <n v="0"/>
    <x v="1"/>
    <s v="Nigeria"/>
    <s v="Lagos"/>
    <s v="Education"/>
    <s v="Retail"/>
    <x v="1"/>
    <s v="Accessories"/>
    <s v="ACC-5334"/>
    <n v="956.38"/>
    <n v="1454.22"/>
    <x v="175"/>
    <b v="0"/>
    <n v="19"/>
    <n v="26552.60298"/>
    <n v="18171.22"/>
    <n v="8381.3829799999985"/>
    <n v="0.31565202802576603"/>
    <s v="Medium"/>
    <s v="Met"/>
    <x v="0"/>
  </r>
  <r>
    <s v="ORD-2025-789245"/>
    <d v="2025-07-23T00:00:00"/>
    <s v="Jul-2025"/>
    <s v="Q3-2025"/>
    <d v="2025-08-17T00:00:00"/>
    <d v="2025-08-17T00:00:00"/>
    <n v="25"/>
    <x v="0"/>
    <s v="United Kingdom"/>
    <s v="Birmingham"/>
    <s v="Education"/>
    <s v="Online"/>
    <x v="1"/>
    <s v="Printers"/>
    <s v="PRN-5876"/>
    <n v="1142.06"/>
    <n v="1455"/>
    <x v="78"/>
    <b v="0"/>
    <n v="28"/>
    <n v="37562.28"/>
    <n v="31977.68"/>
    <n v="5584.5999999999985"/>
    <n v="0.1486757459877302"/>
    <s v="Medium"/>
    <s v="Not Met"/>
    <x v="0"/>
  </r>
  <r>
    <s v="ORD-2024-939873"/>
    <d v="2024-04-12T00:00:00"/>
    <s v="Apr-2024"/>
    <s v="Q2-2024"/>
    <d v="2024-05-07T00:00:00"/>
    <d v="2024-05-07T00:00:00"/>
    <n v="25"/>
    <x v="1"/>
    <s v="South Africa"/>
    <s v="Johannesburg"/>
    <s v="Education"/>
    <s v="Distributor"/>
    <x v="13"/>
    <s v="Laptops"/>
    <s v="LAP-8489"/>
    <n v="1376.51"/>
    <n v="1455.91"/>
    <x v="117"/>
    <b v="0"/>
    <n v="17"/>
    <n v="20171.63305"/>
    <n v="23400.67"/>
    <n v="-3229.0369499999979"/>
    <n v="-0.1600781127634085"/>
    <s v="Medium"/>
    <s v="Not Met"/>
    <x v="0"/>
  </r>
  <r>
    <s v="ORD-2025-289139"/>
    <d v="2025-08-10T00:00:00"/>
    <s v="Aug-2025"/>
    <s v="Q3-2025"/>
    <d v="2025-08-30T00:00:00"/>
    <d v="2025-08-30T00:00:00"/>
    <n v="20"/>
    <x v="2"/>
    <s v="USA"/>
    <s v="San Francisco"/>
    <s v="Corporate"/>
    <s v="Marketplace"/>
    <x v="12"/>
    <s v="Printers"/>
    <s v="PRN-2098"/>
    <n v="933.29"/>
    <n v="1456.81"/>
    <x v="148"/>
    <b v="0"/>
    <n v="13"/>
    <n v="16609.090809999998"/>
    <n v="12132.77"/>
    <n v="4476.3208099999974"/>
    <n v="0.26951028573489977"/>
    <s v="Medium"/>
    <s v="Not Met"/>
    <x v="0"/>
  </r>
  <r>
    <s v="ORD-2023-575584"/>
    <d v="2023-01-30T00:00:00"/>
    <s v="Jan-2023"/>
    <s v="Q1-2023"/>
    <d v="2023-02-21T00:00:00"/>
    <d v="2023-02-21T00:00:00"/>
    <n v="22"/>
    <x v="0"/>
    <s v="Germany"/>
    <s v="Munich"/>
    <s v="Small Business"/>
    <s v="Marketplace"/>
    <x v="14"/>
    <s v="Networking"/>
    <s v="NET-3460"/>
    <n v="1142.8800000000001"/>
    <n v="1465.29"/>
    <x v="79"/>
    <b v="0"/>
    <n v="7"/>
    <n v="8349.2224200000001"/>
    <n v="8000.1600000000008"/>
    <n v="349.06241999999929"/>
    <n v="4.1807775915017401E-2"/>
    <s v="Medium"/>
    <s v="Not Met"/>
    <x v="0"/>
  </r>
  <r>
    <s v="ORD-2024-764468"/>
    <d v="2024-02-01T00:00:00"/>
    <s v="Feb-2024"/>
    <s v="Q1-2024"/>
    <d v="2024-02-21T00:00:00"/>
    <d v="2024-02-21T00:00:00"/>
    <n v="20"/>
    <x v="0"/>
    <s v="France"/>
    <s v="Paris"/>
    <s v="Small Business"/>
    <s v="Marketplace"/>
    <x v="13"/>
    <s v="Networking"/>
    <s v="NET-8761"/>
    <n v="656.2"/>
    <n v="1467.17"/>
    <x v="176"/>
    <b v="0"/>
    <n v="5"/>
    <n v="7203.8047000000006"/>
    <n v="3281"/>
    <n v="3922.8047000000006"/>
    <n v="0.54454623124360946"/>
    <s v="Medium"/>
    <s v="Not Met"/>
    <x v="0"/>
  </r>
  <r>
    <s v="ORD-2024-389102"/>
    <d v="2024-06-15T00:00:00"/>
    <s v="Jun-2024"/>
    <s v="Q2-2024"/>
    <d v="2024-07-06T00:00:00"/>
    <d v="2024-07-06T00:00:00"/>
    <n v="21"/>
    <x v="2"/>
    <s v="Canada"/>
    <s v="Toronto"/>
    <s v="Enterprise"/>
    <s v="Distributor"/>
    <x v="5"/>
    <s v="Printers"/>
    <s v="PRN-4453"/>
    <n v="817.23"/>
    <n v="1467.17"/>
    <x v="137"/>
    <b v="0"/>
    <n v="9"/>
    <n v="9969.4201499999999"/>
    <n v="7355.07"/>
    <n v="2614.3501500000002"/>
    <n v="0.26223693160328893"/>
    <s v="Medium"/>
    <s v="Not Met"/>
    <x v="1"/>
  </r>
  <r>
    <s v="ORD-2025-485946"/>
    <d v="2025-06-15T00:00:00"/>
    <s v="Jun-2025"/>
    <s v="Q2-2025"/>
    <d v="2025-06-30T00:00:00"/>
    <d v="2025-06-30T00:00:00"/>
    <n v="15"/>
    <x v="1"/>
    <s v="South Africa"/>
    <s v="Johannesburg"/>
    <s v="Small Business"/>
    <s v="Direct"/>
    <x v="8"/>
    <s v="Monitors"/>
    <s v="MON-5891"/>
    <n v="1487.59"/>
    <n v="1480.83"/>
    <x v="163"/>
    <b v="0"/>
    <n v="11"/>
    <n v="16142.527829999999"/>
    <n v="16363.49"/>
    <n v="-220.9621700000007"/>
    <n v="-1.3688201273492908E-2"/>
    <s v="Medium"/>
    <s v="Not Met"/>
    <x v="0"/>
  </r>
  <r>
    <s v="ORD-2024-687073"/>
    <d v="2024-03-11T00:00:00"/>
    <s v="Mar-2024"/>
    <s v="Q1-2024"/>
    <d v="2024-03-29T00:00:00"/>
    <d v="2024-03-29T00:00:00"/>
    <n v="18"/>
    <x v="2"/>
    <s v="USA"/>
    <s v="New York"/>
    <s v="Corporate"/>
    <s v="Retail"/>
    <x v="7"/>
    <s v="Monitors"/>
    <s v="MON-7099"/>
    <n v="710.98"/>
    <n v="1481.45"/>
    <x v="177"/>
    <b v="0"/>
    <n v="9"/>
    <n v="10519.776450000001"/>
    <n v="6398.82"/>
    <n v="4120.9564500000015"/>
    <n v="0.39173422264120461"/>
    <s v="Medium"/>
    <s v="Not Met"/>
    <x v="1"/>
  </r>
  <r>
    <s v="ORD-2023-302041"/>
    <d v="2023-10-04T00:00:00"/>
    <s v="Oct-2023"/>
    <s v="Q4-2023"/>
    <d v="2023-10-29T00:00:00"/>
    <d v="2023-10-29T00:00:00"/>
    <n v="25"/>
    <x v="2"/>
    <s v="USA"/>
    <s v="San Francisco"/>
    <s v="Small Business"/>
    <s v="Distributor"/>
    <x v="11"/>
    <s v="Accessories"/>
    <s v="ACC-5079"/>
    <n v="1239.8399999999999"/>
    <n v="1482.75"/>
    <x v="70"/>
    <b v="0"/>
    <n v="4"/>
    <n v="5533.6230000000005"/>
    <n v="4959.3599999999997"/>
    <n v="574.26300000000083"/>
    <n v="0.10377703721413634"/>
    <s v="Medium"/>
    <s v="Not Met"/>
    <x v="0"/>
  </r>
  <r>
    <s v="ORD-2025-831576"/>
    <d v="2025-09-15T00:00:00"/>
    <s v="Sep-2025"/>
    <s v="Q3-2025"/>
    <d v="2025-09-25T00:00:00"/>
    <d v="2025-09-25T00:00:00"/>
    <n v="10"/>
    <x v="3"/>
    <s v="India"/>
    <s v="Delhi"/>
    <s v="Consumer"/>
    <s v="Retail"/>
    <x v="13"/>
    <s v="Phones"/>
    <s v="PHN-2859"/>
    <n v="1488.91"/>
    <n v="1483.74"/>
    <x v="178"/>
    <b v="0"/>
    <n v="24"/>
    <n v="29627.320319999999"/>
    <n v="35733.840000000004"/>
    <n v="-6106.5196800000049"/>
    <n v="-0.20611110333450519"/>
    <s v="Medium"/>
    <s v="Not Met"/>
    <x v="0"/>
  </r>
  <r>
    <s v="ORD-2024-925626"/>
    <d v="2024-11-04T00:00:00"/>
    <s v="Nov-2024"/>
    <s v="Q4-2024"/>
    <d v="2024-11-05T00:00:00"/>
    <d v="2024-11-05T00:00:00"/>
    <n v="1"/>
    <x v="0"/>
    <s v="United Kingdom"/>
    <s v="London"/>
    <s v="Corporate"/>
    <s v="Retail"/>
    <x v="7"/>
    <s v="Printers"/>
    <s v="PRN-2293"/>
    <n v="840.68"/>
    <n v="1493.53"/>
    <x v="33"/>
    <b v="0"/>
    <n v="27"/>
    <n v="40325.31"/>
    <n v="22698.359999999997"/>
    <n v="17626.95"/>
    <n v="0.43711877230454027"/>
    <s v="Medium"/>
    <s v="Met"/>
    <x v="0"/>
  </r>
  <r>
    <s v="ORD-2023-343322"/>
    <d v="2023-08-19T00:00:00"/>
    <s v="Aug-2023"/>
    <s v="Q3-2023"/>
    <d v="2023-09-12T00:00:00"/>
    <d v="2023-09-12T00:00:00"/>
    <n v="24"/>
    <x v="2"/>
    <s v="Canada"/>
    <s v="Vancouver"/>
    <s v="Enterprise"/>
    <s v="Retail"/>
    <x v="1"/>
    <s v="Printers"/>
    <s v="PRN-9669"/>
    <n v="1183.95"/>
    <n v="1503.53"/>
    <x v="133"/>
    <b v="0"/>
    <n v="16"/>
    <n v="18258.868320000001"/>
    <n v="18943.2"/>
    <n v="-684.33167999999932"/>
    <n v="-3.7479413729623705E-2"/>
    <s v="Medium"/>
    <s v="Not Met"/>
    <x v="1"/>
  </r>
  <r>
    <s v="ORD-2024-892879"/>
    <d v="2024-07-09T00:00:00"/>
    <s v="Jul-2024"/>
    <s v="Q3-2024"/>
    <d v="2024-08-08T00:00:00"/>
    <d v="2024-08-08T00:00:00"/>
    <n v="30"/>
    <x v="0"/>
    <s v="France"/>
    <s v="Marseille"/>
    <s v="Corporate"/>
    <s v="Direct"/>
    <x v="3"/>
    <s v="Components"/>
    <s v="CMP-5825"/>
    <n v="1062.3800000000001"/>
    <n v="1503.96"/>
    <x v="54"/>
    <b v="0"/>
    <n v="6"/>
    <n v="7399.4832000000006"/>
    <n v="6374.2800000000007"/>
    <n v="1025.2031999999999"/>
    <n v="0.13855064905073369"/>
    <s v="Medium"/>
    <s v="Not Met"/>
    <x v="0"/>
  </r>
  <r>
    <s v="ORD-2024-134084"/>
    <d v="2024-06-04T00:00:00"/>
    <s v="Jun-2024"/>
    <s v="Q2-2024"/>
    <d v="2024-06-16T00:00:00"/>
    <d v="2024-06-16T00:00:00"/>
    <n v="12"/>
    <x v="3"/>
    <s v="China"/>
    <s v="Shanghai"/>
    <s v="Corporate"/>
    <s v="Retail"/>
    <x v="3"/>
    <s v="Printers"/>
    <s v="PRN-4097"/>
    <n v="918.42"/>
    <n v="1511.71"/>
    <x v="113"/>
    <b v="0"/>
    <n v="8"/>
    <n v="11851.806399999999"/>
    <n v="7347.36"/>
    <n v="4504.4463999999998"/>
    <n v="0.38006412254590999"/>
    <s v="Medium"/>
    <s v="Not Met"/>
    <x v="0"/>
  </r>
  <r>
    <s v="ORD-2024-366010"/>
    <d v="2024-01-13T00:00:00"/>
    <s v="Jan-2024"/>
    <s v="Q1-2024"/>
    <d v="2024-02-05T00:00:00"/>
    <d v="2024-02-05T00:00:00"/>
    <n v="23"/>
    <x v="0"/>
    <s v="Germany"/>
    <s v="Frankfurt"/>
    <s v="Education"/>
    <s v="Direct"/>
    <x v="4"/>
    <s v="Laptops"/>
    <s v="LAP-9931"/>
    <n v="1017.93"/>
    <n v="1529.14"/>
    <x v="179"/>
    <b v="0"/>
    <n v="12"/>
    <n v="15505.479600000001"/>
    <n v="12215.16"/>
    <n v="3290.3196000000007"/>
    <n v="0.21220366508366503"/>
    <s v="Medium"/>
    <s v="Not Met"/>
    <x v="0"/>
  </r>
  <r>
    <s v="ORD-2023-855675"/>
    <d v="2023-02-05T00:00:00"/>
    <s v="Feb-2023"/>
    <s v="Q1-2023"/>
    <d v="2023-02-28T00:00:00"/>
    <d v="2023-02-28T00:00:00"/>
    <n v="23"/>
    <x v="2"/>
    <s v="USA"/>
    <s v="Austin"/>
    <s v="Non-Profit"/>
    <s v="Distributor"/>
    <x v="5"/>
    <s v="Phones"/>
    <s v="PHN-2036"/>
    <n v="1214.49"/>
    <n v="1533.95"/>
    <x v="33"/>
    <b v="0"/>
    <n v="11"/>
    <n v="16873.45"/>
    <n v="13359.39"/>
    <n v="3514.0600000000013"/>
    <n v="0.20825972163369086"/>
    <s v="Medium"/>
    <s v="Not Met"/>
    <x v="0"/>
  </r>
  <r>
    <s v="ORD-2024-979401"/>
    <d v="2024-02-08T00:00:00"/>
    <s v="Feb-2024"/>
    <s v="Q1-2024"/>
    <d v="2024-02-09T00:00:00"/>
    <d v="2024-02-09T00:00:00"/>
    <n v="1"/>
    <x v="1"/>
    <s v="Kenya"/>
    <s v="Mombasa"/>
    <s v="Corporate"/>
    <s v="Direct"/>
    <x v="6"/>
    <s v="Components"/>
    <s v="CMP-5911"/>
    <n v="1233.52"/>
    <n v="1543.76"/>
    <x v="162"/>
    <b v="0"/>
    <n v="13"/>
    <n v="17540.201120000002"/>
    <n v="16035.76"/>
    <n v="1504.4411200000013"/>
    <n v="8.5771030201277493E-2"/>
    <s v="Medium"/>
    <s v="Met"/>
    <x v="0"/>
  </r>
  <r>
    <s v="ORD-2023-586275"/>
    <d v="2023-01-20T00:00:00"/>
    <s v="Jan-2023"/>
    <s v="Q1-2023"/>
    <d v="2023-02-03T00:00:00"/>
    <d v="2023-02-03T00:00:00"/>
    <n v="14"/>
    <x v="1"/>
    <s v="Kenya"/>
    <s v="Kisumu"/>
    <s v="Corporate"/>
    <s v="Retail"/>
    <x v="7"/>
    <s v="Networking"/>
    <s v="NET-6036"/>
    <n v="884.36"/>
    <n v="1545.34"/>
    <x v="142"/>
    <b v="0"/>
    <n v="41"/>
    <n v="47962.717579999997"/>
    <n v="36258.76"/>
    <n v="11703.957579999995"/>
    <n v="0.24402198562827965"/>
    <s v="Medium"/>
    <s v="Not Met"/>
    <x v="1"/>
  </r>
  <r>
    <s v="ORD-2024-817997"/>
    <d v="2024-07-28T00:00:00"/>
    <s v="Jul-2024"/>
    <s v="Q3-2024"/>
    <d v="2024-08-23T00:00:00"/>
    <d v="2024-08-23T00:00:00"/>
    <n v="26"/>
    <x v="3"/>
    <s v="India"/>
    <s v="Hyderabad"/>
    <s v="Corporate"/>
    <s v="Retail"/>
    <x v="3"/>
    <s v="Networking"/>
    <s v="NET-4675"/>
    <n v="1339.24"/>
    <n v="1558.89"/>
    <x v="100"/>
    <b v="0"/>
    <n v="24"/>
    <n v="30229.994880000002"/>
    <n v="32141.760000000002"/>
    <n v="-1911.76512"/>
    <n v="-6.3240669659021781E-2"/>
    <s v="Medium"/>
    <s v="Not Met"/>
    <x v="0"/>
  </r>
  <r>
    <s v="ORD-2025-149156"/>
    <d v="2025-01-10T00:00:00"/>
    <s v="Jan-2025"/>
    <s v="Q1-2025"/>
    <d v="2025-02-06T00:00:00"/>
    <d v="2025-02-06T00:00:00"/>
    <n v="27"/>
    <x v="2"/>
    <s v="Brazil"/>
    <s v="Brasília"/>
    <s v="Non-Profit"/>
    <s v="Retail"/>
    <x v="4"/>
    <s v="Laptops"/>
    <s v="LAP-7353"/>
    <n v="725.62"/>
    <n v="1559.19"/>
    <x v="134"/>
    <b v="0"/>
    <n v="12"/>
    <n v="15155.326800000001"/>
    <n v="8707.44"/>
    <n v="6447.8868000000002"/>
    <n v="0.42545349797405885"/>
    <s v="Medium"/>
    <s v="Not Met"/>
    <x v="0"/>
  </r>
  <r>
    <s v="ORD-2024-668926"/>
    <d v="2024-10-23T00:00:00"/>
    <s v="Oct-2024"/>
    <s v="Q4-2024"/>
    <d v="2024-11-14T00:00:00"/>
    <d v="2024-11-14T00:00:00"/>
    <n v="22"/>
    <x v="3"/>
    <s v="Japan"/>
    <s v="Osaka"/>
    <s v="Non-Profit"/>
    <s v="Direct"/>
    <x v="4"/>
    <s v="Phones"/>
    <s v="PHN-9789"/>
    <n v="1406.4"/>
    <n v="1564.76"/>
    <x v="117"/>
    <b v="0"/>
    <n v="17"/>
    <n v="21679.749799999998"/>
    <n v="23908.800000000003"/>
    <n v="-2229.0502000000051"/>
    <n v="-0.10281715520536151"/>
    <s v="Medium"/>
    <s v="Not Met"/>
    <x v="0"/>
  </r>
  <r>
    <s v="ORD-2023-172095"/>
    <d v="2023-05-24T00:00:00"/>
    <s v="May-2023"/>
    <s v="Q2-2023"/>
    <d v="2023-06-21T00:00:00"/>
    <d v="2023-06-21T00:00:00"/>
    <n v="28"/>
    <x v="2"/>
    <s v="USA"/>
    <s v="Austin"/>
    <s v="Small Business"/>
    <s v="Marketplace"/>
    <x v="14"/>
    <s v="Monitors"/>
    <s v="MON-6882"/>
    <n v="813.97"/>
    <n v="1568.83"/>
    <x v="180"/>
    <b v="0"/>
    <n v="15"/>
    <n v="23132.398349999996"/>
    <n v="12209.550000000001"/>
    <n v="10922.848349999995"/>
    <n v="0.4721883215364911"/>
    <s v="Medium"/>
    <s v="Not Met"/>
    <x v="0"/>
  </r>
  <r>
    <s v="ORD-2023-545150"/>
    <d v="2023-04-06T00:00:00"/>
    <s v="Apr-2023"/>
    <s v="Q2-2023"/>
    <d v="2023-04-08T00:00:00"/>
    <d v="2023-04-08T00:00:00"/>
    <n v="2"/>
    <x v="1"/>
    <s v="Nigeria"/>
    <s v="Abuja"/>
    <s v="Small Business"/>
    <s v="Marketplace"/>
    <x v="12"/>
    <s v="Monitors"/>
    <s v="MON-4373"/>
    <n v="720.35"/>
    <n v="1571.66"/>
    <x v="41"/>
    <b v="0"/>
    <n v="23"/>
    <n v="32280.32474"/>
    <n v="16568.05"/>
    <n v="15712.274740000001"/>
    <n v="0.4867446305622265"/>
    <s v="Medium"/>
    <s v="Met"/>
    <x v="0"/>
  </r>
  <r>
    <s v="ORD-2024-635626"/>
    <d v="2024-08-27T00:00:00"/>
    <s v="Aug-2024"/>
    <s v="Q3-2024"/>
    <d v="2024-09-19T00:00:00"/>
    <d v="2024-09-19T00:00:00"/>
    <n v="23"/>
    <x v="0"/>
    <s v="Germany"/>
    <s v="Berlin"/>
    <s v="Small Business"/>
    <s v="Direct"/>
    <x v="0"/>
    <s v="Monitors"/>
    <s v="MON-9967"/>
    <n v="1024.01"/>
    <n v="1580.97"/>
    <x v="181"/>
    <b v="0"/>
    <n v="27"/>
    <n v="41106.800970000004"/>
    <n v="27648.27"/>
    <n v="13458.530970000003"/>
    <n v="0.3274039976942531"/>
    <s v="Medium"/>
    <s v="Not Met"/>
    <x v="0"/>
  </r>
  <r>
    <s v="ORD-2024-647571"/>
    <d v="2024-02-06T00:00:00"/>
    <s v="Feb-2024"/>
    <s v="Q1-2024"/>
    <d v="2024-02-28T00:00:00"/>
    <d v="2024-02-28T00:00:00"/>
    <n v="22"/>
    <x v="1"/>
    <s v="Kenya"/>
    <s v="Kisumu"/>
    <s v="Non-Profit"/>
    <s v="Online"/>
    <x v="12"/>
    <s v="Monitors"/>
    <s v="MON-2462"/>
    <n v="834.93"/>
    <n v="1588.53"/>
    <x v="162"/>
    <b v="0"/>
    <n v="6"/>
    <n v="8330.2513199999994"/>
    <n v="5009.58"/>
    <n v="3320.6713199999995"/>
    <n v="0.39862798761274343"/>
    <s v="Medium"/>
    <s v="Not Met"/>
    <x v="0"/>
  </r>
  <r>
    <s v="ORD-2023-946143"/>
    <d v="2023-03-14T00:00:00"/>
    <s v="Mar-2023"/>
    <s v="Q1-2023"/>
    <d v="2023-03-30T00:00:00"/>
    <d v="2023-03-30T00:00:00"/>
    <n v="16"/>
    <x v="1"/>
    <s v="South Africa"/>
    <s v="Cape Town"/>
    <s v="Consumer"/>
    <s v="Distributor"/>
    <x v="12"/>
    <s v="Components"/>
    <s v="CMP-8230"/>
    <n v="1309.77"/>
    <n v="1589.07"/>
    <x v="0"/>
    <b v="0"/>
    <n v="10"/>
    <n v="14269.848599999999"/>
    <n v="13097.7"/>
    <n v="1172.1485999999986"/>
    <n v="8.2141628328137886E-2"/>
    <s v="Medium"/>
    <s v="Not Met"/>
    <x v="0"/>
  </r>
  <r>
    <s v="ORD-2024-993481"/>
    <d v="2024-08-18T00:00:00"/>
    <s v="Aug-2024"/>
    <s v="Q3-2024"/>
    <d v="2024-09-12T00:00:00"/>
    <d v="2024-09-12T00:00:00"/>
    <n v="25"/>
    <x v="3"/>
    <s v="India"/>
    <s v="Mumbai"/>
    <s v="Consumer"/>
    <s v="Marketplace"/>
    <x v="8"/>
    <s v="Phones"/>
    <s v="PHN-3077"/>
    <n v="1154.03"/>
    <n v="1590.36"/>
    <x v="33"/>
    <b v="0"/>
    <n v="18"/>
    <n v="28626.48"/>
    <n v="20772.54"/>
    <n v="7853.9399999999987"/>
    <n v="0.27435926456902837"/>
    <s v="Medium"/>
    <s v="Not Met"/>
    <x v="0"/>
  </r>
  <r>
    <s v="ORD-2024-277241"/>
    <d v="2024-01-28T00:00:00"/>
    <s v="Jan-2024"/>
    <s v="Q1-2024"/>
    <d v="2024-01-30T00:00:00"/>
    <d v="2024-01-30T00:00:00"/>
    <n v="2"/>
    <x v="1"/>
    <s v="South Africa"/>
    <s v="Cape Town"/>
    <s v="Consumer"/>
    <s v="Direct"/>
    <x v="6"/>
    <s v="Accessories"/>
    <s v="ACC-6223"/>
    <n v="798.45"/>
    <n v="1592.02"/>
    <x v="26"/>
    <b v="0"/>
    <n v="18"/>
    <n v="26765.040239999998"/>
    <n v="14372.1"/>
    <n v="12392.940239999998"/>
    <n v="0.46302714768494585"/>
    <s v="Medium"/>
    <s v="Met"/>
    <x v="0"/>
  </r>
  <r>
    <s v="ORD-2024-713332"/>
    <d v="2024-06-05T00:00:00"/>
    <s v="Jun-2024"/>
    <s v="Q2-2024"/>
    <d v="2024-06-23T00:00:00"/>
    <d v="2024-06-23T00:00:00"/>
    <n v="18"/>
    <x v="1"/>
    <s v="Kenya"/>
    <s v="Nairobi"/>
    <s v="Consumer"/>
    <s v="Distributor"/>
    <x v="0"/>
    <s v="Laptops"/>
    <s v="LAP-1739"/>
    <n v="1208.74"/>
    <n v="1594.78"/>
    <x v="93"/>
    <b v="0"/>
    <n v="39"/>
    <n v="58526.83122"/>
    <n v="47140.86"/>
    <n v="11385.971219999999"/>
    <n v="0.1945427589817838"/>
    <s v="Medium"/>
    <s v="Not Met"/>
    <x v="0"/>
  </r>
  <r>
    <s v="ORD-2024-331408"/>
    <d v="2024-02-01T00:00:00"/>
    <s v="Feb-2024"/>
    <s v="Q1-2024"/>
    <d v="2024-02-01T00:00:00"/>
    <d v="2024-02-01T00:00:00"/>
    <n v="0"/>
    <x v="2"/>
    <s v="USA"/>
    <s v="Austin"/>
    <s v="Consumer"/>
    <s v="Distributor"/>
    <x v="2"/>
    <s v="Printers"/>
    <s v="PRN-4906"/>
    <n v="714.43"/>
    <n v="1595.52"/>
    <x v="17"/>
    <b v="0"/>
    <n v="14"/>
    <n v="18003.847679999999"/>
    <n v="10002.019999999999"/>
    <n v="8001.8276800000003"/>
    <n v="0.44445097638151093"/>
    <s v="Medium"/>
    <s v="Met"/>
    <x v="0"/>
  </r>
  <r>
    <s v="ORD-2024-527858"/>
    <d v="2024-05-07T00:00:00"/>
    <s v="May-2024"/>
    <s v="Q2-2024"/>
    <d v="2024-05-12T00:00:00"/>
    <d v="2024-05-12T00:00:00"/>
    <n v="5"/>
    <x v="1"/>
    <s v="Nigeria"/>
    <s v="Abuja"/>
    <s v="Non-Profit"/>
    <s v="Distributor"/>
    <x v="5"/>
    <s v="Laptops"/>
    <s v="LAP-9100"/>
    <n v="1163.99"/>
    <n v="1617.85"/>
    <x v="182"/>
    <b v="0"/>
    <n v="14"/>
    <n v="19773.362699999998"/>
    <n v="16295.86"/>
    <n v="3477.5026999999973"/>
    <n v="0.17586804797749436"/>
    <s v="Medium"/>
    <s v="Met"/>
    <x v="0"/>
  </r>
  <r>
    <s v="ORD-2023-281890"/>
    <d v="2023-03-13T00:00:00"/>
    <s v="Mar-2023"/>
    <s v="Q1-2023"/>
    <d v="2023-04-04T00:00:00"/>
    <d v="2023-04-04T00:00:00"/>
    <n v="22"/>
    <x v="1"/>
    <s v="South Africa"/>
    <s v="Durban"/>
    <s v="Small Business"/>
    <s v="Retail"/>
    <x v="13"/>
    <s v="Components"/>
    <s v="CMP-2574"/>
    <n v="1113.7"/>
    <n v="1620.6"/>
    <x v="97"/>
    <b v="0"/>
    <n v="11"/>
    <n v="15348.702599999999"/>
    <n v="12250.7"/>
    <n v="3098.002599999998"/>
    <n v="0.20184133348182787"/>
    <s v="Medium"/>
    <s v="Not Met"/>
    <x v="0"/>
  </r>
  <r>
    <s v="ORD-2025-474368"/>
    <d v="2025-04-27T00:00:00"/>
    <s v="Apr-2025"/>
    <s v="Q2-2025"/>
    <d v="2025-05-17T00:00:00"/>
    <d v="2025-05-17T00:00:00"/>
    <n v="20"/>
    <x v="2"/>
    <s v="USA"/>
    <s v="Austin"/>
    <s v="Corporate"/>
    <s v="Direct"/>
    <x v="9"/>
    <s v="Phones"/>
    <s v="PHN-8776"/>
    <n v="932.26"/>
    <n v="1624.67"/>
    <x v="132"/>
    <b v="0"/>
    <n v="28"/>
    <n v="34800.431400000001"/>
    <n v="26103.279999999999"/>
    <n v="8697.1514000000025"/>
    <n v="0.24991504559337163"/>
    <s v="Medium"/>
    <s v="Not Met"/>
    <x v="1"/>
  </r>
  <r>
    <s v="ORD-2024-402240"/>
    <d v="2024-05-01T00:00:00"/>
    <s v="May-2024"/>
    <s v="Q2-2024"/>
    <d v="2024-05-26T00:00:00"/>
    <d v="2024-05-26T00:00:00"/>
    <n v="25"/>
    <x v="0"/>
    <s v="Germany"/>
    <s v="Berlin"/>
    <s v="Non-Profit"/>
    <s v="Retail"/>
    <x v="4"/>
    <s v="Networking"/>
    <s v="NET-4228"/>
    <n v="930.71"/>
    <n v="1625.42"/>
    <x v="170"/>
    <b v="0"/>
    <n v="7"/>
    <n v="9807.7842799999999"/>
    <n v="6514.97"/>
    <n v="3292.8142799999996"/>
    <n v="0.33573477821231196"/>
    <s v="Medium"/>
    <s v="Not Met"/>
    <x v="0"/>
  </r>
  <r>
    <s v="ORD-2025-823055"/>
    <d v="2025-09-08T00:00:00"/>
    <s v="Sep-2025"/>
    <s v="Q3-2025"/>
    <d v="2025-10-05T00:00:00"/>
    <d v="2025-10-05T00:00:00"/>
    <n v="27"/>
    <x v="2"/>
    <s v="Brazil"/>
    <s v="Rio de Janeiro"/>
    <s v="Education"/>
    <s v="Online"/>
    <x v="8"/>
    <s v="Monitors"/>
    <s v="MON-9274"/>
    <n v="660.78"/>
    <n v="1630.39"/>
    <x v="183"/>
    <b v="0"/>
    <n v="13"/>
    <n v="16574.544740000001"/>
    <n v="8590.14"/>
    <n v="7984.4047400000018"/>
    <n v="0.48172694123724097"/>
    <s v="Medium"/>
    <s v="Not Met"/>
    <x v="1"/>
  </r>
  <r>
    <s v="ORD-2024-836421"/>
    <d v="2024-12-14T00:00:00"/>
    <s v="Dec-2024"/>
    <s v="Q4-2024"/>
    <d v="2025-01-12T00:00:00"/>
    <d v="2025-01-12T00:00:00"/>
    <n v="29"/>
    <x v="3"/>
    <s v="China"/>
    <s v="Shenzhen"/>
    <s v="Education"/>
    <s v="Online"/>
    <x v="3"/>
    <s v="Components"/>
    <s v="CMP-3720"/>
    <n v="1412.15"/>
    <n v="1631.04"/>
    <x v="163"/>
    <b v="0"/>
    <n v="6"/>
    <n v="9698.1638399999993"/>
    <n v="8472.9000000000015"/>
    <n v="1225.2638399999978"/>
    <n v="0.12633977526203535"/>
    <s v="Medium"/>
    <s v="Not Met"/>
    <x v="0"/>
  </r>
  <r>
    <s v="ORD-2023-261081"/>
    <d v="2023-07-24T00:00:00"/>
    <s v="Jul-2023"/>
    <s v="Q3-2023"/>
    <d v="2023-08-19T00:00:00"/>
    <d v="2023-08-19T00:00:00"/>
    <n v="26"/>
    <x v="1"/>
    <s v="Kenya"/>
    <s v="Nairobi"/>
    <s v="Enterprise"/>
    <s v="Distributor"/>
    <x v="7"/>
    <s v="Accessories"/>
    <s v="ACC-1238"/>
    <n v="661.45"/>
    <n v="1634.86"/>
    <x v="33"/>
    <b v="0"/>
    <n v="24"/>
    <n v="39236.639999999999"/>
    <n v="15874.800000000001"/>
    <n v="23361.839999999997"/>
    <n v="0.59540878118003981"/>
    <s v="Medium"/>
    <s v="Not Met"/>
    <x v="0"/>
  </r>
  <r>
    <s v="ORD-2024-972999"/>
    <d v="2024-09-06T00:00:00"/>
    <s v="Sep-2024"/>
    <s v="Q3-2024"/>
    <d v="2024-10-04T00:00:00"/>
    <d v="2024-10-04T00:00:00"/>
    <n v="28"/>
    <x v="1"/>
    <s v="South Africa"/>
    <s v="Cape Town"/>
    <s v="Corporate"/>
    <s v="Marketplace"/>
    <x v="0"/>
    <s v="Monitors"/>
    <s v="MON-3504"/>
    <n v="1174.17"/>
    <n v="1641.61"/>
    <x v="40"/>
    <b v="0"/>
    <n v="9"/>
    <n v="12972.00222"/>
    <n v="10567.53"/>
    <n v="2404.4722199999997"/>
    <n v="0.18535860380079394"/>
    <s v="High"/>
    <s v="Not Met"/>
    <x v="0"/>
  </r>
  <r>
    <s v="ORD-2023-912395"/>
    <d v="2023-07-26T00:00:00"/>
    <s v="Jul-2023"/>
    <s v="Q3-2023"/>
    <d v="2023-08-25T00:00:00"/>
    <d v="2023-08-25T00:00:00"/>
    <n v="30"/>
    <x v="2"/>
    <s v="USA"/>
    <s v="New York"/>
    <s v="Consumer"/>
    <s v="Retail"/>
    <x v="7"/>
    <s v="Accessories"/>
    <s v="ACC-7078"/>
    <n v="1261.48"/>
    <n v="1643.18"/>
    <x v="11"/>
    <b v="0"/>
    <n v="23"/>
    <n v="32086.37586"/>
    <n v="29014.04"/>
    <n v="3072.3358599999992"/>
    <n v="9.5752037357079045E-2"/>
    <s v="High"/>
    <s v="Not Met"/>
    <x v="0"/>
  </r>
  <r>
    <s v="ORD-2023-356427"/>
    <d v="2023-04-13T00:00:00"/>
    <s v="Apr-2023"/>
    <s v="Q2-2023"/>
    <d v="2023-05-02T00:00:00"/>
    <d v="2023-05-02T00:00:00"/>
    <n v="19"/>
    <x v="2"/>
    <s v="Canada"/>
    <s v="Montreal"/>
    <s v="Consumer"/>
    <s v="Distributor"/>
    <x v="10"/>
    <s v="Monitors"/>
    <s v="MON-6053"/>
    <n v="671.05"/>
    <n v="1645.48"/>
    <x v="9"/>
    <b v="0"/>
    <n v="6"/>
    <n v="8520.2954399999999"/>
    <n v="4026.2999999999997"/>
    <n v="4493.9954400000006"/>
    <n v="0.52744596377517172"/>
    <s v="High"/>
    <s v="Not Met"/>
    <x v="0"/>
  </r>
  <r>
    <s v="ORD-2024-704056"/>
    <d v="2024-06-23T00:00:00"/>
    <s v="Jun-2024"/>
    <s v="Q2-2024"/>
    <d v="2024-06-25T00:00:00"/>
    <d v="2024-06-25T00:00:00"/>
    <n v="2"/>
    <x v="0"/>
    <s v="United Kingdom"/>
    <s v="Birmingham"/>
    <s v="Small Business"/>
    <s v="Marketplace"/>
    <x v="5"/>
    <s v="Accessories"/>
    <s v="ACC-7838"/>
    <n v="951.44"/>
    <n v="1646.43"/>
    <x v="152"/>
    <b v="0"/>
    <n v="24"/>
    <n v="35167.7448"/>
    <n v="22834.560000000001"/>
    <n v="12333.184799999999"/>
    <n v="0.35069592520473475"/>
    <s v="High"/>
    <s v="Met"/>
    <x v="0"/>
  </r>
  <r>
    <s v="ORD-2024-499009"/>
    <d v="2024-01-25T00:00:00"/>
    <s v="Jan-2024"/>
    <s v="Q1-2024"/>
    <d v="2024-01-27T00:00:00"/>
    <d v="2024-01-27T00:00:00"/>
    <n v="2"/>
    <x v="2"/>
    <s v="Brazil"/>
    <s v="São Paulo"/>
    <s v="Non-Profit"/>
    <s v="Marketplace"/>
    <x v="9"/>
    <s v="Laptops"/>
    <s v="LAP-7056"/>
    <n v="1410.97"/>
    <n v="1650.75"/>
    <x v="35"/>
    <b v="0"/>
    <n v="6"/>
    <n v="8567.3924999999999"/>
    <n v="8465.82"/>
    <n v="101.57250000000022"/>
    <n v="1.1855707556295596E-2"/>
    <s v="High"/>
    <s v="Met"/>
    <x v="0"/>
  </r>
  <r>
    <s v="ORD-2024-553449"/>
    <d v="2024-08-27T00:00:00"/>
    <s v="Aug-2024"/>
    <s v="Q3-2024"/>
    <d v="2024-09-18T00:00:00"/>
    <d v="2024-09-18T00:00:00"/>
    <n v="22"/>
    <x v="3"/>
    <s v="India"/>
    <s v="Delhi"/>
    <s v="Consumer"/>
    <s v="Direct"/>
    <x v="4"/>
    <s v="Components"/>
    <s v="CMP-3875"/>
    <n v="896.75"/>
    <n v="1651.14"/>
    <x v="136"/>
    <b v="0"/>
    <n v="15"/>
    <n v="24147.922500000001"/>
    <n v="13451.25"/>
    <n v="10696.672500000001"/>
    <n v="0.44296450346815552"/>
    <s v="High"/>
    <s v="Not Met"/>
    <x v="0"/>
  </r>
  <r>
    <s v="ORD-2025-248586"/>
    <d v="2025-09-12T00:00:00"/>
    <s v="Sep-2025"/>
    <s v="Q3-2025"/>
    <d v="2025-09-30T00:00:00"/>
    <d v="2025-09-30T00:00:00"/>
    <n v="18"/>
    <x v="3"/>
    <s v="Japan"/>
    <s v="Nagoya"/>
    <s v="Non-Profit"/>
    <s v="Marketplace"/>
    <x v="6"/>
    <s v="Monitors"/>
    <s v="MON-2998"/>
    <n v="1212.99"/>
    <n v="1653.64"/>
    <x v="41"/>
    <b v="0"/>
    <n v="8"/>
    <n v="11813.604160000001"/>
    <n v="9703.92"/>
    <n v="2109.6841600000007"/>
    <n v="0.17858090819931455"/>
    <s v="High"/>
    <s v="Not Met"/>
    <x v="0"/>
  </r>
  <r>
    <s v="ORD-2024-555229"/>
    <d v="2024-05-18T00:00:00"/>
    <s v="May-2024"/>
    <s v="Q2-2024"/>
    <d v="2024-05-22T00:00:00"/>
    <d v="2024-05-22T00:00:00"/>
    <n v="4"/>
    <x v="1"/>
    <s v="Kenya"/>
    <s v="Nairobi"/>
    <s v="Corporate"/>
    <s v="Direct"/>
    <x v="2"/>
    <s v="Accessories"/>
    <s v="ACC-7354"/>
    <n v="857.42"/>
    <n v="1658.92"/>
    <x v="40"/>
    <b v="0"/>
    <n v="9"/>
    <n v="13108.78584"/>
    <n v="7716.78"/>
    <n v="5392.0058400000007"/>
    <n v="0.41132763215544305"/>
    <s v="High"/>
    <s v="Met"/>
    <x v="0"/>
  </r>
  <r>
    <s v="ORD-2025-548982"/>
    <d v="2025-04-07T00:00:00"/>
    <s v="Apr-2025"/>
    <s v="Q2-2025"/>
    <d v="2025-04-11T00:00:00"/>
    <d v="2025-04-11T00:00:00"/>
    <n v="4"/>
    <x v="0"/>
    <s v="France"/>
    <s v="Lyon"/>
    <s v="Education"/>
    <s v="Retail"/>
    <x v="10"/>
    <s v="Networking"/>
    <s v="NET-9716"/>
    <n v="754.77"/>
    <n v="1666.18"/>
    <x v="97"/>
    <b v="0"/>
    <n v="14"/>
    <n v="20084.133720000002"/>
    <n v="10566.779999999999"/>
    <n v="9517.3537200000028"/>
    <n v="0.47387424584424653"/>
    <s v="High"/>
    <s v="Met"/>
    <x v="0"/>
  </r>
  <r>
    <s v="ORD-2024-855600"/>
    <d v="2024-04-29T00:00:00"/>
    <s v="Apr-2024"/>
    <s v="Q2-2024"/>
    <d v="2024-05-19T00:00:00"/>
    <d v="2024-05-19T00:00:00"/>
    <n v="20"/>
    <x v="0"/>
    <s v="Germany"/>
    <s v="Frankfurt"/>
    <s v="Enterprise"/>
    <s v="Marketplace"/>
    <x v="8"/>
    <s v="Laptops"/>
    <s v="LAP-5009"/>
    <n v="668.97"/>
    <n v="1667.44"/>
    <x v="57"/>
    <b v="0"/>
    <n v="15"/>
    <n v="24161.205600000001"/>
    <n v="10034.550000000001"/>
    <n v="14126.6556"/>
    <n v="0.58468339013679016"/>
    <s v="High"/>
    <s v="Not Met"/>
    <x v="0"/>
  </r>
  <r>
    <s v="ORD-2023-744942"/>
    <d v="2023-02-23T00:00:00"/>
    <s v="Feb-2023"/>
    <s v="Q1-2023"/>
    <d v="2023-03-18T00:00:00"/>
    <d v="2023-03-18T00:00:00"/>
    <n v="23"/>
    <x v="3"/>
    <s v="China"/>
    <s v="Beijing"/>
    <s v="Education"/>
    <s v="Distributor"/>
    <x v="12"/>
    <s v="Printers"/>
    <s v="PRN-1060"/>
    <n v="770.11"/>
    <n v="1667.82"/>
    <x v="184"/>
    <b v="0"/>
    <n v="7"/>
    <n v="10869.182940000001"/>
    <n v="5390.77"/>
    <n v="5478.4129400000002"/>
    <n v="0.50403171703355287"/>
    <s v="High"/>
    <s v="Not Met"/>
    <x v="0"/>
  </r>
  <r>
    <s v="ORD-2024-594592"/>
    <d v="2024-04-06T00:00:00"/>
    <s v="Apr-2024"/>
    <s v="Q2-2024"/>
    <d v="2024-04-25T00:00:00"/>
    <d v="2024-04-25T00:00:00"/>
    <n v="19"/>
    <x v="3"/>
    <s v="China"/>
    <s v="Shanghai"/>
    <s v="Corporate"/>
    <s v="Retail"/>
    <x v="12"/>
    <s v="Components"/>
    <s v="CMP-8196"/>
    <n v="1366.48"/>
    <n v="1678.14"/>
    <x v="138"/>
    <b v="0"/>
    <n v="10"/>
    <n v="14197.064400000001"/>
    <n v="13664.8"/>
    <n v="532.26440000000184"/>
    <n v="3.7491159087790132E-2"/>
    <s v="High"/>
    <s v="Not Met"/>
    <x v="0"/>
  </r>
  <r>
    <s v="ORD-2023-178249"/>
    <d v="2023-12-29T00:00:00"/>
    <s v="Dec-2023"/>
    <s v="Q4-2023"/>
    <d v="2024-01-20T00:00:00"/>
    <d v="2024-01-20T00:00:00"/>
    <n v="22"/>
    <x v="1"/>
    <s v="Kenya"/>
    <s v="Kisumu"/>
    <s v="Corporate"/>
    <s v="Direct"/>
    <x v="5"/>
    <s v="Phones"/>
    <s v="PHN-7924"/>
    <n v="1395.49"/>
    <n v="1679.42"/>
    <x v="139"/>
    <b v="0"/>
    <n v="12"/>
    <n v="16061.972879999999"/>
    <n v="16745.88"/>
    <n v="-683.90712000000167"/>
    <n v="-4.2579272490964493E-2"/>
    <s v="High"/>
    <s v="Not Met"/>
    <x v="1"/>
  </r>
  <r>
    <s v="ORD-2024-251426"/>
    <d v="2024-03-09T00:00:00"/>
    <s v="Mar-2024"/>
    <s v="Q1-2024"/>
    <d v="2024-03-26T00:00:00"/>
    <d v="2024-03-26T00:00:00"/>
    <n v="17"/>
    <x v="2"/>
    <s v="USA"/>
    <s v="San Francisco"/>
    <s v="Education"/>
    <s v="Direct"/>
    <x v="1"/>
    <s v="Phones"/>
    <s v="PHN-3398"/>
    <n v="1137.4100000000001"/>
    <n v="1680.93"/>
    <x v="165"/>
    <b v="0"/>
    <n v="9"/>
    <n v="11285.764020000001"/>
    <n v="10236.69"/>
    <n v="1049.07402"/>
    <n v="9.2955516183121464E-2"/>
    <s v="High"/>
    <s v="Not Met"/>
    <x v="1"/>
  </r>
  <r>
    <s v="ORD-2025-276968"/>
    <d v="2025-02-25T00:00:00"/>
    <s v="Feb-2025"/>
    <s v="Q1-2025"/>
    <d v="2025-03-17T00:00:00"/>
    <d v="2025-03-17T00:00:00"/>
    <n v="20"/>
    <x v="2"/>
    <s v="USA"/>
    <s v="San Francisco"/>
    <s v="Non-Profit"/>
    <s v="Marketplace"/>
    <x v="2"/>
    <s v="Phones"/>
    <s v="PHN-1044"/>
    <n v="1205.26"/>
    <n v="1696.35"/>
    <x v="185"/>
    <b v="0"/>
    <n v="6"/>
    <n v="9984.7160999999978"/>
    <n v="7231.5599999999995"/>
    <n v="2753.1560999999983"/>
    <n v="0.27573704374028213"/>
    <s v="High"/>
    <s v="Not Met"/>
    <x v="0"/>
  </r>
  <r>
    <s v="ORD-2025-705398"/>
    <d v="2025-02-17T00:00:00"/>
    <s v="Feb-2025"/>
    <s v="Q1-2025"/>
    <d v="2025-02-15T00:00:00"/>
    <d v="2025-03-03T00:00:00"/>
    <n v="14"/>
    <x v="2"/>
    <s v="Canada"/>
    <s v="Toronto"/>
    <s v="Small Business"/>
    <s v="Retail"/>
    <x v="0"/>
    <s v="Components"/>
    <s v="CMP-5065"/>
    <n v="1133.47"/>
    <n v="1698.75"/>
    <x v="29"/>
    <b v="0"/>
    <n v="5"/>
    <n v="8128.5187499999993"/>
    <n v="5667.35"/>
    <n v="2461.1687499999989"/>
    <n v="0.30278194904821976"/>
    <s v="High"/>
    <s v="Not Met"/>
    <x v="0"/>
  </r>
  <r>
    <s v="ORD-2023-623293"/>
    <d v="2023-10-12T00:00:00"/>
    <s v="Oct-2023"/>
    <s v="Q4-2023"/>
    <d v="2023-10-29T00:00:00"/>
    <d v="2023-10-29T00:00:00"/>
    <n v="17"/>
    <x v="3"/>
    <s v="Japan"/>
    <s v="Nagoya"/>
    <s v="Non-Profit"/>
    <s v="Direct"/>
    <x v="2"/>
    <s v="Phones"/>
    <s v="PHN-8478"/>
    <n v="1102.19"/>
    <n v="1711.16"/>
    <x v="11"/>
    <b v="0"/>
    <n v="10"/>
    <n v="14527.748400000002"/>
    <n v="11021.900000000001"/>
    <n v="3505.8484000000008"/>
    <n v="0.24132083675127525"/>
    <s v="High"/>
    <s v="Not Met"/>
    <x v="0"/>
  </r>
  <r>
    <s v="ORD-2025-960931"/>
    <d v="2025-08-20T00:00:00"/>
    <s v="Aug-2025"/>
    <s v="Q3-2025"/>
    <d v="2025-08-26T00:00:00"/>
    <d v="2025-08-26T00:00:00"/>
    <n v="6"/>
    <x v="2"/>
    <s v="USA"/>
    <s v="New York"/>
    <s v="Corporate"/>
    <s v="Retail"/>
    <x v="7"/>
    <s v="Networking"/>
    <s v="NET-5196"/>
    <n v="1304.95"/>
    <n v="1712.03"/>
    <x v="5"/>
    <b v="0"/>
    <n v="8"/>
    <n v="10792.637119999999"/>
    <n v="10439.6"/>
    <n v="353.03711999999905"/>
    <n v="3.2710922833287949E-2"/>
    <s v="High"/>
    <s v="Met"/>
    <x v="1"/>
  </r>
  <r>
    <s v="ORD-2024-243988"/>
    <d v="2024-03-13T00:00:00"/>
    <s v="Mar-2024"/>
    <s v="Q1-2024"/>
    <d v="2024-04-06T00:00:00"/>
    <d v="2024-04-06T00:00:00"/>
    <n v="24"/>
    <x v="1"/>
    <s v="Nigeria"/>
    <s v="Abuja"/>
    <s v="Consumer"/>
    <s v="Distributor"/>
    <x v="5"/>
    <s v="Components"/>
    <s v="CMP-9001"/>
    <n v="1232.78"/>
    <n v="1731.75"/>
    <x v="90"/>
    <b v="0"/>
    <n v="16"/>
    <n v="25131.155999999999"/>
    <n v="19724.48"/>
    <n v="5406.6759999999995"/>
    <n v="0.21513837246484005"/>
    <s v="High"/>
    <s v="Not Met"/>
    <x v="0"/>
  </r>
  <r>
    <s v="ORD-2025-718992"/>
    <d v="2025-06-24T00:00:00"/>
    <s v="Jun-2025"/>
    <s v="Q2-2025"/>
    <d v="2025-07-10T00:00:00"/>
    <d v="2025-07-10T00:00:00"/>
    <n v="16"/>
    <x v="3"/>
    <s v="China"/>
    <s v="Shanghai"/>
    <s v="Enterprise"/>
    <s v="Direct"/>
    <x v="9"/>
    <s v="Components"/>
    <s v="CMP-8390"/>
    <n v="757.19"/>
    <n v="1735.41"/>
    <x v="123"/>
    <b v="0"/>
    <n v="8"/>
    <n v="11995.153920000001"/>
    <n v="6057.52"/>
    <n v="5937.6339200000002"/>
    <n v="0.4950027285685718"/>
    <s v="High"/>
    <s v="Not Met"/>
    <x v="0"/>
  </r>
  <r>
    <s v="ORD-2024-390951"/>
    <d v="2024-12-20T00:00:00"/>
    <s v="Dec-2024"/>
    <s v="Q4-2024"/>
    <d v="2025-01-14T00:00:00"/>
    <d v="2025-01-14T00:00:00"/>
    <n v="25"/>
    <x v="3"/>
    <s v="India"/>
    <s v="Delhi"/>
    <s v="Small Business"/>
    <s v="Retail"/>
    <x v="7"/>
    <s v="Printers"/>
    <s v="PRN-9378"/>
    <n v="1361.34"/>
    <n v="1737.9"/>
    <x v="186"/>
    <b v="0"/>
    <n v="14"/>
    <n v="22457.143800000002"/>
    <n v="19058.759999999998"/>
    <n v="3398.3838000000032"/>
    <n v="0.15132751654731813"/>
    <s v="High"/>
    <s v="Not Met"/>
    <x v="0"/>
  </r>
  <r>
    <s v="ORD-2024-296582"/>
    <d v="2024-01-11T00:00:00"/>
    <s v="Jan-2024"/>
    <s v="Q1-2024"/>
    <d v="2024-02-02T00:00:00"/>
    <d v="2024-02-02T00:00:00"/>
    <n v="22"/>
    <x v="1"/>
    <s v="South Africa"/>
    <s v="Durban"/>
    <s v="Consumer"/>
    <s v="Online"/>
    <x v="12"/>
    <s v="Networking"/>
    <s v="NET-1412"/>
    <n v="1206.2"/>
    <n v="1759.79"/>
    <x v="33"/>
    <b v="0"/>
    <n v="6"/>
    <n v="10558.74"/>
    <n v="7237.2000000000007"/>
    <n v="3321.5399999999991"/>
    <n v="0.31457730751964713"/>
    <s v="High"/>
    <s v="Not Met"/>
    <x v="0"/>
  </r>
  <r>
    <s v="ORD-2024-805860"/>
    <d v="2024-09-13T00:00:00"/>
    <s v="Sep-2024"/>
    <s v="Q3-2024"/>
    <d v="2024-10-02T00:00:00"/>
    <d v="2024-10-02T00:00:00"/>
    <n v="19"/>
    <x v="1"/>
    <s v="Kenya"/>
    <s v="Mombasa"/>
    <s v="Small Business"/>
    <s v="Retail"/>
    <x v="7"/>
    <s v="Phones"/>
    <s v="PHN-8804"/>
    <n v="1338.99"/>
    <n v="1765.76"/>
    <x v="162"/>
    <b v="0"/>
    <n v="24"/>
    <n v="37038.581760000001"/>
    <n v="32135.760000000002"/>
    <n v="4902.8217599999989"/>
    <n v="0.1323706666677725"/>
    <s v="High"/>
    <s v="Not Met"/>
    <x v="0"/>
  </r>
  <r>
    <s v="ORD-2023-369160"/>
    <d v="2023-07-24T00:00:00"/>
    <s v="Jul-2023"/>
    <s v="Q3-2023"/>
    <d v="2023-08-13T00:00:00"/>
    <d v="2023-08-13T00:00:00"/>
    <n v="20"/>
    <x v="2"/>
    <s v="Canada"/>
    <s v="Montreal"/>
    <s v="Education"/>
    <s v="Direct"/>
    <x v="8"/>
    <s v="Monitors"/>
    <s v="MON-3307"/>
    <n v="1082.3800000000001"/>
    <n v="1766.55"/>
    <x v="187"/>
    <b v="0"/>
    <n v="20"/>
    <n v="29536.716"/>
    <n v="21647.600000000002"/>
    <n v="7889.1159999999982"/>
    <n v="0.26709523157550752"/>
    <s v="High"/>
    <s v="Not Met"/>
    <x v="0"/>
  </r>
  <r>
    <s v="ORD-2023-159821"/>
    <d v="2023-07-01T00:00:00"/>
    <s v="Jul-2023"/>
    <s v="Q3-2023"/>
    <d v="2023-07-08T00:00:00"/>
    <d v="2023-07-08T00:00:00"/>
    <n v="7"/>
    <x v="1"/>
    <s v="Nigeria"/>
    <s v="Port Harcourt"/>
    <s v="Corporate"/>
    <s v="Retail"/>
    <x v="13"/>
    <s v="Laptops"/>
    <s v="LAP-3904"/>
    <n v="834.26"/>
    <n v="1780.56"/>
    <x v="50"/>
    <b v="0"/>
    <n v="47"/>
    <n v="82514.711519999997"/>
    <n v="39210.22"/>
    <n v="43304.491519999996"/>
    <n v="0.5248093427497933"/>
    <s v="High"/>
    <s v="Met"/>
    <x v="0"/>
  </r>
  <r>
    <s v="ORD-2024-964950"/>
    <d v="2024-10-10T00:00:00"/>
    <s v="Oct-2024"/>
    <s v="Q4-2024"/>
    <d v="2024-10-11T00:00:00"/>
    <d v="2024-10-11T00:00:00"/>
    <n v="1"/>
    <x v="0"/>
    <s v="United Kingdom"/>
    <s v="Manchester"/>
    <s v="Non-Profit"/>
    <s v="Distributor"/>
    <x v="5"/>
    <s v="Components"/>
    <s v="CMP-8127"/>
    <n v="1389.46"/>
    <n v="1784.7"/>
    <x v="160"/>
    <b v="0"/>
    <n v="33"/>
    <n v="50296.415399999998"/>
    <n v="45852.18"/>
    <n v="4444.2353999999978"/>
    <n v="8.8360877503011831E-2"/>
    <s v="High"/>
    <s v="Met"/>
    <x v="0"/>
  </r>
  <r>
    <s v="ORD-2024-442776"/>
    <d v="2024-06-30T00:00:00"/>
    <s v="Jun-2024"/>
    <s v="Q2-2024"/>
    <d v="2024-07-21T00:00:00"/>
    <d v="2024-07-21T00:00:00"/>
    <n v="21"/>
    <x v="1"/>
    <s v="Kenya"/>
    <s v="Kisumu"/>
    <s v="Small Business"/>
    <s v="Retail"/>
    <x v="12"/>
    <s v="Laptops"/>
    <s v="LAP-6577"/>
    <n v="753.43"/>
    <n v="1787.2"/>
    <x v="188"/>
    <b v="0"/>
    <n v="9"/>
    <n v="14910.609600000002"/>
    <n v="6780.87"/>
    <n v="8129.7396000000017"/>
    <n v="0.54523187301476939"/>
    <s v="High"/>
    <s v="Not Met"/>
    <x v="0"/>
  </r>
  <r>
    <s v="ORD-2023-292714"/>
    <d v="2023-07-10T00:00:00"/>
    <s v="Jul-2023"/>
    <s v="Q3-2023"/>
    <d v="2023-08-01T00:00:00"/>
    <d v="2023-08-01T00:00:00"/>
    <n v="22"/>
    <x v="0"/>
    <s v="France"/>
    <s v="Marseille"/>
    <s v="Consumer"/>
    <s v="Marketplace"/>
    <x v="4"/>
    <s v="Printers"/>
    <s v="PRN-1504"/>
    <n v="1303.56"/>
    <n v="1791.37"/>
    <x v="162"/>
    <b v="0"/>
    <n v="22"/>
    <n v="34444.462359999998"/>
    <n v="28678.32"/>
    <n v="5766.142359999998"/>
    <n v="0.16740404596055358"/>
    <s v="High"/>
    <s v="Not Met"/>
    <x v="0"/>
  </r>
  <r>
    <s v="ORD-2025-646342"/>
    <d v="2025-08-02T00:00:00"/>
    <s v="Aug-2025"/>
    <s v="Q3-2025"/>
    <d v="2025-08-08T00:00:00"/>
    <d v="2025-08-08T00:00:00"/>
    <n v="6"/>
    <x v="3"/>
    <s v="Japan"/>
    <s v="Osaka"/>
    <s v="Consumer"/>
    <s v="Direct"/>
    <x v="9"/>
    <s v="Laptops"/>
    <s v="LAP-4828"/>
    <n v="1225.94"/>
    <n v="1793.08"/>
    <x v="123"/>
    <b v="0"/>
    <n v="22"/>
    <n v="34082.864639999993"/>
    <n v="26970.68"/>
    <n v="7112.1846399999922"/>
    <n v="0.20867332353434462"/>
    <s v="High"/>
    <s v="Met"/>
    <x v="0"/>
  </r>
  <r>
    <s v="ORD-2023-562894"/>
    <d v="2023-02-23T00:00:00"/>
    <s v="Feb-2023"/>
    <s v="Q1-2023"/>
    <d v="2023-03-25T00:00:00"/>
    <d v="2023-03-25T00:00:00"/>
    <n v="30"/>
    <x v="2"/>
    <s v="Canada"/>
    <s v="Montreal"/>
    <s v="Enterprise"/>
    <s v="Online"/>
    <x v="0"/>
    <s v="Phones"/>
    <s v="PHN-4854"/>
    <n v="1242.6600000000001"/>
    <n v="1794.07"/>
    <x v="47"/>
    <b v="0"/>
    <n v="16"/>
    <n v="26150.364320000001"/>
    <n v="19882.560000000001"/>
    <n v="6267.8043199999993"/>
    <n v="0.23968325042440553"/>
    <s v="High"/>
    <s v="Not Met"/>
    <x v="0"/>
  </r>
  <r>
    <s v="ORD-2024-223618"/>
    <d v="2024-06-10T00:00:00"/>
    <s v="Jun-2024"/>
    <s v="Q2-2024"/>
    <d v="2024-06-11T00:00:00"/>
    <d v="2024-06-11T00:00:00"/>
    <n v="1"/>
    <x v="0"/>
    <s v="United Kingdom"/>
    <s v="Birmingham"/>
    <s v="Small Business"/>
    <s v="Marketplace"/>
    <x v="7"/>
    <s v="Laptops"/>
    <s v="LAP-9230"/>
    <n v="1187.1300000000001"/>
    <n v="1795.17"/>
    <x v="166"/>
    <b v="0"/>
    <n v="17"/>
    <n v="30151.675319999998"/>
    <n v="20181.210000000003"/>
    <n v="9970.4653199999957"/>
    <n v="0.33067699271046663"/>
    <s v="High"/>
    <s v="Met"/>
    <x v="0"/>
  </r>
  <r>
    <s v="ORD-2024-907733"/>
    <d v="2024-03-09T00:00:00"/>
    <s v="Mar-2024"/>
    <s v="Q1-2024"/>
    <d v="2024-03-22T00:00:00"/>
    <d v="2024-03-22T00:00:00"/>
    <n v="13"/>
    <x v="0"/>
    <s v="United Kingdom"/>
    <s v="Manchester"/>
    <s v="Consumer"/>
    <s v="Online"/>
    <x v="10"/>
    <s v="Laptops"/>
    <s v="LAP-8633"/>
    <n v="985.45"/>
    <n v="1802.44"/>
    <x v="163"/>
    <b v="0"/>
    <n v="19"/>
    <n v="33938.142760000002"/>
    <n v="18723.55"/>
    <n v="15214.592760000003"/>
    <n v="0.44830363486867486"/>
    <s v="High"/>
    <s v="Not Met"/>
    <x v="0"/>
  </r>
  <r>
    <s v="ORD-2024-687100"/>
    <d v="2024-09-10T00:00:00"/>
    <s v="Sep-2024"/>
    <s v="Q3-2024"/>
    <d v="2024-10-07T00:00:00"/>
    <d v="2024-10-07T00:00:00"/>
    <n v="27"/>
    <x v="1"/>
    <s v="Kenya"/>
    <s v="Kisumu"/>
    <s v="Consumer"/>
    <s v="Retail"/>
    <x v="5"/>
    <s v="Printers"/>
    <s v="PRN-6068"/>
    <n v="1248.3900000000001"/>
    <n v="1805.11"/>
    <x v="139"/>
    <b v="0"/>
    <n v="11"/>
    <n v="15825.399369999997"/>
    <n v="13732.29"/>
    <n v="2093.1093699999965"/>
    <n v="0.13226265707820786"/>
    <s v="High"/>
    <s v="Not Met"/>
    <x v="1"/>
  </r>
  <r>
    <s v="ORD-2025-330203"/>
    <d v="2025-03-25T00:00:00"/>
    <s v="Mar-2025"/>
    <s v="Q1-2025"/>
    <d v="2025-04-17T00:00:00"/>
    <d v="2025-04-17T00:00:00"/>
    <n v="23"/>
    <x v="0"/>
    <s v="United Kingdom"/>
    <s v="London"/>
    <s v="Consumer"/>
    <s v="Retail"/>
    <x v="2"/>
    <s v="Networking"/>
    <s v="NET-7166"/>
    <n v="1421.19"/>
    <n v="1808.26"/>
    <x v="101"/>
    <b v="0"/>
    <n v="13"/>
    <n v="21062.61248"/>
    <n v="18475.47"/>
    <n v="2587.1424799999986"/>
    <n v="0.12283103449093123"/>
    <s v="High"/>
    <s v="Not Met"/>
    <x v="0"/>
  </r>
  <r>
    <s v="ORD-2024-301260"/>
    <d v="2024-07-29T00:00:00"/>
    <s v="Jul-2024"/>
    <s v="Q3-2024"/>
    <d v="2024-07-31T00:00:00"/>
    <d v="2024-07-31T00:00:00"/>
    <n v="2"/>
    <x v="2"/>
    <s v="USA"/>
    <s v="New York"/>
    <s v="Education"/>
    <s v="Marketplace"/>
    <x v="1"/>
    <s v="Printers"/>
    <s v="PRN-2829"/>
    <n v="798.97"/>
    <n v="1814.06"/>
    <x v="40"/>
    <b v="0"/>
    <n v="16"/>
    <n v="25483.91488"/>
    <n v="12783.52"/>
    <n v="12700.39488"/>
    <n v="0.49836906691159061"/>
    <s v="High"/>
    <s v="Met"/>
    <x v="0"/>
  </r>
  <r>
    <s v="ORD-2024-333192"/>
    <d v="2024-10-29T00:00:00"/>
    <s v="Oct-2024"/>
    <s v="Q4-2024"/>
    <d v="2024-11-04T00:00:00"/>
    <d v="2024-11-04T00:00:00"/>
    <n v="6"/>
    <x v="1"/>
    <s v="Kenya"/>
    <s v="Nairobi"/>
    <s v="Corporate"/>
    <s v="Distributor"/>
    <x v="7"/>
    <s v="Printers"/>
    <s v="PRN-4893"/>
    <n v="805.81"/>
    <n v="1823.04"/>
    <x v="33"/>
    <b v="0"/>
    <n v="11"/>
    <n v="20053.439999999999"/>
    <n v="8863.91"/>
    <n v="11189.529999999999"/>
    <n v="0.55798556257679477"/>
    <s v="High"/>
    <s v="Met"/>
    <x v="0"/>
  </r>
  <r>
    <s v="ORD-2024-966651"/>
    <d v="2024-10-14T00:00:00"/>
    <s v="Oct-2024"/>
    <s v="Q4-2024"/>
    <d v="2024-11-08T00:00:00"/>
    <d v="2024-11-08T00:00:00"/>
    <n v="25"/>
    <x v="1"/>
    <s v="Nigeria"/>
    <s v="Lagos"/>
    <s v="Enterprise"/>
    <s v="Online"/>
    <x v="11"/>
    <s v="Networking"/>
    <s v="NET-5268"/>
    <n v="859.35"/>
    <n v="1825.61"/>
    <x v="74"/>
    <b v="0"/>
    <n v="24"/>
    <n v="35621.302319999995"/>
    <n v="20624.400000000001"/>
    <n v="14996.902319999994"/>
    <n v="0.42100937762681989"/>
    <s v="High"/>
    <s v="Not Met"/>
    <x v="0"/>
  </r>
  <r>
    <s v="ORD-2024-766980"/>
    <d v="2024-11-04T00:00:00"/>
    <s v="Nov-2024"/>
    <s v="Q4-2024"/>
    <d v="2024-11-07T00:00:00"/>
    <d v="2024-11-07T00:00:00"/>
    <n v="3"/>
    <x v="0"/>
    <s v="France"/>
    <s v="Lyon"/>
    <s v="Corporate"/>
    <s v="Online"/>
    <x v="11"/>
    <s v="Monitors"/>
    <s v="MON-1118"/>
    <n v="740.68"/>
    <n v="1837.19"/>
    <x v="43"/>
    <b v="0"/>
    <n v="17"/>
    <n v="25079.480689999997"/>
    <n v="12591.56"/>
    <n v="12487.920689999997"/>
    <n v="0.4979337827748298"/>
    <s v="High"/>
    <s v="Met"/>
    <x v="0"/>
  </r>
  <r>
    <s v="ORD-2024-331226"/>
    <d v="2024-11-30T00:00:00"/>
    <s v="Nov-2024"/>
    <s v="Q4-2024"/>
    <d v="2024-12-19T00:00:00"/>
    <d v="2024-12-19T00:00:00"/>
    <n v="19"/>
    <x v="1"/>
    <s v="Kenya"/>
    <s v="Kisumu"/>
    <s v="Corporate"/>
    <s v="Online"/>
    <x v="5"/>
    <s v="Phones"/>
    <s v="PHN-1919"/>
    <n v="1195.98"/>
    <n v="1841.9"/>
    <x v="168"/>
    <b v="0"/>
    <n v="19"/>
    <n v="33071.3145"/>
    <n v="22723.62"/>
    <n v="10347.694500000001"/>
    <n v="0.31289032977506842"/>
    <s v="High"/>
    <s v="Not Met"/>
    <x v="0"/>
  </r>
  <r>
    <s v="ORD-2023-243704"/>
    <d v="2023-08-29T00:00:00"/>
    <s v="Aug-2023"/>
    <s v="Q3-2023"/>
    <d v="2023-09-19T00:00:00"/>
    <d v="2023-09-19T00:00:00"/>
    <n v="21"/>
    <x v="0"/>
    <s v="France"/>
    <s v="Lyon"/>
    <s v="Small Business"/>
    <s v="Direct"/>
    <x v="4"/>
    <s v="Printers"/>
    <s v="PRN-7079"/>
    <n v="784.46"/>
    <n v="1843.51"/>
    <x v="170"/>
    <b v="0"/>
    <n v="23"/>
    <n v="36549.429260000004"/>
    <n v="18042.580000000002"/>
    <n v="18506.849260000003"/>
    <n v="0.50635125184441798"/>
    <s v="High"/>
    <s v="Not Met"/>
    <x v="0"/>
  </r>
  <r>
    <s v="ORD-2024-584090"/>
    <d v="2024-06-07T00:00:00"/>
    <s v="Jun-2024"/>
    <s v="Q2-2024"/>
    <d v="2024-06-26T00:00:00"/>
    <d v="2024-06-26T00:00:00"/>
    <n v="19"/>
    <x v="0"/>
    <s v="Germany"/>
    <s v="Berlin"/>
    <s v="Non-Profit"/>
    <s v="Marketplace"/>
    <x v="7"/>
    <s v="Components"/>
    <s v="CMP-2040"/>
    <n v="1064.32"/>
    <n v="1848.39"/>
    <x v="188"/>
    <b v="0"/>
    <n v="38"/>
    <n v="65111.38614000001"/>
    <n v="40444.159999999996"/>
    <n v="24667.226140000013"/>
    <n v="0.3788465827921631"/>
    <s v="High"/>
    <s v="Not Met"/>
    <x v="0"/>
  </r>
  <r>
    <s v="ORD-2024-329104"/>
    <d v="2024-05-23T00:00:00"/>
    <s v="May-2024"/>
    <s v="Q2-2024"/>
    <d v="2024-06-14T00:00:00"/>
    <d v="2024-06-14T00:00:00"/>
    <n v="22"/>
    <x v="0"/>
    <s v="France"/>
    <s v="Marseille"/>
    <s v="Small Business"/>
    <s v="Online"/>
    <x v="9"/>
    <s v="Monitors"/>
    <s v="MON-2100"/>
    <n v="1481.74"/>
    <n v="1848.97"/>
    <x v="165"/>
    <b v="0"/>
    <n v="9"/>
    <n v="12413.98458"/>
    <n v="13335.66"/>
    <n v="-921.67541999999958"/>
    <n v="-7.4244930309072407E-2"/>
    <s v="High"/>
    <s v="Not Met"/>
    <x v="1"/>
  </r>
  <r>
    <s v="ORD-2024-783321"/>
    <d v="2024-11-20T00:00:00"/>
    <s v="Nov-2024"/>
    <s v="Q4-2024"/>
    <d v="2024-12-15T00:00:00"/>
    <d v="2024-12-15T00:00:00"/>
    <n v="25"/>
    <x v="0"/>
    <s v="France"/>
    <s v="Paris"/>
    <s v="Corporate"/>
    <s v="Online"/>
    <x v="14"/>
    <s v="Printers"/>
    <s v="PRN-4911"/>
    <n v="1203.58"/>
    <n v="1856.16"/>
    <x v="22"/>
    <b v="0"/>
    <n v="22"/>
    <n v="35567.737920000007"/>
    <n v="26478.76"/>
    <n v="9088.9779200000085"/>
    <n v="0.25553994860295032"/>
    <s v="High"/>
    <s v="Not Met"/>
    <x v="0"/>
  </r>
  <r>
    <s v="ORD-2024-776337"/>
    <d v="2024-11-12T00:00:00"/>
    <s v="Nov-2024"/>
    <s v="Q4-2024"/>
    <d v="2024-11-21T00:00:00"/>
    <d v="2024-11-21T00:00:00"/>
    <n v="9"/>
    <x v="3"/>
    <s v="India"/>
    <s v="Mumbai"/>
    <s v="Corporate"/>
    <s v="Direct"/>
    <x v="2"/>
    <s v="Laptops"/>
    <s v="LAP-5078"/>
    <n v="903.41"/>
    <n v="1860.41"/>
    <x v="92"/>
    <b v="0"/>
    <n v="5"/>
    <n v="8297.4286000000011"/>
    <n v="4517.05"/>
    <n v="3780.3786000000009"/>
    <n v="0.455608451996803"/>
    <s v="High"/>
    <s v="Not Met"/>
    <x v="0"/>
  </r>
  <r>
    <s v="ORD-2024-202166"/>
    <d v="2024-05-05T00:00:00"/>
    <s v="May-2024"/>
    <s v="Q2-2024"/>
    <d v="2024-05-18T00:00:00"/>
    <d v="2024-05-18T00:00:00"/>
    <n v="13"/>
    <x v="0"/>
    <s v="France"/>
    <s v="Marseille"/>
    <s v="Corporate"/>
    <s v="Marketplace"/>
    <x v="13"/>
    <s v="Components"/>
    <s v="CMP-3313"/>
    <n v="1264.04"/>
    <n v="1870.89"/>
    <x v="33"/>
    <b v="0"/>
    <n v="13"/>
    <n v="24321.57"/>
    <n v="16432.52"/>
    <n v="7889.0499999999993"/>
    <n v="0.32436433996653996"/>
    <s v="High"/>
    <s v="Not Met"/>
    <x v="0"/>
  </r>
  <r>
    <s v="ORD-2023-809913"/>
    <d v="2023-04-21T00:00:00"/>
    <s v="Apr-2023"/>
    <s v="Q2-2023"/>
    <d v="2023-05-10T00:00:00"/>
    <d v="2023-05-10T00:00:00"/>
    <n v="19"/>
    <x v="3"/>
    <s v="China"/>
    <s v="Shanghai"/>
    <s v="Corporate"/>
    <s v="Retail"/>
    <x v="13"/>
    <s v="Components"/>
    <s v="CMP-7371"/>
    <n v="882.33"/>
    <n v="1880.15"/>
    <x v="189"/>
    <b v="0"/>
    <n v="5"/>
    <n v="8930.7124999999996"/>
    <n v="4411.6500000000005"/>
    <n v="4519.0624999999991"/>
    <n v="0.50601365792482955"/>
    <s v="High"/>
    <s v="Not Met"/>
    <x v="0"/>
  </r>
  <r>
    <s v="ORD-2024-638884"/>
    <d v="2024-05-28T00:00:00"/>
    <s v="May-2024"/>
    <s v="Q2-2024"/>
    <d v="2024-05-26T00:00:00"/>
    <d v="2024-06-11T00:00:00"/>
    <n v="14"/>
    <x v="1"/>
    <s v="Nigeria"/>
    <s v="Abuja"/>
    <s v="Enterprise"/>
    <s v="Online"/>
    <x v="6"/>
    <s v="Accessories"/>
    <s v="ACC-5177"/>
    <n v="1227.08"/>
    <n v="1896.62"/>
    <x v="33"/>
    <b v="0"/>
    <n v="18"/>
    <n v="34139.159999999996"/>
    <n v="22087.439999999999"/>
    <n v="12051.719999999998"/>
    <n v="0.353017473189147"/>
    <s v="High"/>
    <s v="Not Met"/>
    <x v="0"/>
  </r>
  <r>
    <s v="ORD-2025-532859"/>
    <d v="2025-03-11T00:00:00"/>
    <s v="Mar-2025"/>
    <s v="Q1-2025"/>
    <d v="2025-03-27T00:00:00"/>
    <d v="2025-03-27T00:00:00"/>
    <n v="16"/>
    <x v="3"/>
    <s v="Japan"/>
    <s v="Tokyo"/>
    <s v="Enterprise"/>
    <s v="Distributor"/>
    <x v="4"/>
    <s v="Printers"/>
    <s v="PRN-5264"/>
    <n v="1317.58"/>
    <n v="1897.74"/>
    <x v="190"/>
    <b v="0"/>
    <n v="6"/>
    <n v="10464.138360000001"/>
    <n v="7905.48"/>
    <n v="2558.6583600000013"/>
    <n v="0.24451687009230266"/>
    <s v="High"/>
    <s v="Not Met"/>
    <x v="0"/>
  </r>
  <r>
    <s v="ORD-2025-915869"/>
    <d v="2025-02-06T00:00:00"/>
    <s v="Feb-2025"/>
    <s v="Q1-2025"/>
    <d v="2025-02-15T00:00:00"/>
    <d v="2025-02-15T00:00:00"/>
    <n v="9"/>
    <x v="2"/>
    <s v="Brazil"/>
    <s v="São Paulo"/>
    <s v="Non-Profit"/>
    <s v="Distributor"/>
    <x v="6"/>
    <s v="Networking"/>
    <s v="NET-5482"/>
    <n v="837.39"/>
    <n v="1905.42"/>
    <x v="156"/>
    <b v="0"/>
    <n v="18"/>
    <n v="33200.038079999998"/>
    <n v="15073.02"/>
    <n v="18127.018079999998"/>
    <n v="0.54599389423350919"/>
    <s v="High"/>
    <s v="Not Met"/>
    <x v="0"/>
  </r>
  <r>
    <s v="ORD-2024-906395"/>
    <d v="2024-03-10T00:00:00"/>
    <s v="Mar-2024"/>
    <s v="Q1-2024"/>
    <d v="2024-04-09T00:00:00"/>
    <d v="2024-04-09T00:00:00"/>
    <n v="30"/>
    <x v="0"/>
    <s v="France"/>
    <s v="Lyon"/>
    <s v="Corporate"/>
    <s v="Direct"/>
    <x v="1"/>
    <s v="Components"/>
    <s v="CMP-8002"/>
    <n v="1176.56"/>
    <n v="1911.89"/>
    <x v="3"/>
    <b v="0"/>
    <n v="20"/>
    <n v="33687.501800000005"/>
    <n v="23531.199999999997"/>
    <n v="10156.301800000008"/>
    <n v="0.30148575160892477"/>
    <s v="High"/>
    <s v="Not Met"/>
    <x v="0"/>
  </r>
  <r>
    <s v="ORD-2024-247979"/>
    <d v="2024-11-02T00:00:00"/>
    <s v="Nov-2024"/>
    <s v="Q4-2024"/>
    <d v="2024-11-18T00:00:00"/>
    <d v="2024-11-18T00:00:00"/>
    <n v="16"/>
    <x v="3"/>
    <s v="India"/>
    <s v="Mumbai"/>
    <s v="Small Business"/>
    <s v="Distributor"/>
    <x v="11"/>
    <s v="Monitors"/>
    <s v="MON-5188"/>
    <n v="1233.58"/>
    <n v="1912.51"/>
    <x v="191"/>
    <b v="0"/>
    <n v="51"/>
    <n v="72665.817450000002"/>
    <n v="62912.579999999994"/>
    <n v="9753.2374500000078"/>
    <n v="0.134220432553601"/>
    <s v="High"/>
    <s v="Not Met"/>
    <x v="1"/>
  </r>
  <r>
    <s v="ORD-2025-898843"/>
    <d v="2025-02-02T00:00:00"/>
    <s v="Feb-2025"/>
    <s v="Q1-2025"/>
    <d v="2025-03-04T00:00:00"/>
    <d v="2025-03-04T00:00:00"/>
    <n v="30"/>
    <x v="3"/>
    <s v="Japan"/>
    <s v="Osaka"/>
    <s v="Education"/>
    <s v="Distributor"/>
    <x v="5"/>
    <s v="Accessories"/>
    <s v="ACC-9591"/>
    <n v="766.59"/>
    <n v="1912.8"/>
    <x v="71"/>
    <b v="0"/>
    <n v="5"/>
    <n v="7689.4560000000001"/>
    <n v="3832.9500000000003"/>
    <n v="3856.5059999999999"/>
    <n v="0.50153170783472845"/>
    <s v="High"/>
    <s v="Not Met"/>
    <x v="0"/>
  </r>
  <r>
    <s v="ORD-2023-664749"/>
    <d v="2023-08-27T00:00:00"/>
    <s v="Aug-2023"/>
    <s v="Q3-2023"/>
    <d v="2023-09-11T00:00:00"/>
    <d v="2023-09-11T00:00:00"/>
    <n v="15"/>
    <x v="0"/>
    <s v="United Kingdom"/>
    <s v="London"/>
    <s v="Consumer"/>
    <s v="Marketplace"/>
    <x v="9"/>
    <s v="Printers"/>
    <s v="PRN-5107"/>
    <n v="943.79"/>
    <n v="1913.76"/>
    <x v="30"/>
    <b v="0"/>
    <n v="9"/>
    <n v="15656.47056"/>
    <n v="8494.11"/>
    <n v="7162.3605599999992"/>
    <n v="0.45746967891338081"/>
    <s v="High"/>
    <s v="Not Met"/>
    <x v="0"/>
  </r>
  <r>
    <s v="ORD-2025-331237"/>
    <d v="2025-03-24T00:00:00"/>
    <s v="Mar-2025"/>
    <s v="Q1-2025"/>
    <d v="2025-03-25T00:00:00"/>
    <d v="2025-03-25T00:00:00"/>
    <n v="1"/>
    <x v="3"/>
    <s v="China"/>
    <s v="Beijing"/>
    <s v="Non-Profit"/>
    <s v="Online"/>
    <x v="14"/>
    <s v="Networking"/>
    <s v="NET-8329"/>
    <n v="1133.03"/>
    <n v="1921.51"/>
    <x v="46"/>
    <b v="0"/>
    <n v="5"/>
    <n v="8637.1874499999994"/>
    <n v="5665.15"/>
    <n v="2972.0374499999998"/>
    <n v="0.3440978289755654"/>
    <s v="High"/>
    <s v="Met"/>
    <x v="0"/>
  </r>
  <r>
    <s v="ORD-2023-867175"/>
    <d v="2023-08-10T00:00:00"/>
    <s v="Aug-2023"/>
    <s v="Q3-2023"/>
    <d v="2023-08-15T00:00:00"/>
    <d v="2023-08-15T00:00:00"/>
    <n v="5"/>
    <x v="2"/>
    <s v="Brazil"/>
    <s v="São Paulo"/>
    <s v="Education"/>
    <s v="Direct"/>
    <x v="14"/>
    <s v="Networking"/>
    <s v="NET-2894"/>
    <n v="1307.52"/>
    <n v="1921.65"/>
    <x v="148"/>
    <b v="0"/>
    <n v="13"/>
    <n v="21908.731650000002"/>
    <n v="16997.759999999998"/>
    <n v="4910.9716500000031"/>
    <n v="0.22415590863289445"/>
    <s v="High"/>
    <s v="Met"/>
    <x v="0"/>
  </r>
  <r>
    <s v="ORD-2025-803803"/>
    <d v="2025-08-28T00:00:00"/>
    <s v="Aug-2025"/>
    <s v="Q3-2025"/>
    <d v="2025-09-05T00:00:00"/>
    <d v="2025-09-05T00:00:00"/>
    <n v="8"/>
    <x v="1"/>
    <s v="Nigeria"/>
    <s v="Port Harcourt"/>
    <s v="Small Business"/>
    <s v="Marketplace"/>
    <x v="10"/>
    <s v="Laptops"/>
    <s v="LAP-7553"/>
    <n v="1271.0999999999999"/>
    <n v="1932.42"/>
    <x v="112"/>
    <b v="0"/>
    <n v="21"/>
    <n v="30435.614999999998"/>
    <n v="26693.1"/>
    <n v="3742.5149999999994"/>
    <n v="0.12296498690760807"/>
    <s v="High"/>
    <s v="Not Met"/>
    <x v="1"/>
  </r>
  <r>
    <s v="ORD-2024-206311"/>
    <d v="2024-01-13T00:00:00"/>
    <s v="Jan-2024"/>
    <s v="Q1-2024"/>
    <d v="2024-01-15T00:00:00"/>
    <d v="2024-01-15T00:00:00"/>
    <n v="2"/>
    <x v="2"/>
    <s v="USA"/>
    <s v="San Francisco"/>
    <s v="Non-Profit"/>
    <s v="Direct"/>
    <x v="10"/>
    <s v="Components"/>
    <s v="CMP-2410"/>
    <n v="1061.3699999999999"/>
    <n v="1938.33"/>
    <x v="192"/>
    <b v="0"/>
    <n v="4"/>
    <n v="6435.2555999999995"/>
    <n v="4245.4799999999996"/>
    <n v="2189.7755999999999"/>
    <n v="0.34027795259600879"/>
    <s v="High"/>
    <s v="Met"/>
    <x v="0"/>
  </r>
  <r>
    <s v="ORD-2024-444710"/>
    <d v="2024-09-22T00:00:00"/>
    <s v="Sep-2024"/>
    <s v="Q3-2024"/>
    <d v="2024-10-01T00:00:00"/>
    <d v="2024-10-01T00:00:00"/>
    <n v="9"/>
    <x v="2"/>
    <s v="Brazil"/>
    <s v="São Paulo"/>
    <s v="Non-Profit"/>
    <s v="Online"/>
    <x v="12"/>
    <s v="Monitors"/>
    <s v="MON-6341"/>
    <n v="1378.8"/>
    <n v="1952.04"/>
    <x v="149"/>
    <b v="0"/>
    <n v="19"/>
    <n v="31191.64716"/>
    <n v="26197.200000000001"/>
    <n v="4994.4471599999997"/>
    <n v="0.16012130216723058"/>
    <s v="High"/>
    <s v="Not Met"/>
    <x v="0"/>
  </r>
  <r>
    <s v="ORD-2025-662997"/>
    <d v="2025-03-31T00:00:00"/>
    <s v="Mar-2025"/>
    <s v="Q1-2025"/>
    <d v="2025-04-04T00:00:00"/>
    <d v="2025-04-04T00:00:00"/>
    <n v="4"/>
    <x v="1"/>
    <s v="Kenya"/>
    <s v="Nakuru"/>
    <s v="Corporate"/>
    <s v="Direct"/>
    <x v="8"/>
    <s v="Laptops"/>
    <s v="LAP-7136"/>
    <n v="862.08"/>
    <n v="1952.83"/>
    <x v="33"/>
    <b v="0"/>
    <n v="7"/>
    <n v="13669.81"/>
    <n v="6034.56"/>
    <n v="7635.2499999999991"/>
    <n v="0.5585483631447693"/>
    <s v="High"/>
    <s v="Met"/>
    <x v="0"/>
  </r>
  <r>
    <s v="ORD-2023-674887"/>
    <d v="2023-12-16T00:00:00"/>
    <s v="Dec-2023"/>
    <s v="Q4-2023"/>
    <d v="2023-12-19T00:00:00"/>
    <d v="2023-12-19T00:00:00"/>
    <n v="3"/>
    <x v="3"/>
    <s v="China"/>
    <s v="Beijing"/>
    <s v="Education"/>
    <s v="Retail"/>
    <x v="13"/>
    <s v="Accessories"/>
    <s v="ACC-9644"/>
    <n v="1415.05"/>
    <n v="1972.38"/>
    <x v="33"/>
    <b v="0"/>
    <n v="12"/>
    <n v="23668.560000000001"/>
    <n v="16980.599999999999"/>
    <n v="6687.9600000000028"/>
    <n v="0.28256725377462771"/>
    <s v="High"/>
    <s v="Met"/>
    <x v="0"/>
  </r>
  <r>
    <s v="ORD-2025-874124"/>
    <d v="2025-05-14T00:00:00"/>
    <s v="May-2025"/>
    <s v="Q2-2025"/>
    <d v="2025-05-12T00:00:00"/>
    <d v="2025-05-28T00:00:00"/>
    <n v="14"/>
    <x v="2"/>
    <s v="Canada"/>
    <s v="Vancouver"/>
    <s v="Non-Profit"/>
    <s v="Distributor"/>
    <x v="6"/>
    <s v="Printers"/>
    <s v="PRN-2407"/>
    <n v="883.5"/>
    <n v="1978.91"/>
    <x v="193"/>
    <b v="0"/>
    <n v="27"/>
    <n v="50545.319219999998"/>
    <n v="23854.5"/>
    <n v="26690.819219999998"/>
    <n v="0.52805718970390547"/>
    <s v="High"/>
    <s v="Not Met"/>
    <x v="0"/>
  </r>
  <r>
    <s v="ORD-2025-766923"/>
    <d v="2025-02-15T00:00:00"/>
    <s v="Feb-2025"/>
    <s v="Q1-2025"/>
    <d v="2025-02-15T00:00:00"/>
    <d v="2025-02-15T00:00:00"/>
    <n v="0"/>
    <x v="0"/>
    <s v="Germany"/>
    <s v="Frankfurt"/>
    <s v="Small Business"/>
    <s v="Marketplace"/>
    <x v="5"/>
    <s v="Accessories"/>
    <s v="ACC-3989"/>
    <n v="815.83"/>
    <n v="1982.18"/>
    <x v="182"/>
    <b v="0"/>
    <n v="6"/>
    <n v="10382.65884"/>
    <n v="4894.9800000000005"/>
    <n v="5487.6788399999996"/>
    <n v="0.52854272923408507"/>
    <s v="High"/>
    <s v="Met"/>
    <x v="0"/>
  </r>
  <r>
    <s v="ORD-2025-944081"/>
    <d v="2025-03-25T00:00:00"/>
    <s v="Mar-2025"/>
    <s v="Q1-2025"/>
    <d v="2025-03-26T00:00:00"/>
    <d v="2025-03-26T00:00:00"/>
    <n v="1"/>
    <x v="1"/>
    <s v="Nigeria"/>
    <s v="Lagos"/>
    <s v="Education"/>
    <s v="Distributor"/>
    <x v="14"/>
    <s v="Accessories"/>
    <s v="ACC-9533"/>
    <n v="1450.43"/>
    <n v="1994.67"/>
    <x v="194"/>
    <b v="0"/>
    <n v="24"/>
    <n v="43084.872000000003"/>
    <n v="34810.32"/>
    <n v="8274.5520000000033"/>
    <n v="0.19205237513529116"/>
    <s v="High"/>
    <s v="Met"/>
    <x v="0"/>
  </r>
  <r>
    <s v="ORD-2025-440093"/>
    <d v="2025-04-16T00:00:00"/>
    <s v="Apr-2025"/>
    <s v="Q2-2025"/>
    <d v="2025-04-26T00:00:00"/>
    <d v="2025-04-26T00:00:00"/>
    <n v="10"/>
    <x v="1"/>
    <s v="Nigeria"/>
    <s v="Port Harcourt"/>
    <s v="Enterprise"/>
    <s v="Marketplace"/>
    <x v="6"/>
    <s v="Laptops"/>
    <s v="LAP-3490"/>
    <n v="1457.44"/>
    <n v="1996.81"/>
    <x v="162"/>
    <b v="0"/>
    <n v="23"/>
    <n v="40139.874619999995"/>
    <n v="33521.120000000003"/>
    <n v="6618.7546199999924"/>
    <n v="0.16489225944672353"/>
    <s v="High"/>
    <s v="Not Met"/>
    <x v="0"/>
  </r>
  <r>
    <s v="ORD-2024-192263"/>
    <d v="2024-11-21T00:00:00"/>
    <s v="Nov-2024"/>
    <s v="Q4-2024"/>
    <d v="2024-12-21T00:00:00"/>
    <d v="2024-12-21T00:00:00"/>
    <n v="30"/>
    <x v="0"/>
    <s v="France"/>
    <s v="Marseille"/>
    <s v="Small Business"/>
    <s v="Direct"/>
    <x v="1"/>
    <s v="Monitors"/>
    <s v="MON-7943"/>
    <n v="1122.68"/>
    <n v="1997.19"/>
    <x v="79"/>
    <b v="0"/>
    <n v="3"/>
    <n v="4877.1379800000004"/>
    <n v="3368.04"/>
    <n v="1509.0979800000005"/>
    <n v="0.30942285951073306"/>
    <s v="High"/>
    <s v="Not Met"/>
    <x v="0"/>
  </r>
  <r>
    <s v="ORD-2023-422918"/>
    <d v="2023-02-28T00:00:00"/>
    <s v="Feb-2023"/>
    <s v="Q1-2023"/>
    <d v="2023-03-20T00:00:00"/>
    <d v="2023-03-20T00:00:00"/>
    <n v="20"/>
    <x v="0"/>
    <s v="Germany"/>
    <s v="Berlin"/>
    <s v="Small Business"/>
    <s v="Direct"/>
    <x v="2"/>
    <s v="Laptops"/>
    <s v="LAP-3679"/>
    <n v="1200.78"/>
    <n v="2001.17"/>
    <x v="195"/>
    <b v="0"/>
    <n v="18"/>
    <n v="25502.910479999999"/>
    <n v="21614.04"/>
    <n v="3888.8704799999978"/>
    <n v="0.15248732034132906"/>
    <s v="High"/>
    <s v="Not Met"/>
    <x v="1"/>
  </r>
  <r>
    <s v="ORD-2024-647473"/>
    <d v="2024-02-17T00:00:00"/>
    <s v="Feb-2024"/>
    <s v="Q1-2024"/>
    <d v="2024-03-04T00:00:00"/>
    <d v="2024-03-04T00:00:00"/>
    <n v="16"/>
    <x v="3"/>
    <s v="India"/>
    <s v="Delhi"/>
    <s v="Small Business"/>
    <s v="Marketplace"/>
    <x v="6"/>
    <s v="Phones"/>
    <s v="PHN-1717"/>
    <n v="1231.8"/>
    <n v="2015.99"/>
    <x v="196"/>
    <b v="0"/>
    <n v="6"/>
    <n v="8938.8996600000009"/>
    <n v="7390.7999999999993"/>
    <n v="1548.0996600000017"/>
    <n v="0.17318682599464391"/>
    <s v="High"/>
    <s v="Not Met"/>
    <x v="1"/>
  </r>
  <r>
    <s v="ORD-2023-139236"/>
    <d v="2023-03-03T00:00:00"/>
    <s v="Mar-2023"/>
    <s v="Q1-2023"/>
    <d v="2023-03-20T00:00:00"/>
    <d v="2023-03-20T00:00:00"/>
    <n v="17"/>
    <x v="3"/>
    <s v="Japan"/>
    <s v="Nagoya"/>
    <s v="Small Business"/>
    <s v="Online"/>
    <x v="0"/>
    <s v="Networking"/>
    <s v="NET-7349"/>
    <n v="1171.17"/>
    <n v="2030.64"/>
    <x v="20"/>
    <b v="0"/>
    <n v="11"/>
    <n v="18830.12472"/>
    <n v="12882.87"/>
    <n v="5947.254719999999"/>
    <n v="0.31583724528830415"/>
    <s v="High"/>
    <s v="Not Met"/>
    <x v="0"/>
  </r>
  <r>
    <s v="ORD-2024-901115"/>
    <d v="2024-07-25T00:00:00"/>
    <s v="Jul-2024"/>
    <s v="Q3-2024"/>
    <d v="2024-08-02T00:00:00"/>
    <d v="2024-08-02T00:00:00"/>
    <n v="8"/>
    <x v="2"/>
    <s v="Canada"/>
    <s v="Montreal"/>
    <s v="Consumer"/>
    <s v="Direct"/>
    <x v="3"/>
    <s v="Accessories"/>
    <s v="ACC-6626"/>
    <n v="986.81"/>
    <n v="2050.31"/>
    <x v="172"/>
    <b v="0"/>
    <n v="43"/>
    <n v="79082.507010000001"/>
    <n v="42432.829999999994"/>
    <n v="36649.677010000007"/>
    <n v="0.46343595310358138"/>
    <s v="High"/>
    <s v="Not Met"/>
    <x v="0"/>
  </r>
  <r>
    <s v="ORD-2023-854471"/>
    <d v="2023-03-06T00:00:00"/>
    <s v="Mar-2023"/>
    <s v="Q1-2023"/>
    <d v="2023-04-04T00:00:00"/>
    <d v="2023-04-04T00:00:00"/>
    <n v="29"/>
    <x v="3"/>
    <s v="China"/>
    <s v="Beijing"/>
    <s v="Small Business"/>
    <s v="Direct"/>
    <x v="8"/>
    <s v="Monitors"/>
    <s v="MON-2073"/>
    <n v="1126.29"/>
    <n v="2050.87"/>
    <x v="18"/>
    <b v="0"/>
    <n v="7"/>
    <n v="13437.300239999999"/>
    <n v="7884.03"/>
    <n v="5553.2702399999989"/>
    <n v="0.41327276616690373"/>
    <s v="High"/>
    <s v="Not Met"/>
    <x v="0"/>
  </r>
  <r>
    <s v="ORD-2023-884625"/>
    <d v="2023-02-19T00:00:00"/>
    <s v="Feb-2023"/>
    <s v="Q1-2023"/>
    <d v="2023-03-12T00:00:00"/>
    <d v="2023-03-12T00:00:00"/>
    <n v="21"/>
    <x v="0"/>
    <s v="Germany"/>
    <s v="Berlin"/>
    <s v="Small Business"/>
    <s v="Direct"/>
    <x v="5"/>
    <s v="Monitors"/>
    <s v="MON-6699"/>
    <n v="1234.81"/>
    <n v="2055.2399999999998"/>
    <x v="88"/>
    <b v="0"/>
    <n v="44"/>
    <n v="85637.740319999997"/>
    <n v="54331.64"/>
    <n v="31306.100319999998"/>
    <n v="0.36556429680441616"/>
    <s v="High"/>
    <s v="Not Met"/>
    <x v="0"/>
  </r>
  <r>
    <s v="ORD-2023-450877"/>
    <d v="2023-09-21T00:00:00"/>
    <s v="Sep-2023"/>
    <s v="Q3-2023"/>
    <d v="2023-10-10T00:00:00"/>
    <d v="2023-10-10T00:00:00"/>
    <n v="19"/>
    <x v="3"/>
    <s v="Japan"/>
    <s v="Tokyo"/>
    <s v="Education"/>
    <s v="Online"/>
    <x v="0"/>
    <s v="Components"/>
    <s v="CMP-5211"/>
    <n v="845.63"/>
    <n v="2062.12"/>
    <x v="6"/>
    <b v="0"/>
    <n v="5"/>
    <n v="8928.9795999999988"/>
    <n v="4228.1499999999996"/>
    <n v="4700.8295999999991"/>
    <n v="0.52646884757133949"/>
    <s v="High"/>
    <s v="Not Met"/>
    <x v="0"/>
  </r>
  <r>
    <s v="ORD-2025-629393"/>
    <d v="2025-07-21T00:00:00"/>
    <s v="Jul-2025"/>
    <s v="Q3-2025"/>
    <d v="2025-08-07T00:00:00"/>
    <d v="2025-08-07T00:00:00"/>
    <n v="17"/>
    <x v="1"/>
    <s v="Nigeria"/>
    <s v="Lagos"/>
    <s v="Enterprise"/>
    <s v="Direct"/>
    <x v="7"/>
    <s v="Accessories"/>
    <s v="ACC-8999"/>
    <n v="1204.95"/>
    <n v="2065.73"/>
    <x v="123"/>
    <b v="0"/>
    <n v="10"/>
    <n v="17847.907199999998"/>
    <n v="12049.5"/>
    <n v="5798.4071999999978"/>
    <n v="0.32487882949100039"/>
    <s v="High"/>
    <s v="Not Met"/>
    <x v="0"/>
  </r>
  <r>
    <s v="ORD-2023-244375"/>
    <d v="2023-06-03T00:00:00"/>
    <s v="Jun-2023"/>
    <s v="Q2-2023"/>
    <d v="2023-07-01T00:00:00"/>
    <d v="2023-07-01T00:00:00"/>
    <n v="28"/>
    <x v="2"/>
    <s v="Brazil"/>
    <s v="Brasília"/>
    <s v="Small Business"/>
    <s v="Marketplace"/>
    <x v="13"/>
    <s v="Components"/>
    <s v="CMP-1223"/>
    <n v="860.4"/>
    <n v="2066.6"/>
    <x v="141"/>
    <b v="0"/>
    <n v="3"/>
    <n v="6137.8019999999988"/>
    <n v="2581.1999999999998"/>
    <n v="3556.601999999999"/>
    <n v="0.57945857491004105"/>
    <s v="High"/>
    <s v="Not Met"/>
    <x v="0"/>
  </r>
  <r>
    <s v="ORD-2023-211715"/>
    <d v="2023-10-30T00:00:00"/>
    <s v="Oct-2023"/>
    <s v="Q4-2023"/>
    <d v="2023-11-14T00:00:00"/>
    <d v="2023-11-14T00:00:00"/>
    <n v="15"/>
    <x v="3"/>
    <s v="India"/>
    <s v="Bengaluru"/>
    <s v="Corporate"/>
    <s v="Online"/>
    <x v="6"/>
    <s v="Laptops"/>
    <s v="LAP-2378"/>
    <n v="953.46"/>
    <n v="2066.75"/>
    <x v="170"/>
    <b v="0"/>
    <n v="5"/>
    <n v="8907.6924999999992"/>
    <n v="4767.3"/>
    <n v="4140.392499999999"/>
    <n v="0.46481089238318446"/>
    <s v="High"/>
    <s v="Not Met"/>
    <x v="0"/>
  </r>
  <r>
    <s v="ORD-2023-638181"/>
    <d v="2023-05-20T00:00:00"/>
    <s v="May-2023"/>
    <s v="Q2-2023"/>
    <d v="2023-06-07T00:00:00"/>
    <d v="2023-06-07T00:00:00"/>
    <n v="18"/>
    <x v="1"/>
    <s v="Nigeria"/>
    <s v="Port Harcourt"/>
    <s v="Enterprise"/>
    <s v="Distributor"/>
    <x v="10"/>
    <s v="Components"/>
    <s v="CMP-4630"/>
    <n v="1120.06"/>
    <n v="2068.21"/>
    <x v="78"/>
    <b v="0"/>
    <n v="12"/>
    <n v="22882.675440000003"/>
    <n v="13440.72"/>
    <n v="9441.9554400000034"/>
    <n v="0.41262462795303284"/>
    <s v="High"/>
    <s v="Not Met"/>
    <x v="0"/>
  </r>
  <r>
    <s v="ORD-2023-594700"/>
    <d v="2023-07-18T00:00:00"/>
    <s v="Jul-2023"/>
    <s v="Q3-2023"/>
    <d v="2023-07-22T00:00:00"/>
    <d v="2023-07-22T00:00:00"/>
    <n v="4"/>
    <x v="2"/>
    <s v="Brazil"/>
    <s v="São Paulo"/>
    <s v="Consumer"/>
    <s v="Direct"/>
    <x v="6"/>
    <s v="Networking"/>
    <s v="NET-1699"/>
    <n v="1269.55"/>
    <n v="2071.1"/>
    <x v="22"/>
    <b v="0"/>
    <n v="22"/>
    <n v="39686.4182"/>
    <n v="27930.1"/>
    <n v="11756.318200000002"/>
    <n v="0.29623026549672354"/>
    <s v="High"/>
    <s v="Met"/>
    <x v="0"/>
  </r>
  <r>
    <s v="ORD-2024-257550"/>
    <d v="2024-12-27T00:00:00"/>
    <s v="Dec-2024"/>
    <s v="Q4-2024"/>
    <d v="2024-12-29T00:00:00"/>
    <d v="2024-12-29T00:00:00"/>
    <n v="2"/>
    <x v="2"/>
    <s v="Canada"/>
    <s v="Vancouver"/>
    <s v="Enterprise"/>
    <s v="Marketplace"/>
    <x v="8"/>
    <s v="Accessories"/>
    <s v="ACC-8620"/>
    <n v="1146.72"/>
    <n v="2074.34"/>
    <x v="94"/>
    <b v="0"/>
    <n v="8"/>
    <n v="14752.706080000002"/>
    <n v="9173.76"/>
    <n v="5578.9460800000015"/>
    <n v="0.37816425337472737"/>
    <s v="High"/>
    <s v="Met"/>
    <x v="0"/>
  </r>
  <r>
    <s v="ORD-2025-673091"/>
    <d v="2025-05-07T00:00:00"/>
    <s v="May-2025"/>
    <s v="Q2-2025"/>
    <d v="2025-05-13T00:00:00"/>
    <d v="2025-05-13T00:00:00"/>
    <n v="6"/>
    <x v="3"/>
    <s v="India"/>
    <s v="Bengaluru"/>
    <s v="Enterprise"/>
    <s v="Direct"/>
    <x v="3"/>
    <s v="Phones"/>
    <s v="PHN-5683"/>
    <n v="935.98"/>
    <n v="2077.69"/>
    <x v="143"/>
    <b v="0"/>
    <n v="24"/>
    <n v="41138.261999999995"/>
    <n v="22463.52"/>
    <n v="18674.741999999995"/>
    <n v="0.45395067978321491"/>
    <s v="High"/>
    <s v="Met"/>
    <x v="0"/>
  </r>
  <r>
    <s v="ORD-2023-271836"/>
    <d v="2023-02-07T00:00:00"/>
    <s v="Feb-2023"/>
    <s v="Q1-2023"/>
    <d v="2023-02-12T00:00:00"/>
    <d v="2023-02-12T00:00:00"/>
    <n v="5"/>
    <x v="2"/>
    <s v="Brazil"/>
    <s v="São Paulo"/>
    <s v="Education"/>
    <s v="Online"/>
    <x v="9"/>
    <s v="Components"/>
    <s v="CMP-2693"/>
    <n v="948.55"/>
    <n v="2089.16"/>
    <x v="197"/>
    <b v="0"/>
    <n v="12"/>
    <n v="24894.430559999997"/>
    <n v="11382.599999999999"/>
    <n v="13511.830559999999"/>
    <n v="0.54276519912492427"/>
    <s v="High"/>
    <s v="Met"/>
    <x v="0"/>
  </r>
  <r>
    <s v="ORD-2024-451005"/>
    <d v="2024-06-30T00:00:00"/>
    <s v="Jun-2024"/>
    <s v="Q2-2024"/>
    <d v="2024-06-28T00:00:00"/>
    <d v="2024-07-14T00:00:00"/>
    <n v="14"/>
    <x v="2"/>
    <s v="Brazil"/>
    <s v="Rio de Janeiro"/>
    <s v="Small Business"/>
    <s v="Direct"/>
    <x v="5"/>
    <s v="Accessories"/>
    <s v="ACC-9162"/>
    <n v="1112.98"/>
    <n v="2095.73"/>
    <x v="13"/>
    <b v="0"/>
    <n v="17"/>
    <n v="33062.236480000007"/>
    <n v="18920.66"/>
    <n v="14141.576480000007"/>
    <n v="0.42772594916724777"/>
    <s v="High"/>
    <s v="Not Met"/>
    <x v="0"/>
  </r>
  <r>
    <s v="ORD-2023-780206"/>
    <d v="2023-01-19T00:00:00"/>
    <s v="Jan-2023"/>
    <s v="Q1-2023"/>
    <d v="2023-02-03T00:00:00"/>
    <d v="2023-02-03T00:00:00"/>
    <n v="15"/>
    <x v="0"/>
    <s v="United Kingdom"/>
    <s v="London"/>
    <s v="Enterprise"/>
    <s v="Distributor"/>
    <x v="14"/>
    <s v="Accessories"/>
    <s v="ACC-3645"/>
    <n v="873.06"/>
    <n v="2101.5500000000002"/>
    <x v="26"/>
    <b v="0"/>
    <n v="10"/>
    <n v="19628.476999999999"/>
    <n v="8730.5999999999985"/>
    <n v="10897.877"/>
    <n v="0.55520746719167269"/>
    <s v="High"/>
    <s v="Not Met"/>
    <x v="0"/>
  </r>
  <r>
    <s v="ORD-2023-667815"/>
    <d v="2023-10-21T00:00:00"/>
    <s v="Oct-2023"/>
    <s v="Q4-2023"/>
    <d v="2023-11-09T00:00:00"/>
    <d v="2023-11-09T00:00:00"/>
    <n v="19"/>
    <x v="0"/>
    <s v="United Kingdom"/>
    <s v="London"/>
    <s v="Non-Profit"/>
    <s v="Direct"/>
    <x v="13"/>
    <s v="Accessories"/>
    <s v="ACC-8557"/>
    <n v="1142.48"/>
    <n v="2105.5300000000002"/>
    <x v="122"/>
    <b v="0"/>
    <n v="14"/>
    <n v="23375.594060000003"/>
    <n v="15994.720000000001"/>
    <n v="7380.8740600000019"/>
    <n v="0.31575129346680658"/>
    <s v="High"/>
    <s v="Not Met"/>
    <x v="1"/>
  </r>
  <r>
    <s v="ORD-2025-929414"/>
    <d v="2025-06-26T00:00:00"/>
    <s v="Jun-2025"/>
    <s v="Q2-2025"/>
    <d v="2025-07-11T00:00:00"/>
    <d v="2025-07-11T00:00:00"/>
    <n v="15"/>
    <x v="1"/>
    <s v="Nigeria"/>
    <s v="Port Harcourt"/>
    <s v="Small Business"/>
    <s v="Online"/>
    <x v="13"/>
    <s v="Laptops"/>
    <s v="LAP-7523"/>
    <n v="1170.1500000000001"/>
    <n v="2115.19"/>
    <x v="63"/>
    <b v="0"/>
    <n v="23"/>
    <n v="44173.627960000005"/>
    <n v="26913.45"/>
    <n v="17260.177960000005"/>
    <n v="0.39073489674946776"/>
    <s v="High"/>
    <s v="Not Met"/>
    <x v="0"/>
  </r>
  <r>
    <s v="ORD-2024-915495"/>
    <d v="2024-08-08T00:00:00"/>
    <s v="Aug-2024"/>
    <s v="Q3-2024"/>
    <d v="2024-08-20T00:00:00"/>
    <d v="2024-08-20T00:00:00"/>
    <n v="12"/>
    <x v="3"/>
    <s v="Japan"/>
    <s v="Osaka"/>
    <s v="Small Business"/>
    <s v="Retail"/>
    <x v="2"/>
    <s v="Networking"/>
    <s v="NET-8957"/>
    <n v="1233.3599999999999"/>
    <n v="2120.4"/>
    <x v="15"/>
    <b v="0"/>
    <n v="20"/>
    <n v="34816.968000000001"/>
    <n v="24667.199999999997"/>
    <n v="10149.768000000004"/>
    <n v="0.29151785991244278"/>
    <s v="High"/>
    <s v="Not Met"/>
    <x v="0"/>
  </r>
  <r>
    <s v="ORD-2024-851993"/>
    <d v="2024-05-01T00:00:00"/>
    <s v="May-2024"/>
    <s v="Q2-2024"/>
    <d v="2024-05-16T00:00:00"/>
    <d v="2024-05-16T00:00:00"/>
    <n v="15"/>
    <x v="3"/>
    <s v="India"/>
    <s v="Bengaluru"/>
    <s v="Small Business"/>
    <s v="Retail"/>
    <x v="5"/>
    <s v="Components"/>
    <s v="CMP-6811"/>
    <n v="901.19"/>
    <n v="2125.44"/>
    <x v="55"/>
    <b v="0"/>
    <n v="12"/>
    <n v="23694.405119999999"/>
    <n v="10814.28"/>
    <n v="12880.125119999999"/>
    <n v="0.54359352154100415"/>
    <s v="High"/>
    <s v="Not Met"/>
    <x v="0"/>
  </r>
  <r>
    <s v="ORD-2023-109927"/>
    <d v="2023-07-22T00:00:00"/>
    <s v="Jul-2023"/>
    <s v="Q3-2023"/>
    <d v="2023-07-21T00:00:00"/>
    <d v="2023-08-05T00:00:00"/>
    <n v="14"/>
    <x v="3"/>
    <s v="India"/>
    <s v="Delhi"/>
    <s v="Small Business"/>
    <s v="Distributor"/>
    <x v="10"/>
    <s v="Printers"/>
    <s v="PRN-2301"/>
    <n v="946.99"/>
    <n v="2132.19"/>
    <x v="73"/>
    <b v="0"/>
    <n v="7"/>
    <n v="12462.65055"/>
    <n v="6628.93"/>
    <n v="5833.72055"/>
    <n v="0.46809629513362228"/>
    <s v="High"/>
    <s v="Not Met"/>
    <x v="0"/>
  </r>
  <r>
    <s v="ORD-2023-368449"/>
    <d v="2023-10-09T00:00:00"/>
    <s v="Oct-2023"/>
    <s v="Q4-2023"/>
    <d v="2023-10-26T00:00:00"/>
    <d v="2023-10-26T00:00:00"/>
    <n v="17"/>
    <x v="3"/>
    <s v="China"/>
    <s v="Shanghai"/>
    <s v="Consumer"/>
    <s v="Marketplace"/>
    <x v="8"/>
    <s v="Components"/>
    <s v="CMP-2096"/>
    <n v="1132.03"/>
    <n v="2137.21"/>
    <x v="33"/>
    <b v="0"/>
    <n v="35"/>
    <n v="74802.350000000006"/>
    <n v="39621.049999999996"/>
    <n v="35181.30000000001"/>
    <n v="0.47032345908918649"/>
    <s v="High"/>
    <s v="Not Met"/>
    <x v="0"/>
  </r>
  <r>
    <s v="ORD-2024-201376"/>
    <d v="2024-02-18T00:00:00"/>
    <s v="Feb-2024"/>
    <s v="Q1-2024"/>
    <d v="2024-03-04T00:00:00"/>
    <d v="2024-03-04T00:00:00"/>
    <n v="15"/>
    <x v="1"/>
    <s v="Kenya"/>
    <s v="Kisumu"/>
    <s v="Education"/>
    <s v="Direct"/>
    <x v="12"/>
    <s v="Printers"/>
    <s v="PRN-7089"/>
    <n v="928.68"/>
    <n v="2145.17"/>
    <x v="123"/>
    <b v="0"/>
    <n v="16"/>
    <n v="29654.83008"/>
    <n v="14858.88"/>
    <n v="14795.950080000001"/>
    <n v="0.49893896003062177"/>
    <s v="High"/>
    <s v="Not Met"/>
    <x v="0"/>
  </r>
  <r>
    <s v="ORD-2025-745263"/>
    <d v="2025-05-21T00:00:00"/>
    <s v="May-2025"/>
    <s v="Q2-2025"/>
    <d v="2025-05-19T00:00:00"/>
    <d v="2025-06-04T00:00:00"/>
    <n v="14"/>
    <x v="0"/>
    <s v="United Kingdom"/>
    <s v="Birmingham"/>
    <s v="Enterprise"/>
    <s v="Online"/>
    <x v="7"/>
    <s v="Laptops"/>
    <s v="LAP-3385"/>
    <n v="1015.16"/>
    <n v="2148.14"/>
    <x v="44"/>
    <b v="0"/>
    <n v="19"/>
    <n v="39263.702919999996"/>
    <n v="19288.04"/>
    <n v="19975.662919999995"/>
    <n v="0.50875647059322227"/>
    <s v="High"/>
    <s v="Not Met"/>
    <x v="0"/>
  </r>
  <r>
    <s v="ORD-2023-715175"/>
    <d v="2023-06-15T00:00:00"/>
    <s v="Jun-2023"/>
    <s v="Q2-2023"/>
    <d v="2023-06-23T00:00:00"/>
    <d v="2023-06-23T00:00:00"/>
    <n v="8"/>
    <x v="2"/>
    <s v="USA"/>
    <s v="San Francisco"/>
    <s v="Consumer"/>
    <s v="Distributor"/>
    <x v="11"/>
    <s v="Monitors"/>
    <s v="MON-5424"/>
    <n v="1097.0899999999999"/>
    <n v="2182.31"/>
    <x v="105"/>
    <b v="0"/>
    <n v="9"/>
    <n v="17441.021520000002"/>
    <n v="9873.81"/>
    <n v="7567.2115200000026"/>
    <n v="0.43387432962699546"/>
    <s v="High"/>
    <s v="Not Met"/>
    <x v="0"/>
  </r>
  <r>
    <s v="ORD-2025-795385"/>
    <d v="2025-06-01T00:00:00"/>
    <s v="Jun-2025"/>
    <s v="Q2-2025"/>
    <d v="2025-06-05T00:00:00"/>
    <d v="2025-06-05T00:00:00"/>
    <n v="4"/>
    <x v="0"/>
    <s v="Germany"/>
    <s v="Munich"/>
    <s v="Enterprise"/>
    <s v="Direct"/>
    <x v="7"/>
    <s v="Components"/>
    <s v="CMP-4159"/>
    <n v="1171.42"/>
    <n v="2187.8000000000002"/>
    <x v="198"/>
    <b v="0"/>
    <n v="15"/>
    <n v="25269.09"/>
    <n v="17571.300000000003"/>
    <n v="7697.7899999999972"/>
    <n v="0.30463265594447592"/>
    <s v="High"/>
    <s v="Met"/>
    <x v="1"/>
  </r>
  <r>
    <s v="ORD-2023-728177"/>
    <d v="2023-12-18T00:00:00"/>
    <s v="Dec-2023"/>
    <s v="Q4-2023"/>
    <d v="2024-01-14T00:00:00"/>
    <d v="2024-01-14T00:00:00"/>
    <n v="27"/>
    <x v="3"/>
    <s v="India"/>
    <s v="Mumbai"/>
    <s v="Consumer"/>
    <s v="Distributor"/>
    <x v="0"/>
    <s v="Networking"/>
    <s v="NET-6014"/>
    <n v="1408.3"/>
    <n v="2193.13"/>
    <x v="55"/>
    <b v="0"/>
    <n v="7"/>
    <n v="14261.92439"/>
    <n v="9858.1"/>
    <n v="4403.8243899999998"/>
    <n v="0.30878191957656281"/>
    <s v="High"/>
    <s v="Not Met"/>
    <x v="0"/>
  </r>
  <r>
    <s v="ORD-2025-188059"/>
    <d v="2025-06-27T00:00:00"/>
    <s v="Jun-2025"/>
    <s v="Q2-2025"/>
    <d v="2025-07-11T00:00:00"/>
    <d v="2025-07-11T00:00:00"/>
    <n v="14"/>
    <x v="3"/>
    <s v="China"/>
    <s v="Shanghai"/>
    <s v="Small Business"/>
    <s v="Marketplace"/>
    <x v="5"/>
    <s v="Networking"/>
    <s v="NET-3535"/>
    <n v="1227.7"/>
    <n v="2197.23"/>
    <x v="147"/>
    <b v="0"/>
    <n v="22"/>
    <n v="43553.493060000001"/>
    <n v="27009.4"/>
    <n v="16544.093059999999"/>
    <n v="0.37985685871873898"/>
    <s v="High"/>
    <s v="Not Met"/>
    <x v="0"/>
  </r>
  <r>
    <s v="ORD-2025-281062"/>
    <d v="2025-02-15T00:00:00"/>
    <s v="Feb-2025"/>
    <s v="Q1-2025"/>
    <d v="2025-02-27T00:00:00"/>
    <d v="2025-02-27T00:00:00"/>
    <n v="12"/>
    <x v="0"/>
    <s v="France"/>
    <s v="Lyon"/>
    <s v="Non-Profit"/>
    <s v="Direct"/>
    <x v="12"/>
    <s v="Accessories"/>
    <s v="ACC-1604"/>
    <n v="1027.26"/>
    <n v="2200.41"/>
    <x v="127"/>
    <b v="0"/>
    <n v="6"/>
    <n v="12040.64352"/>
    <n v="6163.5599999999995"/>
    <n v="5877.0835200000001"/>
    <n v="0.48810377204822358"/>
    <s v="High"/>
    <s v="Not Met"/>
    <x v="0"/>
  </r>
  <r>
    <s v="ORD-2024-510591"/>
    <d v="2024-04-03T00:00:00"/>
    <s v="Apr-2024"/>
    <s v="Q2-2024"/>
    <d v="2024-04-21T00:00:00"/>
    <d v="2024-04-21T00:00:00"/>
    <n v="18"/>
    <x v="2"/>
    <s v="Brazil"/>
    <s v="Brasília"/>
    <s v="Small Business"/>
    <s v="Distributor"/>
    <x v="4"/>
    <s v="Networking"/>
    <s v="NET-3850"/>
    <n v="1176.69"/>
    <n v="2201.54"/>
    <x v="192"/>
    <b v="0"/>
    <n v="27"/>
    <n v="49336.511399999996"/>
    <n v="31770.63"/>
    <n v="17565.881399999995"/>
    <n v="0.35604222717701106"/>
    <s v="High"/>
    <s v="Not Met"/>
    <x v="0"/>
  </r>
  <r>
    <s v="ORD-2024-237478"/>
    <d v="2024-10-03T00:00:00"/>
    <s v="Oct-2024"/>
    <s v="Q4-2024"/>
    <d v="2024-10-11T00:00:00"/>
    <d v="2024-10-11T00:00:00"/>
    <n v="8"/>
    <x v="3"/>
    <s v="China"/>
    <s v="Beijing"/>
    <s v="Enterprise"/>
    <s v="Direct"/>
    <x v="4"/>
    <s v="Phones"/>
    <s v="PHN-7488"/>
    <n v="1132.6099999999999"/>
    <n v="2206.63"/>
    <x v="154"/>
    <b v="0"/>
    <n v="20"/>
    <n v="41352.246200000009"/>
    <n v="22652.199999999997"/>
    <n v="18700.046200000012"/>
    <n v="0.45221355351671338"/>
    <s v="High"/>
    <s v="Not Met"/>
    <x v="0"/>
  </r>
  <r>
    <s v="ORD-2024-626925"/>
    <d v="2024-06-07T00:00:00"/>
    <s v="Jun-2024"/>
    <s v="Q2-2024"/>
    <d v="2024-06-09T00:00:00"/>
    <d v="2024-06-09T00:00:00"/>
    <n v="2"/>
    <x v="3"/>
    <s v="China"/>
    <s v="Shanghai"/>
    <s v="Corporate"/>
    <s v="Retail"/>
    <x v="11"/>
    <s v="Monitors"/>
    <s v="MON-8688"/>
    <n v="1370.28"/>
    <n v="2209.66"/>
    <x v="59"/>
    <b v="0"/>
    <n v="16"/>
    <n v="30652.403519999996"/>
    <n v="21924.48"/>
    <n v="8727.9235199999966"/>
    <n v="0.28473863442079589"/>
    <s v="High"/>
    <s v="Met"/>
    <x v="0"/>
  </r>
  <r>
    <s v="ORD-2024-886939"/>
    <d v="2024-06-03T00:00:00"/>
    <s v="Jun-2024"/>
    <s v="Q2-2024"/>
    <d v="2024-06-24T00:00:00"/>
    <d v="2024-06-24T00:00:00"/>
    <n v="21"/>
    <x v="2"/>
    <s v="Canada"/>
    <s v="Toronto"/>
    <s v="Small Business"/>
    <s v="Direct"/>
    <x v="14"/>
    <s v="Monitors"/>
    <s v="MON-5386"/>
    <n v="1205.5"/>
    <n v="2210.17"/>
    <x v="101"/>
    <b v="0"/>
    <n v="23"/>
    <n v="45547.183360000003"/>
    <n v="27726.5"/>
    <n v="17820.683360000003"/>
    <n v="0.39125763758314652"/>
    <s v="High"/>
    <s v="Not Met"/>
    <x v="0"/>
  </r>
  <r>
    <s v="ORD-2024-544865"/>
    <d v="2024-02-16T00:00:00"/>
    <s v="Feb-2024"/>
    <s v="Q1-2024"/>
    <d v="2024-03-04T00:00:00"/>
    <d v="2024-03-04T00:00:00"/>
    <n v="17"/>
    <x v="2"/>
    <s v="Canada"/>
    <s v="Montreal"/>
    <s v="Non-Profit"/>
    <s v="Retail"/>
    <x v="0"/>
    <s v="Laptops"/>
    <s v="LAP-2774"/>
    <n v="1350.98"/>
    <n v="2210.4"/>
    <x v="199"/>
    <b v="0"/>
    <n v="6"/>
    <n v="9774.3888000000006"/>
    <n v="8105.88"/>
    <n v="1668.5088000000005"/>
    <n v="0.17070211080615091"/>
    <s v="High"/>
    <s v="Not Met"/>
    <x v="1"/>
  </r>
  <r>
    <s v="ORD-2023-184577"/>
    <d v="2023-05-17T00:00:00"/>
    <s v="May-2023"/>
    <s v="Q2-2023"/>
    <d v="2023-06-03T00:00:00"/>
    <d v="2023-06-03T00:00:00"/>
    <n v="17"/>
    <x v="3"/>
    <s v="China"/>
    <s v="Beijing"/>
    <s v="Non-Profit"/>
    <s v="Distributor"/>
    <x v="7"/>
    <s v="Printers"/>
    <s v="PRN-1923"/>
    <n v="979.59"/>
    <n v="2210.94"/>
    <x v="200"/>
    <b v="0"/>
    <n v="11"/>
    <n v="20672.289000000001"/>
    <n v="10775.49"/>
    <n v="9896.7990000000009"/>
    <n v="0.47874712858358359"/>
    <s v="High"/>
    <s v="Not Met"/>
    <x v="0"/>
  </r>
  <r>
    <s v="ORD-2024-948800"/>
    <d v="2024-03-27T00:00:00"/>
    <s v="Mar-2024"/>
    <s v="Q1-2024"/>
    <d v="2024-04-11T00:00:00"/>
    <d v="2024-04-11T00:00:00"/>
    <n v="15"/>
    <x v="2"/>
    <s v="USA"/>
    <s v="San Francisco"/>
    <s v="Small Business"/>
    <s v="Direct"/>
    <x v="11"/>
    <s v="Networking"/>
    <s v="NET-5523"/>
    <n v="1338.35"/>
    <n v="2247.14"/>
    <x v="68"/>
    <b v="0"/>
    <n v="40"/>
    <n v="79548.755999999994"/>
    <n v="53534"/>
    <n v="26014.755999999994"/>
    <n v="0.32702907384246205"/>
    <s v="High"/>
    <s v="Not Met"/>
    <x v="0"/>
  </r>
  <r>
    <s v="ORD-2024-286833"/>
    <d v="2024-08-14T00:00:00"/>
    <s v="Aug-2024"/>
    <s v="Q3-2024"/>
    <d v="2024-09-04T00:00:00"/>
    <d v="2024-09-04T00:00:00"/>
    <n v="21"/>
    <x v="0"/>
    <s v="United Kingdom"/>
    <s v="Manchester"/>
    <s v="Non-Profit"/>
    <s v="Online"/>
    <x v="3"/>
    <s v="Phones"/>
    <s v="PHN-2341"/>
    <n v="1138.8"/>
    <n v="2250.81"/>
    <x v="148"/>
    <b v="0"/>
    <n v="12"/>
    <n v="23687.524440000001"/>
    <n v="13665.599999999999"/>
    <n v="10021.924440000003"/>
    <n v="0.42308872188756258"/>
    <s v="High"/>
    <s v="Not Met"/>
    <x v="0"/>
  </r>
  <r>
    <s v="ORD-2023-906481"/>
    <d v="2023-05-02T00:00:00"/>
    <s v="May-2023"/>
    <s v="Q2-2023"/>
    <d v="2023-05-18T00:00:00"/>
    <d v="2023-05-18T00:00:00"/>
    <n v="16"/>
    <x v="3"/>
    <s v="India"/>
    <s v="Delhi"/>
    <s v="Small Business"/>
    <s v="Marketplace"/>
    <x v="12"/>
    <s v="Monitors"/>
    <s v="MON-2266"/>
    <n v="1463.92"/>
    <n v="2252.2399999999998"/>
    <x v="4"/>
    <b v="0"/>
    <n v="44"/>
    <n v="87404.929919999995"/>
    <n v="64412.480000000003"/>
    <n v="22992.449919999992"/>
    <n v="0.26305667130040061"/>
    <s v="High"/>
    <s v="Not Met"/>
    <x v="0"/>
  </r>
  <r>
    <s v="ORD-2025-964661"/>
    <d v="2025-02-04T00:00:00"/>
    <s v="Feb-2025"/>
    <s v="Q1-2025"/>
    <d v="2025-02-25T00:00:00"/>
    <d v="2025-02-25T00:00:00"/>
    <n v="21"/>
    <x v="0"/>
    <s v="United Kingdom"/>
    <s v="Birmingham"/>
    <s v="Corporate"/>
    <s v="Marketplace"/>
    <x v="0"/>
    <s v="Monitors"/>
    <s v="MON-4959"/>
    <n v="1016.32"/>
    <n v="2253.42"/>
    <x v="168"/>
    <b v="0"/>
    <n v="12"/>
    <n v="25553.782800000001"/>
    <n v="12195.84"/>
    <n v="13357.942800000001"/>
    <n v="0.52273837124419797"/>
    <s v="High"/>
    <s v="Not Met"/>
    <x v="0"/>
  </r>
  <r>
    <s v="ORD-2023-825836"/>
    <d v="2023-07-19T00:00:00"/>
    <s v="Jul-2023"/>
    <s v="Q3-2023"/>
    <d v="2023-07-31T00:00:00"/>
    <d v="2023-07-31T00:00:00"/>
    <n v="12"/>
    <x v="2"/>
    <s v="Brazil"/>
    <s v="Rio de Janeiro"/>
    <s v="Corporate"/>
    <s v="Retail"/>
    <x v="8"/>
    <s v="Monitors"/>
    <s v="MON-7869"/>
    <n v="1334.64"/>
    <n v="2273.42"/>
    <x v="4"/>
    <b v="0"/>
    <n v="14"/>
    <n v="28072.190160000002"/>
    <n v="18684.960000000003"/>
    <n v="9387.2301599999992"/>
    <n v="0.33439607335575267"/>
    <s v="High"/>
    <s v="Not Met"/>
    <x v="0"/>
  </r>
  <r>
    <s v="ORD-2025-700847"/>
    <d v="2025-05-21T00:00:00"/>
    <s v="May-2025"/>
    <s v="Q2-2025"/>
    <d v="2025-05-19T00:00:00"/>
    <d v="2025-06-04T00:00:00"/>
    <n v="14"/>
    <x v="1"/>
    <s v="South Africa"/>
    <s v="Johannesburg"/>
    <s v="Non-Profit"/>
    <s v="Distributor"/>
    <x v="11"/>
    <s v="Laptops"/>
    <s v="LAP-7099"/>
    <n v="1263.8399999999999"/>
    <n v="2281.7199999999998"/>
    <x v="78"/>
    <b v="0"/>
    <n v="15"/>
    <n v="31556.187599999997"/>
    <n v="18957.599999999999"/>
    <n v="12598.587599999999"/>
    <n v="0.39924301882398494"/>
    <s v="High"/>
    <s v="Not Met"/>
    <x v="0"/>
  </r>
  <r>
    <s v="ORD-2023-885216"/>
    <d v="2023-08-03T00:00:00"/>
    <s v="Aug-2023"/>
    <s v="Q3-2023"/>
    <d v="2023-08-02T00:00:00"/>
    <d v="2023-08-17T00:00:00"/>
    <n v="14"/>
    <x v="3"/>
    <s v="China"/>
    <s v="Shanghai"/>
    <s v="Non-Profit"/>
    <s v="Direct"/>
    <x v="3"/>
    <s v="Networking"/>
    <s v="NET-4735"/>
    <n v="1021.97"/>
    <n v="2296.25"/>
    <x v="201"/>
    <b v="0"/>
    <n v="26"/>
    <n v="50090.397499999999"/>
    <n v="26571.22"/>
    <n v="23519.177499999998"/>
    <n v="0.46953465482081669"/>
    <s v="High"/>
    <s v="Not Met"/>
    <x v="0"/>
  </r>
  <r>
    <s v="ORD-2025-480172"/>
    <d v="2025-06-17T00:00:00"/>
    <s v="Jun-2025"/>
    <s v="Q2-2025"/>
    <d v="2025-07-05T00:00:00"/>
    <d v="2025-07-05T00:00:00"/>
    <n v="18"/>
    <x v="3"/>
    <s v="India"/>
    <s v="Delhi"/>
    <s v="Consumer"/>
    <s v="Marketplace"/>
    <x v="5"/>
    <s v="Laptops"/>
    <s v="LAP-1990"/>
    <n v="982.93"/>
    <n v="2299.3000000000002"/>
    <x v="61"/>
    <b v="0"/>
    <n v="6"/>
    <n v="12236.874600000001"/>
    <n v="5897.58"/>
    <n v="6339.2946000000011"/>
    <n v="0.51804850562087157"/>
    <s v="High"/>
    <s v="Not Met"/>
    <x v="0"/>
  </r>
  <r>
    <s v="ORD-2025-624006"/>
    <d v="2025-03-15T00:00:00"/>
    <s v="Mar-2025"/>
    <s v="Q1-2025"/>
    <d v="2025-03-29T00:00:00"/>
    <d v="2025-03-29T00:00:00"/>
    <n v="14"/>
    <x v="3"/>
    <s v="India"/>
    <s v="Mumbai"/>
    <s v="Enterprise"/>
    <s v="Direct"/>
    <x v="8"/>
    <s v="Components"/>
    <s v="CMP-3259"/>
    <n v="935.83"/>
    <n v="2303.46"/>
    <x v="99"/>
    <b v="0"/>
    <n v="9"/>
    <n v="18554.370299999999"/>
    <n v="8422.4700000000012"/>
    <n v="10131.900299999998"/>
    <n v="0.54606543559174292"/>
    <s v="High"/>
    <s v="Not Met"/>
    <x v="0"/>
  </r>
  <r>
    <s v="ORD-2024-594527"/>
    <d v="2024-09-06T00:00:00"/>
    <s v="Sep-2024"/>
    <s v="Q3-2024"/>
    <d v="2024-09-04T00:00:00"/>
    <d v="2024-09-20T00:00:00"/>
    <n v="14"/>
    <x v="3"/>
    <s v="Japan"/>
    <s v="Osaka"/>
    <s v="Corporate"/>
    <s v="Direct"/>
    <x v="13"/>
    <s v="Laptops"/>
    <s v="LAP-4483"/>
    <n v="1368.17"/>
    <n v="2307.75"/>
    <x v="52"/>
    <b v="0"/>
    <n v="21"/>
    <n v="40563.321749999996"/>
    <n v="28731.57"/>
    <n v="11831.751749999996"/>
    <n v="0.29168596750831921"/>
    <s v="High"/>
    <s v="Not Met"/>
    <x v="0"/>
  </r>
  <r>
    <s v="ORD-2025-997421"/>
    <d v="2025-05-21T00:00:00"/>
    <s v="May-2025"/>
    <s v="Q2-2025"/>
    <d v="2025-06-09T00:00:00"/>
    <d v="2025-06-09T00:00:00"/>
    <n v="19"/>
    <x v="2"/>
    <s v="Brazil"/>
    <s v="São Paulo"/>
    <s v="Non-Profit"/>
    <s v="Online"/>
    <x v="13"/>
    <s v="Components"/>
    <s v="CMP-3731"/>
    <n v="1331.38"/>
    <n v="2309.56"/>
    <x v="109"/>
    <b v="0"/>
    <n v="31"/>
    <n v="60928.502359999999"/>
    <n v="41272.780000000006"/>
    <n v="19655.722359999992"/>
    <n v="0.32260307735553528"/>
    <s v="High"/>
    <s v="Not Met"/>
    <x v="0"/>
  </r>
  <r>
    <s v="ORD-2023-974506"/>
    <d v="2023-12-28T00:00:00"/>
    <s v="Dec-2023"/>
    <s v="Q4-2023"/>
    <d v="2024-01-01T00:00:00"/>
    <d v="2024-01-01T00:00:00"/>
    <n v="4"/>
    <x v="1"/>
    <s v="South Africa"/>
    <s v="Cape Town"/>
    <s v="Education"/>
    <s v="Distributor"/>
    <x v="13"/>
    <s v="Printers"/>
    <s v="PRN-1654"/>
    <n v="1141.8"/>
    <n v="2318.7399999999998"/>
    <x v="41"/>
    <b v="0"/>
    <n v="32"/>
    <n v="66260.314239999992"/>
    <n v="36537.599999999999"/>
    <n v="29722.714239999994"/>
    <n v="0.44857490612468304"/>
    <s v="High"/>
    <s v="Met"/>
    <x v="0"/>
  </r>
  <r>
    <s v="ORD-2024-515105"/>
    <d v="2024-02-27T00:00:00"/>
    <s v="Feb-2024"/>
    <s v="Q1-2024"/>
    <d v="2024-03-26T00:00:00"/>
    <d v="2024-03-26T00:00:00"/>
    <n v="28"/>
    <x v="3"/>
    <s v="India"/>
    <s v="Mumbai"/>
    <s v="Education"/>
    <s v="Marketplace"/>
    <x v="14"/>
    <s v="Laptops"/>
    <s v="LAP-8469"/>
    <n v="1035.19"/>
    <n v="2322.6999999999998"/>
    <x v="16"/>
    <b v="0"/>
    <n v="8"/>
    <n v="15366.983199999999"/>
    <n v="8281.52"/>
    <n v="7085.4631999999983"/>
    <n v="0.46108355217047409"/>
    <s v="High"/>
    <s v="Not Met"/>
    <x v="0"/>
  </r>
  <r>
    <s v="ORD-2023-867285"/>
    <d v="2023-04-12T00:00:00"/>
    <s v="Apr-2023"/>
    <s v="Q2-2023"/>
    <d v="2023-04-17T00:00:00"/>
    <d v="2023-04-17T00:00:00"/>
    <n v="5"/>
    <x v="0"/>
    <s v="France"/>
    <s v="Lyon"/>
    <s v="Enterprise"/>
    <s v="Direct"/>
    <x v="10"/>
    <s v="Monitors"/>
    <s v="MON-3043"/>
    <n v="1087.81"/>
    <n v="2323.87"/>
    <x v="75"/>
    <b v="0"/>
    <n v="13"/>
    <n v="27370.540859999997"/>
    <n v="14141.529999999999"/>
    <n v="13229.010859999999"/>
    <n v="0.48333026839572651"/>
    <s v="High"/>
    <s v="Met"/>
    <x v="0"/>
  </r>
  <r>
    <s v="ORD-2024-580808"/>
    <d v="2024-06-16T00:00:00"/>
    <s v="Jun-2024"/>
    <s v="Q2-2024"/>
    <d v="2024-07-03T00:00:00"/>
    <d v="2024-07-03T00:00:00"/>
    <n v="17"/>
    <x v="1"/>
    <s v="South Africa"/>
    <s v="Johannesburg"/>
    <s v="Enterprise"/>
    <s v="Marketplace"/>
    <x v="6"/>
    <s v="Phones"/>
    <s v="PHN-6832"/>
    <n v="1173.83"/>
    <n v="2328.9"/>
    <x v="38"/>
    <b v="0"/>
    <n v="17"/>
    <n v="34840.344000000005"/>
    <n v="19955.11"/>
    <n v="14885.234000000004"/>
    <n v="0.42724130393201637"/>
    <s v="High"/>
    <s v="Not Met"/>
    <x v="0"/>
  </r>
  <r>
    <s v="ORD-2023-619493"/>
    <d v="2023-02-27T00:00:00"/>
    <s v="Feb-2023"/>
    <s v="Q1-2023"/>
    <d v="2023-02-26T00:00:00"/>
    <d v="2023-03-13T00:00:00"/>
    <n v="14"/>
    <x v="2"/>
    <s v="USA"/>
    <s v="San Francisco"/>
    <s v="Non-Profit"/>
    <s v="Online"/>
    <x v="5"/>
    <s v="Networking"/>
    <s v="NET-1282"/>
    <n v="1015.91"/>
    <n v="2331.48"/>
    <x v="160"/>
    <b v="0"/>
    <n v="26"/>
    <n v="51768.181920000003"/>
    <n v="26413.66"/>
    <n v="25354.521920000003"/>
    <n v="0.48977037592669626"/>
    <s v="High"/>
    <s v="Not Met"/>
    <x v="0"/>
  </r>
  <r>
    <s v="ORD-2024-686712"/>
    <d v="2024-10-02T00:00:00"/>
    <s v="Oct-2024"/>
    <s v="Q4-2024"/>
    <d v="2024-10-23T00:00:00"/>
    <d v="2024-10-23T00:00:00"/>
    <n v="21"/>
    <x v="1"/>
    <s v="South Africa"/>
    <s v="Durban"/>
    <s v="Corporate"/>
    <s v="Marketplace"/>
    <x v="13"/>
    <s v="Components"/>
    <s v="CMP-3978"/>
    <n v="1095.6099999999999"/>
    <n v="2366.5100000000002"/>
    <x v="146"/>
    <b v="0"/>
    <n v="9"/>
    <n v="18061.204320000004"/>
    <n v="9860.49"/>
    <n v="8200.7143200000046"/>
    <n v="0.4540513564158607"/>
    <s v="High"/>
    <s v="Not Met"/>
    <x v="0"/>
  </r>
  <r>
    <s v="ORD-2025-843974"/>
    <d v="2025-07-20T00:00:00"/>
    <s v="Jul-2025"/>
    <s v="Q3-2025"/>
    <d v="2025-08-05T00:00:00"/>
    <d v="2025-08-05T00:00:00"/>
    <n v="16"/>
    <x v="2"/>
    <s v="Brazil"/>
    <s v="Brasília"/>
    <s v="Enterprise"/>
    <s v="Marketplace"/>
    <x v="14"/>
    <s v="Accessories"/>
    <s v="ACC-8098"/>
    <n v="1068.17"/>
    <n v="2375.37"/>
    <x v="144"/>
    <b v="0"/>
    <n v="18"/>
    <n v="38096.18406"/>
    <n v="19227.060000000001"/>
    <n v="18869.124059999998"/>
    <n v="0.49530220744108822"/>
    <s v="High"/>
    <s v="Not Met"/>
    <x v="0"/>
  </r>
  <r>
    <s v="ORD-2024-140633"/>
    <d v="2024-12-07T00:00:00"/>
    <s v="Dec-2024"/>
    <s v="Q4-2024"/>
    <d v="2024-12-26T00:00:00"/>
    <d v="2024-12-26T00:00:00"/>
    <n v="19"/>
    <x v="0"/>
    <s v="United Kingdom"/>
    <s v="London"/>
    <s v="Enterprise"/>
    <s v="Online"/>
    <x v="0"/>
    <s v="Networking"/>
    <s v="NET-4491"/>
    <n v="1035.24"/>
    <n v="2383.41"/>
    <x v="192"/>
    <b v="0"/>
    <n v="15"/>
    <n v="29673.454499999993"/>
    <n v="15528.6"/>
    <n v="14144.854499999992"/>
    <n v="0.47668378145860962"/>
    <s v="High"/>
    <s v="Not Met"/>
    <x v="0"/>
  </r>
  <r>
    <s v="ORD-2023-961864"/>
    <d v="2023-12-07T00:00:00"/>
    <s v="Dec-2023"/>
    <s v="Q4-2023"/>
    <d v="2024-01-02T00:00:00"/>
    <d v="2024-01-02T00:00:00"/>
    <n v="26"/>
    <x v="0"/>
    <s v="Germany"/>
    <s v="Frankfurt"/>
    <s v="Enterprise"/>
    <s v="Distributor"/>
    <x v="10"/>
    <s v="Components"/>
    <s v="CMP-1940"/>
    <n v="1071.99"/>
    <n v="2397.3000000000002"/>
    <x v="202"/>
    <b v="0"/>
    <n v="18"/>
    <n v="40476.013200000001"/>
    <n v="19295.82"/>
    <n v="21180.193200000002"/>
    <n v="0.52327765324476183"/>
    <s v="High"/>
    <s v="Not Met"/>
    <x v="0"/>
  </r>
  <r>
    <s v="ORD-2024-438404"/>
    <d v="2024-09-23T00:00:00"/>
    <s v="Sep-2024"/>
    <s v="Q3-2024"/>
    <d v="2024-10-18T00:00:00"/>
    <d v="2024-10-18T00:00:00"/>
    <n v="25"/>
    <x v="2"/>
    <s v="Canada"/>
    <s v="Vancouver"/>
    <s v="Small Business"/>
    <s v="Online"/>
    <x v="9"/>
    <s v="Phones"/>
    <s v="PHN-4568"/>
    <n v="1297"/>
    <n v="2411.52"/>
    <x v="203"/>
    <b v="0"/>
    <n v="18"/>
    <n v="42495.805439999996"/>
    <n v="23346"/>
    <n v="19149.805439999996"/>
    <n v="0.45062813239385913"/>
    <s v="High"/>
    <s v="Not Met"/>
    <x v="0"/>
  </r>
  <r>
    <s v="ORD-2024-819979"/>
    <d v="2024-05-28T00:00:00"/>
    <s v="May-2024"/>
    <s v="Q2-2024"/>
    <d v="2024-06-18T00:00:00"/>
    <d v="2024-06-18T00:00:00"/>
    <n v="21"/>
    <x v="0"/>
    <s v="Germany"/>
    <s v="Frankfurt"/>
    <s v="Small Business"/>
    <s v="Online"/>
    <x v="10"/>
    <s v="Phones"/>
    <s v="PHN-9399"/>
    <n v="986.85"/>
    <n v="2422.1"/>
    <x v="204"/>
    <b v="0"/>
    <n v="10"/>
    <n v="22380.204000000002"/>
    <n v="9868.5"/>
    <n v="12511.704000000002"/>
    <n v="0.55905227673527913"/>
    <s v="High"/>
    <s v="Not Met"/>
    <x v="0"/>
  </r>
  <r>
    <s v="ORD-2023-944052"/>
    <d v="2023-08-30T00:00:00"/>
    <s v="Aug-2023"/>
    <s v="Q3-2023"/>
    <d v="2023-09-03T00:00:00"/>
    <d v="2023-09-03T00:00:00"/>
    <n v="4"/>
    <x v="3"/>
    <s v="India"/>
    <s v="Delhi"/>
    <s v="Small Business"/>
    <s v="Marketplace"/>
    <x v="5"/>
    <s v="Accessories"/>
    <s v="ACC-3068"/>
    <n v="1082.25"/>
    <n v="2433.34"/>
    <x v="205"/>
    <b v="0"/>
    <n v="4"/>
    <n v="7105.3528000000006"/>
    <n v="4329"/>
    <n v="2776.3528000000006"/>
    <n v="0.3907410199251472"/>
    <s v="High"/>
    <s v="Met"/>
    <x v="1"/>
  </r>
  <r>
    <s v="ORD-2025-949776"/>
    <d v="2025-08-14T00:00:00"/>
    <s v="Aug-2025"/>
    <s v="Q3-2025"/>
    <d v="2025-09-11T00:00:00"/>
    <d v="2025-09-11T00:00:00"/>
    <n v="28"/>
    <x v="2"/>
    <s v="Brazil"/>
    <s v="São Paulo"/>
    <s v="Non-Profit"/>
    <s v="Direct"/>
    <x v="6"/>
    <s v="Printers"/>
    <s v="PRN-9490"/>
    <n v="1203.02"/>
    <n v="2439.33"/>
    <x v="33"/>
    <b v="0"/>
    <n v="18"/>
    <n v="43907.94"/>
    <n v="21654.36"/>
    <n v="22253.58"/>
    <n v="0.50682359500354612"/>
    <s v="High"/>
    <s v="Not Met"/>
    <x v="0"/>
  </r>
  <r>
    <s v="ORD-2023-390998"/>
    <d v="2023-04-19T00:00:00"/>
    <s v="Apr-2023"/>
    <s v="Q2-2023"/>
    <d v="2023-04-28T00:00:00"/>
    <d v="2023-04-28T00:00:00"/>
    <n v="9"/>
    <x v="0"/>
    <s v="Germany"/>
    <s v="Berlin"/>
    <s v="Education"/>
    <s v="Online"/>
    <x v="10"/>
    <s v="Monitors"/>
    <s v="MON-1663"/>
    <n v="1178.42"/>
    <n v="2446.56"/>
    <x v="62"/>
    <b v="0"/>
    <n v="11"/>
    <n v="26131.70736"/>
    <n v="12962.62"/>
    <n v="13169.08736"/>
    <n v="0.5039505141618883"/>
    <s v="High"/>
    <s v="Not Met"/>
    <x v="0"/>
  </r>
  <r>
    <s v="ORD-2023-488227"/>
    <d v="2023-09-08T00:00:00"/>
    <s v="Sep-2023"/>
    <s v="Q3-2023"/>
    <d v="2023-10-02T00:00:00"/>
    <d v="2023-10-02T00:00:00"/>
    <n v="24"/>
    <x v="2"/>
    <s v="Canada"/>
    <s v="Toronto"/>
    <s v="Education"/>
    <s v="Direct"/>
    <x v="13"/>
    <s v="Accessories"/>
    <s v="ACC-3415"/>
    <n v="1299.03"/>
    <n v="2451.2199999999998"/>
    <x v="206"/>
    <b v="0"/>
    <n v="8"/>
    <n v="15530.929919999999"/>
    <n v="10392.24"/>
    <n v="5138.6899199999989"/>
    <n v="0.3308681416032041"/>
    <s v="High"/>
    <s v="Not Met"/>
    <x v="1"/>
  </r>
  <r>
    <s v="ORD-2023-632893"/>
    <d v="2023-05-07T00:00:00"/>
    <s v="May-2023"/>
    <s v="Q2-2023"/>
    <d v="2023-05-05T00:00:00"/>
    <d v="2023-05-21T00:00:00"/>
    <n v="14"/>
    <x v="1"/>
    <s v="Nigeria"/>
    <s v="Port Harcourt"/>
    <s v="Non-Profit"/>
    <s v="Marketplace"/>
    <x v="13"/>
    <s v="Components"/>
    <s v="CMP-9392"/>
    <n v="1269.6500000000001"/>
    <n v="2462.77"/>
    <x v="41"/>
    <b v="0"/>
    <n v="8"/>
    <n v="17594.028880000002"/>
    <n v="10157.200000000001"/>
    <n v="7436.8288800000009"/>
    <n v="0.42269050089225502"/>
    <s v="High"/>
    <s v="Not Met"/>
    <x v="0"/>
  </r>
  <r>
    <s v="ORD-2023-868734"/>
    <d v="2023-04-06T00:00:00"/>
    <s v="Apr-2023"/>
    <s v="Q2-2023"/>
    <d v="2023-04-27T00:00:00"/>
    <d v="2023-04-27T00:00:00"/>
    <n v="21"/>
    <x v="0"/>
    <s v="United Kingdom"/>
    <s v="Manchester"/>
    <s v="Enterprise"/>
    <s v="Distributor"/>
    <x v="1"/>
    <s v="Printers"/>
    <s v="PRN-8970"/>
    <n v="1084.79"/>
    <n v="2484.9899999999998"/>
    <x v="57"/>
    <b v="0"/>
    <n v="18"/>
    <n v="43209.006119999991"/>
    <n v="19526.22"/>
    <n v="23682.78611999999"/>
    <n v="0.54809837685755114"/>
    <s v="High"/>
    <s v="Not Met"/>
    <x v="0"/>
  </r>
  <r>
    <s v="ORD-2024-500890"/>
    <d v="2024-09-09T00:00:00"/>
    <s v="Sep-2024"/>
    <s v="Q3-2024"/>
    <d v="2024-10-08T00:00:00"/>
    <d v="2024-10-08T00:00:00"/>
    <n v="29"/>
    <x v="2"/>
    <s v="Brazil"/>
    <s v="São Paulo"/>
    <s v="Education"/>
    <s v="Direct"/>
    <x v="3"/>
    <s v="Components"/>
    <s v="CMP-3093"/>
    <n v="1010.33"/>
    <n v="2492.14"/>
    <x v="131"/>
    <b v="0"/>
    <n v="11"/>
    <n v="26015.449459999996"/>
    <n v="11113.630000000001"/>
    <n v="14901.819459999995"/>
    <n v="0.57280653493656752"/>
    <s v="High"/>
    <s v="Not Met"/>
    <x v="0"/>
  </r>
  <r>
    <s v="ORD-2024-500511"/>
    <d v="2024-10-08T00:00:00"/>
    <s v="Oct-2024"/>
    <s v="Q4-2024"/>
    <d v="2024-10-08T00:00:00"/>
    <d v="2024-10-08T00:00:00"/>
    <n v="0"/>
    <x v="0"/>
    <s v="United Kingdom"/>
    <s v="London"/>
    <s v="Corporate"/>
    <s v="Online"/>
    <x v="10"/>
    <s v="Monitors"/>
    <s v="MON-9733"/>
    <n v="1108.1099999999999"/>
    <n v="2503.79"/>
    <x v="129"/>
    <b v="0"/>
    <n v="19"/>
    <n v="38818.760160000005"/>
    <n v="21054.089999999997"/>
    <n v="17764.670160000009"/>
    <n v="0.45763105485025896"/>
    <s v="High"/>
    <s v="Met"/>
    <x v="0"/>
  </r>
  <r>
    <s v="ORD-2023-732585"/>
    <d v="2023-08-25T00:00:00"/>
    <s v="Aug-2023"/>
    <s v="Q3-2023"/>
    <d v="2023-09-16T00:00:00"/>
    <d v="2023-09-16T00:00:00"/>
    <n v="22"/>
    <x v="1"/>
    <s v="Nigeria"/>
    <s v="Abuja"/>
    <s v="Corporate"/>
    <s v="Marketplace"/>
    <x v="5"/>
    <s v="Phones"/>
    <s v="PHN-3971"/>
    <n v="1196.83"/>
    <n v="2513.5100000000002"/>
    <x v="121"/>
    <b v="0"/>
    <n v="7"/>
    <n v="16134.22069"/>
    <n v="8377.81"/>
    <n v="7756.4106900000006"/>
    <n v="0.48074281609445374"/>
    <s v="High"/>
    <s v="Not Met"/>
    <x v="0"/>
  </r>
  <r>
    <s v="ORD-2023-195665"/>
    <d v="2023-12-19T00:00:00"/>
    <s v="Dec-2023"/>
    <s v="Q4-2023"/>
    <d v="2023-12-20T00:00:00"/>
    <d v="2023-12-20T00:00:00"/>
    <n v="1"/>
    <x v="2"/>
    <s v="Brazil"/>
    <s v="Rio de Janeiro"/>
    <s v="Consumer"/>
    <s v="Distributor"/>
    <x v="3"/>
    <s v="Phones"/>
    <s v="PHN-7274"/>
    <n v="1080.43"/>
    <n v="2529.15"/>
    <x v="115"/>
    <b v="0"/>
    <n v="10"/>
    <n v="21573.6495"/>
    <n v="10804.300000000001"/>
    <n v="10769.349499999998"/>
    <n v="0.49918997247081437"/>
    <s v="High"/>
    <s v="Met"/>
    <x v="0"/>
  </r>
  <r>
    <s v="ORD-2024-589570"/>
    <d v="2024-05-04T00:00:00"/>
    <s v="May-2024"/>
    <s v="Q2-2024"/>
    <d v="2024-05-29T00:00:00"/>
    <d v="2024-05-29T00:00:00"/>
    <n v="25"/>
    <x v="1"/>
    <s v="Nigeria"/>
    <s v="Abuja"/>
    <s v="Non-Profit"/>
    <s v="Marketplace"/>
    <x v="11"/>
    <s v="Monitors"/>
    <s v="MON-6892"/>
    <n v="1295.3399999999999"/>
    <n v="2530.81"/>
    <x v="119"/>
    <b v="0"/>
    <n v="6"/>
    <n v="14714.12934"/>
    <n v="7772.0399999999991"/>
    <n v="6942.0893400000004"/>
    <n v="0.4717974933880798"/>
    <s v="High"/>
    <s v="Not Met"/>
    <x v="0"/>
  </r>
  <r>
    <s v="ORD-2023-569862"/>
    <d v="2023-07-16T00:00:00"/>
    <s v="Jul-2023"/>
    <s v="Q3-2023"/>
    <d v="2023-08-13T00:00:00"/>
    <d v="2023-08-13T00:00:00"/>
    <n v="28"/>
    <x v="0"/>
    <s v="United Kingdom"/>
    <s v="Manchester"/>
    <s v="Non-Profit"/>
    <s v="Online"/>
    <x v="3"/>
    <s v="Laptops"/>
    <s v="LAP-1178"/>
    <n v="1039.03"/>
    <n v="2545.81"/>
    <x v="155"/>
    <b v="0"/>
    <n v="21"/>
    <n v="41914.215840000004"/>
    <n v="21819.63"/>
    <n v="20094.585840000003"/>
    <n v="0.47942172929364774"/>
    <s v="High"/>
    <s v="Not Met"/>
    <x v="1"/>
  </r>
  <r>
    <s v="ORD-2025-418232"/>
    <d v="2025-08-01T00:00:00"/>
    <s v="Aug-2025"/>
    <s v="Q3-2025"/>
    <d v="2025-08-21T00:00:00"/>
    <d v="2025-08-21T00:00:00"/>
    <n v="20"/>
    <x v="3"/>
    <s v="China"/>
    <s v="Shanghai"/>
    <s v="Corporate"/>
    <s v="Direct"/>
    <x v="1"/>
    <s v="Phones"/>
    <s v="PHN-9234"/>
    <n v="1220.4100000000001"/>
    <n v="2552.2199999999998"/>
    <x v="207"/>
    <b v="0"/>
    <n v="14"/>
    <n v="29263.754519999995"/>
    <n v="17085.740000000002"/>
    <n v="12178.014519999993"/>
    <n v="0.41614668793360271"/>
    <s v="High"/>
    <s v="Not Met"/>
    <x v="0"/>
  </r>
  <r>
    <s v="ORD-2024-500109"/>
    <d v="2024-05-18T00:00:00"/>
    <s v="May-2024"/>
    <s v="Q2-2024"/>
    <d v="2024-05-23T00:00:00"/>
    <d v="2024-05-23T00:00:00"/>
    <n v="5"/>
    <x v="2"/>
    <s v="USA"/>
    <s v="Chicago"/>
    <s v="Enterprise"/>
    <s v="Retail"/>
    <x v="2"/>
    <s v="Laptops"/>
    <s v="LAP-4987"/>
    <n v="1274.5899999999999"/>
    <n v="2553.69"/>
    <x v="141"/>
    <b v="0"/>
    <n v="8"/>
    <n v="20225.2248"/>
    <n v="10196.719999999999"/>
    <n v="10028.504800000001"/>
    <n v="0.49584145042481803"/>
    <s v="High"/>
    <s v="Met"/>
    <x v="0"/>
  </r>
  <r>
    <s v="ORD-2023-474313"/>
    <d v="2023-10-05T00:00:00"/>
    <s v="Oct-2023"/>
    <s v="Q4-2023"/>
    <d v="2023-10-06T00:00:00"/>
    <d v="2023-10-06T00:00:00"/>
    <n v="1"/>
    <x v="3"/>
    <s v="India"/>
    <s v="Bengaluru"/>
    <s v="Non-Profit"/>
    <s v="Online"/>
    <x v="1"/>
    <s v="Components"/>
    <s v="CMP-4807"/>
    <n v="1470.26"/>
    <n v="2562.5500000000002"/>
    <x v="16"/>
    <b v="0"/>
    <n v="9"/>
    <n v="19073.059649999999"/>
    <n v="13232.34"/>
    <n v="5840.7196499999991"/>
    <n v="0.30622877279157462"/>
    <s v="High"/>
    <s v="Met"/>
    <x v="0"/>
  </r>
  <r>
    <s v="ORD-2025-146850"/>
    <d v="2025-01-21T00:00:00"/>
    <s v="Jan-2025"/>
    <s v="Q1-2025"/>
    <d v="2025-02-14T00:00:00"/>
    <d v="2025-02-14T00:00:00"/>
    <n v="24"/>
    <x v="1"/>
    <s v="Kenya"/>
    <s v="Nairobi"/>
    <s v="Small Business"/>
    <s v="Retail"/>
    <x v="3"/>
    <s v="Accessories"/>
    <s v="ACC-1659"/>
    <n v="1030.44"/>
    <n v="2562.84"/>
    <x v="19"/>
    <b v="0"/>
    <n v="13"/>
    <n v="28386.015839999996"/>
    <n v="13395.720000000001"/>
    <n v="14990.295839999995"/>
    <n v="0.52808734852027039"/>
    <s v="High"/>
    <s v="Not Met"/>
    <x v="0"/>
  </r>
  <r>
    <s v="ORD-2024-862371"/>
    <d v="2024-09-07T00:00:00"/>
    <s v="Sep-2024"/>
    <s v="Q3-2024"/>
    <d v="2024-09-07T00:00:00"/>
    <d v="2024-09-07T00:00:00"/>
    <n v="0"/>
    <x v="3"/>
    <s v="India"/>
    <s v="Mumbai"/>
    <s v="Education"/>
    <s v="Distributor"/>
    <x v="4"/>
    <s v="Networking"/>
    <s v="NET-9835"/>
    <n v="1066.6500000000001"/>
    <n v="2569.77"/>
    <x v="6"/>
    <b v="0"/>
    <n v="9"/>
    <n v="20028.787380000002"/>
    <n v="9599.85"/>
    <n v="10428.937380000001"/>
    <n v="0.52069739331368348"/>
    <s v="High"/>
    <s v="Met"/>
    <x v="0"/>
  </r>
  <r>
    <s v="ORD-2023-521280"/>
    <d v="2023-05-27T00:00:00"/>
    <s v="May-2023"/>
    <s v="Q2-2023"/>
    <d v="2023-06-19T00:00:00"/>
    <d v="2023-06-19T00:00:00"/>
    <n v="23"/>
    <x v="0"/>
    <s v="Germany"/>
    <s v="Berlin"/>
    <s v="Education"/>
    <s v="Retail"/>
    <x v="11"/>
    <s v="Accessories"/>
    <s v="ACC-1882"/>
    <n v="1471.58"/>
    <n v="2576.65"/>
    <x v="91"/>
    <b v="0"/>
    <n v="7"/>
    <n v="17964.4038"/>
    <n v="10301.06"/>
    <n v="7663.3438000000006"/>
    <n v="0.4265849223451546"/>
    <s v="High"/>
    <s v="Not Met"/>
    <x v="0"/>
  </r>
  <r>
    <s v="ORD-2023-957692"/>
    <d v="2023-05-07T00:00:00"/>
    <s v="May-2023"/>
    <s v="Q2-2023"/>
    <d v="2023-05-20T00:00:00"/>
    <d v="2023-05-20T00:00:00"/>
    <n v="13"/>
    <x v="3"/>
    <s v="India"/>
    <s v="Mumbai"/>
    <s v="Enterprise"/>
    <s v="Retail"/>
    <x v="0"/>
    <s v="Accessories"/>
    <s v="ACC-9283"/>
    <n v="1443.28"/>
    <n v="2580.5700000000002"/>
    <x v="33"/>
    <b v="0"/>
    <n v="18"/>
    <n v="46450.26"/>
    <n v="25979.040000000001"/>
    <n v="20471.22"/>
    <n v="0.4407127107577008"/>
    <s v="High"/>
    <s v="Not Met"/>
    <x v="0"/>
  </r>
  <r>
    <s v="ORD-2024-215294"/>
    <d v="2024-06-30T00:00:00"/>
    <s v="Jun-2024"/>
    <s v="Q2-2024"/>
    <d v="2024-07-14T00:00:00"/>
    <d v="2024-07-14T00:00:00"/>
    <n v="14"/>
    <x v="2"/>
    <s v="Brazil"/>
    <s v="Brasília"/>
    <s v="Education"/>
    <s v="Retail"/>
    <x v="8"/>
    <s v="Accessories"/>
    <s v="ACC-8683"/>
    <n v="1491.85"/>
    <n v="2583.02"/>
    <x v="178"/>
    <b v="0"/>
    <n v="4"/>
    <n v="8596.2905599999995"/>
    <n v="5967.4"/>
    <n v="2628.8905599999998"/>
    <n v="0.30581685689321325"/>
    <s v="High"/>
    <s v="Not Met"/>
    <x v="0"/>
  </r>
  <r>
    <s v="ORD-2025-779574"/>
    <d v="2025-09-10T00:00:00"/>
    <s v="Sep-2025"/>
    <s v="Q3-2025"/>
    <d v="2025-09-12T00:00:00"/>
    <d v="2025-09-12T00:00:00"/>
    <n v="2"/>
    <x v="3"/>
    <s v="Japan"/>
    <s v="Tokyo"/>
    <s v="Consumer"/>
    <s v="Online"/>
    <x v="11"/>
    <s v="Components"/>
    <s v="CMP-6971"/>
    <n v="1470.15"/>
    <n v="2593.7800000000002"/>
    <x v="152"/>
    <b v="0"/>
    <n v="12"/>
    <n v="27701.570400000001"/>
    <n v="17641.800000000003"/>
    <n v="10059.770399999998"/>
    <n v="0.36314801849645306"/>
    <s v="High"/>
    <s v="Met"/>
    <x v="0"/>
  </r>
  <r>
    <s v="ORD-2024-732543"/>
    <d v="2024-10-24T00:00:00"/>
    <s v="Oct-2024"/>
    <s v="Q4-2024"/>
    <d v="2024-10-28T00:00:00"/>
    <d v="2024-10-28T00:00:00"/>
    <n v="4"/>
    <x v="3"/>
    <s v="China"/>
    <s v="Shanghai"/>
    <s v="Small Business"/>
    <s v="Distributor"/>
    <x v="1"/>
    <s v="Networking"/>
    <s v="NET-3728"/>
    <n v="1331.77"/>
    <n v="2606.11"/>
    <x v="113"/>
    <b v="0"/>
    <n v="6"/>
    <n v="15323.926799999999"/>
    <n v="7990.62"/>
    <n v="7333.3067999999994"/>
    <n v="0.47855271665745619"/>
    <s v="High"/>
    <s v="Met"/>
    <x v="0"/>
  </r>
  <r>
    <s v="ORD-2024-468501"/>
    <d v="2024-11-06T00:00:00"/>
    <s v="Nov-2024"/>
    <s v="Q4-2024"/>
    <d v="2024-11-22T00:00:00"/>
    <d v="2024-11-22T00:00:00"/>
    <n v="16"/>
    <x v="2"/>
    <s v="Canada"/>
    <s v="Toronto"/>
    <s v="Non-Profit"/>
    <s v="Distributor"/>
    <x v="0"/>
    <s v="Accessories"/>
    <s v="ACC-6348"/>
    <n v="1454.11"/>
    <n v="2629.75"/>
    <x v="195"/>
    <b v="0"/>
    <n v="8"/>
    <n v="14894.903999999999"/>
    <n v="11632.88"/>
    <n v="3262.0239999999994"/>
    <n v="0.21900268709351867"/>
    <s v="High"/>
    <s v="Not Met"/>
    <x v="1"/>
  </r>
  <r>
    <s v="ORD-2025-474710"/>
    <d v="2025-07-24T00:00:00"/>
    <s v="Jul-2025"/>
    <s v="Q3-2025"/>
    <d v="2025-08-06T00:00:00"/>
    <d v="2025-08-06T00:00:00"/>
    <n v="13"/>
    <x v="1"/>
    <s v="South Africa"/>
    <s v="Johannesburg"/>
    <s v="Education"/>
    <s v="Marketplace"/>
    <x v="0"/>
    <s v="Networking"/>
    <s v="NET-7966"/>
    <n v="1463.9"/>
    <n v="2633.02"/>
    <x v="76"/>
    <b v="0"/>
    <n v="4"/>
    <n v="9647.3852800000004"/>
    <n v="5855.6"/>
    <n v="3791.7852800000001"/>
    <n v="0.39303761277791527"/>
    <s v="High"/>
    <s v="Not Met"/>
    <x v="0"/>
  </r>
  <r>
    <s v="ORD-2023-561823"/>
    <d v="2023-11-19T00:00:00"/>
    <s v="Nov-2023"/>
    <s v="Q4-2023"/>
    <d v="2023-12-12T00:00:00"/>
    <d v="2023-12-12T00:00:00"/>
    <n v="23"/>
    <x v="3"/>
    <s v="India"/>
    <s v="Delhi"/>
    <s v="Small Business"/>
    <s v="Direct"/>
    <x v="8"/>
    <s v="Networking"/>
    <s v="NET-2460"/>
    <n v="1349.04"/>
    <n v="2636.6"/>
    <x v="24"/>
    <b v="0"/>
    <n v="14"/>
    <n v="32704.386400000003"/>
    <n v="18886.559999999998"/>
    <n v="13817.826400000005"/>
    <n v="0.42250682312143928"/>
    <s v="High"/>
    <s v="Not Met"/>
    <x v="0"/>
  </r>
  <r>
    <s v="ORD-2023-701153"/>
    <d v="2023-04-14T00:00:00"/>
    <s v="Apr-2023"/>
    <s v="Q2-2023"/>
    <d v="2023-05-13T00:00:00"/>
    <d v="2023-05-13T00:00:00"/>
    <n v="29"/>
    <x v="0"/>
    <s v="Germany"/>
    <s v="Frankfurt"/>
    <s v="Consumer"/>
    <s v="Direct"/>
    <x v="3"/>
    <s v="Printers"/>
    <s v="PRN-7019"/>
    <n v="1320.33"/>
    <n v="2645.23"/>
    <x v="179"/>
    <b v="0"/>
    <n v="25"/>
    <n v="55880.483749999999"/>
    <n v="33008.25"/>
    <n v="22872.233749999999"/>
    <n v="0.40930629470436536"/>
    <s v="High"/>
    <s v="Not Met"/>
    <x v="0"/>
  </r>
  <r>
    <s v="ORD-2024-353078"/>
    <d v="2024-08-16T00:00:00"/>
    <s v="Aug-2024"/>
    <s v="Q3-2024"/>
    <d v="2024-08-26T00:00:00"/>
    <d v="2024-08-26T00:00:00"/>
    <n v="10"/>
    <x v="2"/>
    <s v="USA"/>
    <s v="Chicago"/>
    <s v="Corporate"/>
    <s v="Distributor"/>
    <x v="5"/>
    <s v="Laptops"/>
    <s v="LAP-5763"/>
    <n v="1291.7"/>
    <n v="2657.84"/>
    <x v="108"/>
    <b v="0"/>
    <n v="21"/>
    <n v="50958.766320000002"/>
    <n v="27125.7"/>
    <n v="23833.066320000002"/>
    <n v="0.46769315745083367"/>
    <s v="High"/>
    <s v="Not Met"/>
    <x v="0"/>
  </r>
  <r>
    <s v="ORD-2024-508213"/>
    <d v="2024-11-22T00:00:00"/>
    <s v="Nov-2024"/>
    <s v="Q4-2024"/>
    <d v="2024-12-15T00:00:00"/>
    <d v="2024-12-15T00:00:00"/>
    <n v="23"/>
    <x v="1"/>
    <s v="Kenya"/>
    <s v="Mombasa"/>
    <s v="Non-Profit"/>
    <s v="Distributor"/>
    <x v="8"/>
    <s v="Components"/>
    <s v="CMP-3938"/>
    <n v="1335.76"/>
    <n v="2665.91"/>
    <x v="177"/>
    <b v="0"/>
    <n v="40"/>
    <n v="84136.119600000005"/>
    <n v="53430.400000000001"/>
    <n v="30705.719600000004"/>
    <n v="0.36495288522909253"/>
    <s v="High"/>
    <s v="Not Met"/>
    <x v="1"/>
  </r>
  <r>
    <s v="ORD-2025-564184"/>
    <d v="2025-01-29T00:00:00"/>
    <s v="Jan-2025"/>
    <s v="Q1-2025"/>
    <d v="2025-02-06T00:00:00"/>
    <d v="2025-02-06T00:00:00"/>
    <n v="8"/>
    <x v="1"/>
    <s v="Kenya"/>
    <s v="Kisumu"/>
    <s v="Education"/>
    <s v="Retail"/>
    <x v="4"/>
    <s v="Phones"/>
    <s v="PHN-1671"/>
    <n v="1445.27"/>
    <n v="2691.45"/>
    <x v="33"/>
    <b v="0"/>
    <n v="9"/>
    <n v="24223.05"/>
    <n v="13007.43"/>
    <n v="11215.619999999999"/>
    <n v="0.46301436028906351"/>
    <s v="High"/>
    <s v="Not Met"/>
    <x v="0"/>
  </r>
  <r>
    <s v="ORD-2023-290237"/>
    <d v="2023-07-30T00:00:00"/>
    <s v="Jul-2023"/>
    <s v="Q3-2023"/>
    <d v="2023-08-07T00:00:00"/>
    <d v="2023-08-07T00:00:00"/>
    <n v="8"/>
    <x v="3"/>
    <s v="Japan"/>
    <s v="Nagoya"/>
    <s v="Education"/>
    <s v="Marketplace"/>
    <x v="13"/>
    <s v="Networking"/>
    <s v="NET-1645"/>
    <n v="1352.44"/>
    <n v="2698.01"/>
    <x v="1"/>
    <b v="0"/>
    <n v="13"/>
    <n v="30479.418970000002"/>
    <n v="17581.72"/>
    <n v="12897.698970000001"/>
    <n v="0.42316091992090887"/>
    <s v="High"/>
    <s v="Not Met"/>
    <x v="0"/>
  </r>
  <r>
    <s v="ORD-2025-233883"/>
    <d v="2025-09-08T00:00:00"/>
    <s v="Sep-2025"/>
    <s v="Q3-2025"/>
    <d v="2025-09-16T00:00:00"/>
    <d v="2025-09-16T00:00:00"/>
    <n v="8"/>
    <x v="3"/>
    <s v="Japan"/>
    <s v="Osaka"/>
    <s v="Corporate"/>
    <s v="Distributor"/>
    <x v="8"/>
    <s v="Phones"/>
    <s v="PHN-1197"/>
    <n v="1225.57"/>
    <n v="2705.57"/>
    <x v="208"/>
    <b v="0"/>
    <n v="16"/>
    <n v="35367.211040000002"/>
    <n v="19609.12"/>
    <n v="15758.091040000003"/>
    <n v="0.44555650775453404"/>
    <s v="High"/>
    <s v="Not Met"/>
    <x v="0"/>
  </r>
  <r>
    <s v="ORD-2023-987081"/>
    <d v="2023-08-29T00:00:00"/>
    <s v="Aug-2023"/>
    <s v="Q3-2023"/>
    <d v="2023-09-13T00:00:00"/>
    <d v="2023-09-13T00:00:00"/>
    <n v="15"/>
    <x v="2"/>
    <s v="Canada"/>
    <s v="Vancouver"/>
    <s v="Small Business"/>
    <s v="Marketplace"/>
    <x v="11"/>
    <s v="Printers"/>
    <s v="PRN-9975"/>
    <n v="1287.6400000000001"/>
    <n v="2717.15"/>
    <x v="156"/>
    <b v="0"/>
    <n v="7"/>
    <n v="18411.4084"/>
    <n v="9013.4800000000014"/>
    <n v="9397.9283999999989"/>
    <n v="0.51044049405802105"/>
    <s v="High"/>
    <s v="Not Met"/>
    <x v="0"/>
  </r>
  <r>
    <s v="ORD-2025-685236"/>
    <d v="2025-03-14T00:00:00"/>
    <s v="Mar-2025"/>
    <s v="Q1-2025"/>
    <d v="2025-03-29T00:00:00"/>
    <d v="2025-03-29T00:00:00"/>
    <n v="15"/>
    <x v="3"/>
    <s v="Japan"/>
    <s v="Tokyo"/>
    <s v="Non-Profit"/>
    <s v="Direct"/>
    <x v="2"/>
    <s v="Networking"/>
    <s v="NET-8430"/>
    <n v="1106.96"/>
    <n v="2726.62"/>
    <x v="33"/>
    <b v="0"/>
    <n v="7"/>
    <n v="19086.34"/>
    <n v="7748.72"/>
    <n v="11337.619999999999"/>
    <n v="0.59401750152203092"/>
    <s v="High"/>
    <s v="Not Met"/>
    <x v="0"/>
  </r>
  <r>
    <s v="ORD-2024-105586"/>
    <d v="2024-01-02T00:00:00"/>
    <s v="Jan-2024"/>
    <s v="Q1-2024"/>
    <d v="2024-01-15T00:00:00"/>
    <d v="2024-01-15T00:00:00"/>
    <n v="13"/>
    <x v="3"/>
    <s v="Japan"/>
    <s v="Nagoya"/>
    <s v="Small Business"/>
    <s v="Marketplace"/>
    <x v="14"/>
    <s v="Networking"/>
    <s v="NET-1893"/>
    <n v="1219.06"/>
    <n v="2738.69"/>
    <x v="204"/>
    <b v="0"/>
    <n v="16"/>
    <n v="40488.792960000006"/>
    <n v="19504.96"/>
    <n v="20983.832960000007"/>
    <n v="0.51826274447673737"/>
    <s v="High"/>
    <s v="Not Met"/>
    <x v="0"/>
  </r>
  <r>
    <s v="ORD-2023-576840"/>
    <d v="2023-11-19T00:00:00"/>
    <s v="Nov-2023"/>
    <s v="Q4-2023"/>
    <d v="2023-12-13T00:00:00"/>
    <d v="2023-12-13T00:00:00"/>
    <n v="24"/>
    <x v="0"/>
    <s v="France"/>
    <s v="Lyon"/>
    <s v="Non-Profit"/>
    <s v="Direct"/>
    <x v="2"/>
    <s v="Monitors"/>
    <s v="MON-3745"/>
    <n v="1297.42"/>
    <n v="2742.97"/>
    <x v="184"/>
    <b v="0"/>
    <n v="9"/>
    <n v="22983.34563"/>
    <n v="11676.78"/>
    <n v="11306.565629999999"/>
    <n v="0.49194602961727291"/>
    <s v="High"/>
    <s v="Not Met"/>
    <x v="0"/>
  </r>
  <r>
    <s v="ORD-2024-332076"/>
    <d v="2024-04-09T00:00:00"/>
    <s v="Apr-2024"/>
    <s v="Q2-2024"/>
    <d v="2024-04-18T00:00:00"/>
    <d v="2024-04-18T00:00:00"/>
    <n v="9"/>
    <x v="0"/>
    <s v="France"/>
    <s v="Lyon"/>
    <s v="Consumer"/>
    <s v="Online"/>
    <x v="10"/>
    <s v="Printers"/>
    <s v="PRN-1086"/>
    <n v="1288.8499999999999"/>
    <n v="2751.84"/>
    <x v="209"/>
    <b v="0"/>
    <n v="7"/>
    <n v="16219.34496"/>
    <n v="9021.9499999999989"/>
    <n v="7197.3949600000014"/>
    <n v="0.44375373837538756"/>
    <s v="High"/>
    <s v="Not Met"/>
    <x v="0"/>
  </r>
  <r>
    <s v="ORD-2025-752192"/>
    <d v="2025-05-16T00:00:00"/>
    <s v="May-2025"/>
    <s v="Q2-2025"/>
    <d v="2025-05-18T00:00:00"/>
    <d v="2025-05-18T00:00:00"/>
    <n v="2"/>
    <x v="3"/>
    <s v="Japan"/>
    <s v="Tokyo"/>
    <s v="Enterprise"/>
    <s v="Retail"/>
    <x v="3"/>
    <s v="Printers"/>
    <s v="PRN-6131"/>
    <n v="1144.3800000000001"/>
    <n v="2755.04"/>
    <x v="200"/>
    <b v="0"/>
    <n v="17"/>
    <n v="39810.328000000001"/>
    <n v="19454.460000000003"/>
    <n v="20355.867999999999"/>
    <n v="0.51132128326096682"/>
    <s v="High"/>
    <s v="Met"/>
    <x v="0"/>
  </r>
  <r>
    <s v="ORD-2025-132174"/>
    <d v="2025-07-17T00:00:00"/>
    <s v="Jul-2025"/>
    <s v="Q3-2025"/>
    <d v="2025-07-23T00:00:00"/>
    <d v="2025-07-23T00:00:00"/>
    <n v="6"/>
    <x v="2"/>
    <s v="Canada"/>
    <s v="Vancouver"/>
    <s v="Consumer"/>
    <s v="Online"/>
    <x v="2"/>
    <s v="Components"/>
    <s v="CMP-8851"/>
    <n v="1364.89"/>
    <n v="2757.54"/>
    <x v="210"/>
    <b v="0"/>
    <n v="61"/>
    <n v="139277.83032000001"/>
    <n v="83258.290000000008"/>
    <n v="56019.54032"/>
    <n v="0.4022143379983118"/>
    <s v="High"/>
    <s v="Met"/>
    <x v="0"/>
  </r>
  <r>
    <s v="ORD-2023-159379"/>
    <d v="2023-02-08T00:00:00"/>
    <s v="Feb-2023"/>
    <s v="Q1-2023"/>
    <d v="2023-02-11T00:00:00"/>
    <d v="2023-02-11T00:00:00"/>
    <n v="3"/>
    <x v="1"/>
    <s v="South Africa"/>
    <s v="Cape Town"/>
    <s v="Corporate"/>
    <s v="Direct"/>
    <x v="7"/>
    <s v="Networking"/>
    <s v="NET-5018"/>
    <n v="1410.05"/>
    <n v="2763.95"/>
    <x v="201"/>
    <b v="0"/>
    <n v="26"/>
    <n v="60292.805299999993"/>
    <n v="36661.299999999996"/>
    <n v="23631.505299999997"/>
    <n v="0.39194569206750779"/>
    <s v="High"/>
    <s v="Met"/>
    <x v="0"/>
  </r>
  <r>
    <s v="ORD-2024-651852"/>
    <d v="2024-12-28T00:00:00"/>
    <s v="Dec-2024"/>
    <s v="Q4-2024"/>
    <d v="2025-01-08T00:00:00"/>
    <d v="2025-01-08T00:00:00"/>
    <n v="11"/>
    <x v="3"/>
    <s v="China"/>
    <s v="Shenzhen"/>
    <s v="Enterprise"/>
    <s v="Online"/>
    <x v="12"/>
    <s v="Laptops"/>
    <s v="LAP-8825"/>
    <n v="1201.31"/>
    <n v="2764.65"/>
    <x v="33"/>
    <b v="0"/>
    <n v="21"/>
    <n v="58057.65"/>
    <n v="25227.51"/>
    <n v="32830.14"/>
    <n v="0.56547483406579491"/>
    <s v="High"/>
    <s v="Not Met"/>
    <x v="0"/>
  </r>
  <r>
    <s v="ORD-2025-417336"/>
    <d v="2025-08-30T00:00:00"/>
    <s v="Aug-2025"/>
    <s v="Q3-2025"/>
    <d v="2025-09-03T00:00:00"/>
    <d v="2025-09-03T00:00:00"/>
    <n v="4"/>
    <x v="0"/>
    <s v="France"/>
    <s v="Marseille"/>
    <s v="Small Business"/>
    <s v="Marketplace"/>
    <x v="3"/>
    <s v="Laptops"/>
    <s v="LAP-3220"/>
    <n v="1286.56"/>
    <n v="2777.35"/>
    <x v="8"/>
    <b v="0"/>
    <n v="15"/>
    <n v="36161.097000000002"/>
    <n v="19298.399999999998"/>
    <n v="16862.697000000004"/>
    <n v="0.46632150014696744"/>
    <s v="High"/>
    <s v="Met"/>
    <x v="0"/>
  </r>
  <r>
    <s v="ORD-2025-254721"/>
    <d v="2025-05-15T00:00:00"/>
    <s v="May-2025"/>
    <s v="Q2-2025"/>
    <d v="2025-06-05T00:00:00"/>
    <d v="2025-06-05T00:00:00"/>
    <n v="21"/>
    <x v="3"/>
    <s v="Japan"/>
    <s v="Osaka"/>
    <s v="Enterprise"/>
    <s v="Direct"/>
    <x v="2"/>
    <s v="Phones"/>
    <s v="PHN-6480"/>
    <n v="1466.5"/>
    <n v="2778.74"/>
    <x v="35"/>
    <b v="0"/>
    <n v="4"/>
    <n v="9614.4403999999995"/>
    <n v="5866"/>
    <n v="3748.4403999999995"/>
    <n v="0.38987608680792279"/>
    <s v="High"/>
    <s v="Not Met"/>
    <x v="0"/>
  </r>
  <r>
    <s v="ORD-2023-573146"/>
    <d v="2023-12-01T00:00:00"/>
    <s v="Dec-2023"/>
    <s v="Q4-2023"/>
    <d v="2023-12-18T00:00:00"/>
    <d v="2023-12-18T00:00:00"/>
    <n v="17"/>
    <x v="3"/>
    <s v="Japan"/>
    <s v="Nagoya"/>
    <s v="Small Business"/>
    <s v="Direct"/>
    <x v="9"/>
    <s v="Laptops"/>
    <s v="LAP-3604"/>
    <n v="1495.79"/>
    <n v="2783.12"/>
    <x v="113"/>
    <b v="0"/>
    <n v="5"/>
    <n v="13637.287999999999"/>
    <n v="7478.95"/>
    <n v="6158.3379999999988"/>
    <n v="0.45158084217331185"/>
    <s v="High"/>
    <s v="Not Met"/>
    <x v="0"/>
  </r>
  <r>
    <s v="ORD-2023-451931"/>
    <d v="2023-07-30T00:00:00"/>
    <s v="Jul-2023"/>
    <s v="Q3-2023"/>
    <d v="2023-08-19T00:00:00"/>
    <d v="2023-08-19T00:00:00"/>
    <n v="20"/>
    <x v="0"/>
    <s v="France"/>
    <s v="Paris"/>
    <s v="Enterprise"/>
    <s v="Marketplace"/>
    <x v="14"/>
    <s v="Networking"/>
    <s v="NET-5423"/>
    <n v="1418.51"/>
    <n v="2789.61"/>
    <x v="211"/>
    <b v="0"/>
    <n v="8"/>
    <n v="18500.693520000001"/>
    <n v="11348.08"/>
    <n v="7152.6135200000008"/>
    <n v="0.38661326464695689"/>
    <s v="High"/>
    <s v="Not Met"/>
    <x v="0"/>
  </r>
  <r>
    <s v="ORD-2025-931538"/>
    <d v="2025-02-09T00:00:00"/>
    <s v="Feb-2025"/>
    <s v="Q1-2025"/>
    <d v="2025-03-01T00:00:00"/>
    <d v="2025-03-01T00:00:00"/>
    <n v="20"/>
    <x v="2"/>
    <s v="Brazil"/>
    <s v="São Paulo"/>
    <s v="Corporate"/>
    <s v="Distributor"/>
    <x v="4"/>
    <s v="Laptops"/>
    <s v="LAP-6989"/>
    <n v="1154.6400000000001"/>
    <n v="2794.13"/>
    <x v="212"/>
    <b v="0"/>
    <n v="11"/>
    <n v="29659.68995"/>
    <n v="12701.04"/>
    <n v="16958.649949999999"/>
    <n v="0.57177435025749479"/>
    <s v="High"/>
    <s v="Not Met"/>
    <x v="0"/>
  </r>
  <r>
    <s v="ORD-2023-286720"/>
    <d v="2023-07-08T00:00:00"/>
    <s v="Jul-2023"/>
    <s v="Q3-2023"/>
    <d v="2023-07-09T00:00:00"/>
    <d v="2023-07-09T00:00:00"/>
    <n v="1"/>
    <x v="1"/>
    <s v="Kenya"/>
    <s v="Nairobi"/>
    <s v="Consumer"/>
    <s v="Online"/>
    <x v="0"/>
    <s v="Laptops"/>
    <s v="LAP-1989"/>
    <n v="1258.72"/>
    <n v="2797.41"/>
    <x v="33"/>
    <b v="0"/>
    <n v="7"/>
    <n v="19581.87"/>
    <n v="8811.0400000000009"/>
    <n v="10770.829999999998"/>
    <n v="0.55004093071805704"/>
    <s v="High"/>
    <s v="Met"/>
    <x v="0"/>
  </r>
  <r>
    <s v="ORD-2025-312803"/>
    <d v="2025-06-24T00:00:00"/>
    <s v="Jun-2025"/>
    <s v="Q2-2025"/>
    <d v="2025-07-14T00:00:00"/>
    <d v="2025-07-14T00:00:00"/>
    <n v="20"/>
    <x v="1"/>
    <s v="South Africa"/>
    <s v="Johannesburg"/>
    <s v="Enterprise"/>
    <s v="Marketplace"/>
    <x v="3"/>
    <s v="Laptops"/>
    <s v="LAP-1308"/>
    <n v="1151.06"/>
    <n v="2821.36"/>
    <x v="213"/>
    <b v="0"/>
    <n v="20"/>
    <n v="42433.254400000005"/>
    <n v="23021.199999999997"/>
    <n v="19412.054400000008"/>
    <n v="0.45747267501594235"/>
    <s v="High"/>
    <s v="Not Met"/>
    <x v="1"/>
  </r>
  <r>
    <s v="ORD-2024-437164"/>
    <d v="2024-02-20T00:00:00"/>
    <s v="Feb-2024"/>
    <s v="Q1-2024"/>
    <d v="2024-02-20T00:00:00"/>
    <d v="2024-02-20T00:00:00"/>
    <n v="0"/>
    <x v="2"/>
    <s v="USA"/>
    <s v="New York"/>
    <s v="Enterprise"/>
    <s v="Online"/>
    <x v="8"/>
    <s v="Networking"/>
    <s v="NET-9177"/>
    <n v="1407.05"/>
    <n v="2858.93"/>
    <x v="33"/>
    <b v="0"/>
    <n v="12"/>
    <n v="34307.159999999996"/>
    <n v="16884.599999999999"/>
    <n v="17422.559999999998"/>
    <n v="0.50784034586366222"/>
    <s v="High"/>
    <s v="Met"/>
    <x v="0"/>
  </r>
  <r>
    <s v="ORD-2025-588029"/>
    <d v="2025-09-14T00:00:00"/>
    <s v="Sep-2025"/>
    <s v="Q3-2025"/>
    <d v="2025-09-23T00:00:00"/>
    <d v="2025-09-23T00:00:00"/>
    <n v="9"/>
    <x v="1"/>
    <s v="South Africa"/>
    <s v="Durban"/>
    <s v="Non-Profit"/>
    <s v="Online"/>
    <x v="0"/>
    <s v="Components"/>
    <s v="CMP-6898"/>
    <n v="1310.3"/>
    <n v="2875.8"/>
    <x v="121"/>
    <b v="0"/>
    <n v="5"/>
    <n v="13185.543"/>
    <n v="6551.5"/>
    <n v="6634.0429999999997"/>
    <n v="0.50313005691157353"/>
    <s v="High"/>
    <s v="Not Met"/>
    <x v="0"/>
  </r>
  <r>
    <s v="ORD-2023-867836"/>
    <d v="2023-05-11T00:00:00"/>
    <s v="May-2023"/>
    <s v="Q2-2023"/>
    <d v="2023-05-28T00:00:00"/>
    <d v="2023-05-28T00:00:00"/>
    <n v="17"/>
    <x v="3"/>
    <s v="China"/>
    <s v="Shenzhen"/>
    <s v="Enterprise"/>
    <s v="Marketplace"/>
    <x v="10"/>
    <s v="Networking"/>
    <s v="NET-3255"/>
    <n v="1331.19"/>
    <n v="2903.09"/>
    <x v="153"/>
    <b v="0"/>
    <n v="8"/>
    <n v="19903.585040000002"/>
    <n v="10649.52"/>
    <n v="9254.0650400000013"/>
    <n v="0.46494463290920784"/>
    <s v="High"/>
    <s v="Not Met"/>
    <x v="0"/>
  </r>
  <r>
    <s v="ORD-2023-927385"/>
    <d v="2023-05-29T00:00:00"/>
    <s v="May-2023"/>
    <s v="Q2-2023"/>
    <d v="2023-06-20T00:00:00"/>
    <d v="2023-06-20T00:00:00"/>
    <n v="22"/>
    <x v="0"/>
    <s v="United Kingdom"/>
    <s v="London"/>
    <s v="Small Business"/>
    <s v="Direct"/>
    <x v="12"/>
    <s v="Components"/>
    <s v="CMP-8545"/>
    <n v="1295.3900000000001"/>
    <n v="2905.06"/>
    <x v="19"/>
    <b v="0"/>
    <n v="8"/>
    <n v="19800.88896"/>
    <n v="10363.120000000001"/>
    <n v="9437.7689599999994"/>
    <n v="0.47663359857556614"/>
    <s v="High"/>
    <s v="Not Met"/>
    <x v="0"/>
  </r>
  <r>
    <s v="ORD-2025-678688"/>
    <d v="2025-07-16T00:00:00"/>
    <s v="Jul-2025"/>
    <s v="Q3-2025"/>
    <d v="2025-07-17T00:00:00"/>
    <d v="2025-07-17T00:00:00"/>
    <n v="1"/>
    <x v="1"/>
    <s v="South Africa"/>
    <s v="Durban"/>
    <s v="Small Business"/>
    <s v="Distributor"/>
    <x v="4"/>
    <s v="Networking"/>
    <s v="NET-1612"/>
    <n v="1198.9000000000001"/>
    <n v="2941.2"/>
    <x v="131"/>
    <b v="0"/>
    <n v="24"/>
    <n v="66988.771199999988"/>
    <n v="28773.600000000002"/>
    <n v="38215.171199999982"/>
    <n v="0.57047129713583977"/>
    <s v="High"/>
    <s v="Met"/>
    <x v="0"/>
  </r>
  <r>
    <s v="ORD-2024-536442"/>
    <d v="2024-08-31T00:00:00"/>
    <s v="Aug-2024"/>
    <s v="Q3-2024"/>
    <d v="2024-09-26T00:00:00"/>
    <d v="2024-09-26T00:00:00"/>
    <n v="26"/>
    <x v="3"/>
    <s v="Japan"/>
    <s v="Tokyo"/>
    <s v="Education"/>
    <s v="Online"/>
    <x v="1"/>
    <s v="Phones"/>
    <s v="PHN-6111"/>
    <n v="1189.03"/>
    <n v="2949.62"/>
    <x v="80"/>
    <b v="0"/>
    <n v="13"/>
    <n v="33551.927499999998"/>
    <n v="15457.39"/>
    <n v="18094.537499999999"/>
    <n v="0.53929949330034765"/>
    <s v="High"/>
    <s v="Not Met"/>
    <x v="0"/>
  </r>
  <r>
    <s v="ORD-2024-771210"/>
    <d v="2024-09-14T00:00:00"/>
    <s v="Sep-2024"/>
    <s v="Q3-2024"/>
    <d v="2024-10-05T00:00:00"/>
    <d v="2024-10-05T00:00:00"/>
    <n v="21"/>
    <x v="3"/>
    <s v="China"/>
    <s v="Shanghai"/>
    <s v="Small Business"/>
    <s v="Online"/>
    <x v="2"/>
    <s v="Laptops"/>
    <s v="LAP-5150"/>
    <n v="1405.56"/>
    <n v="2968.87"/>
    <x v="84"/>
    <b v="0"/>
    <n v="5"/>
    <n v="12335.654849999999"/>
    <n v="7027.7999999999993"/>
    <n v="5307.8548499999997"/>
    <n v="0.4302856163327235"/>
    <s v="High"/>
    <s v="Not Met"/>
    <x v="0"/>
  </r>
  <r>
    <s v="ORD-2023-434071"/>
    <d v="2023-06-20T00:00:00"/>
    <s v="Jun-2023"/>
    <s v="Q2-2023"/>
    <d v="2023-07-04T00:00:00"/>
    <d v="2023-07-04T00:00:00"/>
    <n v="14"/>
    <x v="2"/>
    <s v="Brazil"/>
    <s v="Brasília"/>
    <s v="Non-Profit"/>
    <s v="Direct"/>
    <x v="8"/>
    <s v="Networking"/>
    <s v="NET-1228"/>
    <n v="1292.8599999999999"/>
    <n v="2981.01"/>
    <x v="85"/>
    <b v="0"/>
    <n v="12"/>
    <n v="30692.47896"/>
    <n v="15514.32"/>
    <n v="15178.158960000001"/>
    <n v="0.49452372288927687"/>
    <s v="High"/>
    <s v="Not Met"/>
    <x v="0"/>
  </r>
  <r>
    <s v="ORD-2024-819778"/>
    <d v="2024-06-02T00:00:00"/>
    <s v="Jun-2024"/>
    <s v="Q2-2024"/>
    <d v="2024-06-15T00:00:00"/>
    <d v="2024-06-15T00:00:00"/>
    <n v="13"/>
    <x v="1"/>
    <s v="Kenya"/>
    <s v="Mombasa"/>
    <s v="Education"/>
    <s v="Online"/>
    <x v="11"/>
    <s v="Phones"/>
    <s v="PHN-6866"/>
    <n v="1295.18"/>
    <n v="3024.03"/>
    <x v="100"/>
    <b v="0"/>
    <n v="8"/>
    <n v="19547.329920000004"/>
    <n v="10361.44"/>
    <n v="9185.8899200000033"/>
    <n v="0.46993067378483178"/>
    <s v="High"/>
    <s v="Not Met"/>
    <x v="0"/>
  </r>
  <r>
    <s v="ORD-2025-137394"/>
    <d v="2025-01-04T00:00:00"/>
    <s v="Jan-2025"/>
    <s v="Q1-2025"/>
    <d v="2025-01-05T00:00:00"/>
    <d v="2025-01-05T00:00:00"/>
    <n v="1"/>
    <x v="3"/>
    <s v="India"/>
    <s v="Delhi"/>
    <s v="Education"/>
    <s v="Retail"/>
    <x v="1"/>
    <s v="Components"/>
    <s v="CMP-1156"/>
    <n v="1428.33"/>
    <n v="3028.05"/>
    <x v="33"/>
    <b v="0"/>
    <n v="11"/>
    <n v="33308.550000000003"/>
    <n v="15711.63"/>
    <n v="17596.920000000006"/>
    <n v="0.52830039134096207"/>
    <s v="High"/>
    <s v="Met"/>
    <x v="0"/>
  </r>
  <r>
    <s v="ORD-2024-167215"/>
    <d v="2024-08-23T00:00:00"/>
    <s v="Aug-2024"/>
    <s v="Q3-2024"/>
    <d v="2024-08-21T00:00:00"/>
    <d v="2024-09-06T00:00:00"/>
    <n v="14"/>
    <x v="1"/>
    <s v="South Africa"/>
    <s v="Johannesburg"/>
    <s v="Education"/>
    <s v="Retail"/>
    <x v="10"/>
    <s v="Components"/>
    <s v="CMP-1559"/>
    <n v="1432.52"/>
    <n v="3036.87"/>
    <x v="33"/>
    <b v="0"/>
    <n v="9"/>
    <n v="27331.829999999998"/>
    <n v="12892.68"/>
    <n v="14439.149999999998"/>
    <n v="0.52829064135112791"/>
    <s v="High"/>
    <s v="Not Met"/>
    <x v="0"/>
  </r>
  <r>
    <s v="ORD-2024-572312"/>
    <d v="2024-06-16T00:00:00"/>
    <s v="Jun-2024"/>
    <s v="Q2-2024"/>
    <d v="2024-06-21T00:00:00"/>
    <d v="2024-06-21T00:00:00"/>
    <n v="5"/>
    <x v="3"/>
    <s v="Japan"/>
    <s v="Tokyo"/>
    <s v="Small Business"/>
    <s v="Distributor"/>
    <x v="6"/>
    <s v="Phones"/>
    <s v="PHN-9677"/>
    <n v="1367.13"/>
    <n v="3062.01"/>
    <x v="172"/>
    <b v="0"/>
    <n v="25"/>
    <n v="68665.574250000005"/>
    <n v="34178.25"/>
    <n v="34487.324250000005"/>
    <n v="0.50225057645971705"/>
    <s v="High"/>
    <s v="Met"/>
    <x v="0"/>
  </r>
  <r>
    <s v="ORD-2023-132101"/>
    <d v="2023-09-25T00:00:00"/>
    <s v="Sep-2023"/>
    <s v="Q3-2023"/>
    <d v="2023-10-09T00:00:00"/>
    <d v="2023-10-09T00:00:00"/>
    <n v="14"/>
    <x v="2"/>
    <s v="USA"/>
    <s v="New York"/>
    <s v="Small Business"/>
    <s v="Marketplace"/>
    <x v="3"/>
    <s v="Laptops"/>
    <s v="LAP-6750"/>
    <n v="1279.56"/>
    <n v="3083.8"/>
    <x v="161"/>
    <b v="0"/>
    <n v="5"/>
    <n v="13784.586000000001"/>
    <n v="6397.7999999999993"/>
    <n v="7386.7860000000019"/>
    <n v="0.53587289455047848"/>
    <s v="High"/>
    <s v="Not Met"/>
    <x v="0"/>
  </r>
  <r>
    <s v="ORD-2024-465898"/>
    <d v="2024-06-06T00:00:00"/>
    <s v="Jun-2024"/>
    <s v="Q2-2024"/>
    <d v="2024-06-24T00:00:00"/>
    <d v="2024-06-24T00:00:00"/>
    <n v="18"/>
    <x v="3"/>
    <s v="India"/>
    <s v="Bengaluru"/>
    <s v="Small Business"/>
    <s v="Direct"/>
    <x v="2"/>
    <s v="Networking"/>
    <s v="NET-6578"/>
    <n v="1253.25"/>
    <n v="3087.13"/>
    <x v="13"/>
    <b v="0"/>
    <n v="11"/>
    <n v="31513.423040000001"/>
    <n v="13785.75"/>
    <n v="17727.673040000001"/>
    <n v="0.562543555408064"/>
    <s v="High"/>
    <s v="Not Met"/>
    <x v="0"/>
  </r>
  <r>
    <s v="ORD-2023-472050"/>
    <d v="2023-05-10T00:00:00"/>
    <s v="May-2023"/>
    <s v="Q2-2023"/>
    <d v="2023-05-27T00:00:00"/>
    <d v="2023-05-27T00:00:00"/>
    <n v="17"/>
    <x v="3"/>
    <s v="India"/>
    <s v="Mumbai"/>
    <s v="Consumer"/>
    <s v="Retail"/>
    <x v="7"/>
    <s v="Laptops"/>
    <s v="LAP-6499"/>
    <n v="1286.1600000000001"/>
    <n v="3101.11"/>
    <x v="194"/>
    <b v="0"/>
    <n v="23"/>
    <n v="64192.976999999999"/>
    <n v="29581.68"/>
    <n v="34611.296999999999"/>
    <n v="0.53917575749758417"/>
    <s v="High"/>
    <s v="Not Met"/>
    <x v="0"/>
  </r>
  <r>
    <s v="ORD-2025-328504"/>
    <d v="2025-01-27T00:00:00"/>
    <s v="Jan-2025"/>
    <s v="Q1-2025"/>
    <d v="2025-02-15T00:00:00"/>
    <d v="2025-02-15T00:00:00"/>
    <n v="19"/>
    <x v="3"/>
    <s v="China"/>
    <s v="Shenzhen"/>
    <s v="Non-Profit"/>
    <s v="Direct"/>
    <x v="5"/>
    <s v="Phones"/>
    <s v="PHN-8368"/>
    <n v="1253.22"/>
    <n v="3104.71"/>
    <x v="33"/>
    <b v="0"/>
    <n v="17"/>
    <n v="52780.07"/>
    <n v="21304.74"/>
    <n v="31475.329999999998"/>
    <n v="0.59634877331538205"/>
    <s v="High"/>
    <s v="Not Met"/>
    <x v="0"/>
  </r>
  <r>
    <s v="ORD-2025-677880"/>
    <d v="2025-08-21T00:00:00"/>
    <s v="Aug-2025"/>
    <s v="Q3-2025"/>
    <d v="2025-09-14T00:00:00"/>
    <d v="2025-09-14T00:00:00"/>
    <n v="24"/>
    <x v="0"/>
    <s v="Germany"/>
    <s v="Berlin"/>
    <s v="Non-Profit"/>
    <s v="Online"/>
    <x v="13"/>
    <s v="Monitors"/>
    <s v="MON-9662"/>
    <n v="1397.67"/>
    <n v="3131.37"/>
    <x v="172"/>
    <b v="0"/>
    <n v="20"/>
    <n v="56176.777799999996"/>
    <n v="27953.4"/>
    <n v="28223.377799999995"/>
    <n v="0.50240293062874808"/>
    <s v="High"/>
    <s v="Not Met"/>
    <x v="0"/>
  </r>
  <r>
    <s v="ORD-2023-888245"/>
    <d v="2023-02-28T00:00:00"/>
    <s v="Feb-2023"/>
    <s v="Q1-2023"/>
    <d v="2023-02-27T00:00:00"/>
    <d v="2023-03-14T00:00:00"/>
    <n v="14"/>
    <x v="0"/>
    <s v="France"/>
    <s v="Marseille"/>
    <s v="Corporate"/>
    <s v="Retail"/>
    <x v="12"/>
    <s v="Networking"/>
    <s v="NET-5195"/>
    <n v="1299.81"/>
    <n v="3149.13"/>
    <x v="172"/>
    <b v="0"/>
    <n v="14"/>
    <n v="39546.774539999999"/>
    <n v="18197.34"/>
    <n v="21349.434539999998"/>
    <n v="0.53985273864511729"/>
    <s v="High"/>
    <s v="Not Met"/>
    <x v="0"/>
  </r>
  <r>
    <s v="ORD-2024-165942"/>
    <d v="2024-12-29T00:00:00"/>
    <s v="Dec-2024"/>
    <s v="Q4-2024"/>
    <d v="2025-01-12T00:00:00"/>
    <d v="2025-01-12T00:00:00"/>
    <n v="14"/>
    <x v="0"/>
    <s v="United Kingdom"/>
    <s v="Manchester"/>
    <s v="Corporate"/>
    <s v="Direct"/>
    <x v="4"/>
    <s v="Monitors"/>
    <s v="MON-6310"/>
    <n v="1399.72"/>
    <n v="3149.21"/>
    <x v="117"/>
    <b v="0"/>
    <n v="12"/>
    <n v="30799.273800000003"/>
    <n v="16796.64"/>
    <n v="14002.633800000003"/>
    <n v="0.45464168703873797"/>
    <s v="High"/>
    <s v="Not Met"/>
    <x v="0"/>
  </r>
  <r>
    <s v="ORD-2023-163610"/>
    <d v="2023-10-22T00:00:00"/>
    <s v="Oct-2023"/>
    <s v="Q4-2023"/>
    <d v="2023-11-16T00:00:00"/>
    <d v="2023-11-16T00:00:00"/>
    <n v="25"/>
    <x v="2"/>
    <s v="Canada"/>
    <s v="Toronto"/>
    <s v="Small Business"/>
    <s v="Marketplace"/>
    <x v="1"/>
    <s v="Laptops"/>
    <s v="LAP-9024"/>
    <n v="1373.31"/>
    <n v="3154.14"/>
    <x v="167"/>
    <b v="0"/>
    <n v="11"/>
    <n v="27756.432000000001"/>
    <n v="15106.41"/>
    <n v="12650.022000000001"/>
    <n v="0.45575101295440279"/>
    <s v="High"/>
    <s v="Not Met"/>
    <x v="0"/>
  </r>
  <r>
    <s v="ORD-2024-468655"/>
    <d v="2024-02-19T00:00:00"/>
    <s v="Feb-2024"/>
    <s v="Q1-2024"/>
    <d v="2024-03-06T00:00:00"/>
    <d v="2024-03-06T00:00:00"/>
    <n v="16"/>
    <x v="3"/>
    <s v="China"/>
    <s v="Beijing"/>
    <s v="Education"/>
    <s v="Marketplace"/>
    <x v="11"/>
    <s v="Printers"/>
    <s v="PRN-6308"/>
    <n v="1477.84"/>
    <n v="3197.47"/>
    <x v="142"/>
    <b v="0"/>
    <n v="24"/>
    <n v="58091.634960000003"/>
    <n v="35468.159999999996"/>
    <n v="22623.474960000007"/>
    <n v="0.38944462443823091"/>
    <s v="High"/>
    <s v="Not Met"/>
    <x v="1"/>
  </r>
  <r>
    <s v="ORD-2024-998320"/>
    <d v="2024-10-25T00:00:00"/>
    <s v="Oct-2024"/>
    <s v="Q4-2024"/>
    <d v="2024-11-14T00:00:00"/>
    <d v="2024-11-14T00:00:00"/>
    <n v="20"/>
    <x v="1"/>
    <s v="Kenya"/>
    <s v="Mombasa"/>
    <s v="Corporate"/>
    <s v="Direct"/>
    <x v="2"/>
    <s v="Printers"/>
    <s v="PRN-3143"/>
    <n v="1396.48"/>
    <n v="3204.5"/>
    <x v="33"/>
    <b v="0"/>
    <n v="14"/>
    <n v="44863"/>
    <n v="19550.72"/>
    <n v="25312.28"/>
    <n v="0.56421282571383991"/>
    <s v="High"/>
    <s v="Not Met"/>
    <x v="0"/>
  </r>
  <r>
    <s v="ORD-2024-341535"/>
    <d v="2024-06-25T00:00:00"/>
    <s v="Jun-2024"/>
    <s v="Q2-2024"/>
    <d v="2024-06-30T00:00:00"/>
    <d v="2024-06-30T00:00:00"/>
    <n v="5"/>
    <x v="1"/>
    <s v="Kenya"/>
    <s v="Kisumu"/>
    <s v="Education"/>
    <s v="Direct"/>
    <x v="7"/>
    <s v="Networking"/>
    <s v="NET-5987"/>
    <n v="1323.55"/>
    <n v="3230.35"/>
    <x v="56"/>
    <b v="0"/>
    <n v="26"/>
    <n v="82141.339799999987"/>
    <n v="34412.299999999996"/>
    <n v="47729.039799999991"/>
    <n v="0.58105991351263542"/>
    <s v="High"/>
    <s v="Met"/>
    <x v="0"/>
  </r>
  <r>
    <s v="ORD-2025-845715"/>
    <d v="2025-04-14T00:00:00"/>
    <s v="Apr-2025"/>
    <s v="Q2-2025"/>
    <d v="2025-05-04T00:00:00"/>
    <d v="2025-05-04T00:00:00"/>
    <n v="20"/>
    <x v="0"/>
    <s v="United Kingdom"/>
    <s v="Birmingham"/>
    <s v="Enterprise"/>
    <s v="Marketplace"/>
    <x v="12"/>
    <s v="Monitors"/>
    <s v="MON-6962"/>
    <n v="1413.87"/>
    <n v="3275"/>
    <x v="191"/>
    <b v="0"/>
    <n v="38"/>
    <n v="92715.25"/>
    <n v="53727.06"/>
    <n v="38988.19"/>
    <n v="0.42051539525590453"/>
    <s v="High"/>
    <s v="Not Met"/>
    <x v="1"/>
  </r>
  <r>
    <s v="ORD-2025-398335"/>
    <d v="2025-06-01T00:00:00"/>
    <s v="Jun-2025"/>
    <s v="Q2-2025"/>
    <d v="2025-06-27T00:00:00"/>
    <d v="2025-06-27T00:00:00"/>
    <n v="26"/>
    <x v="0"/>
    <s v="Germany"/>
    <s v="Munich"/>
    <s v="Consumer"/>
    <s v="Distributor"/>
    <x v="10"/>
    <s v="Laptops"/>
    <s v="LAP-1619"/>
    <n v="1362.31"/>
    <n v="3294.57"/>
    <x v="61"/>
    <b v="0"/>
    <n v="7"/>
    <n v="20455.985130000001"/>
    <n v="9536.17"/>
    <n v="10919.815130000001"/>
    <n v="0.5338200561157721"/>
    <s v="High"/>
    <s v="Not Met"/>
    <x v="0"/>
  </r>
  <r>
    <s v="ORD-2023-640022"/>
    <d v="2023-08-24T00:00:00"/>
    <s v="Aug-2023"/>
    <s v="Q3-2023"/>
    <d v="2023-09-20T00:00:00"/>
    <d v="2023-09-20T00:00:00"/>
    <n v="27"/>
    <x v="1"/>
    <s v="South Africa"/>
    <s v="Durban"/>
    <s v="Small Business"/>
    <s v="Marketplace"/>
    <x v="7"/>
    <s v="Printers"/>
    <s v="PRN-4732"/>
    <n v="1399.64"/>
    <n v="3342.11"/>
    <x v="33"/>
    <b v="0"/>
    <n v="10"/>
    <n v="33421.1"/>
    <n v="13996.400000000001"/>
    <n v="19424.699999999997"/>
    <n v="0.58121067229983447"/>
    <s v="High"/>
    <s v="Not Met"/>
    <x v="0"/>
  </r>
  <r>
    <s v="ORD-2023-869884"/>
    <d v="2023-03-02T00:00:00"/>
    <s v="Mar-2023"/>
    <s v="Q1-2023"/>
    <d v="2023-03-05T00:00:00"/>
    <d v="2023-03-05T00:00:00"/>
    <n v="3"/>
    <x v="2"/>
    <s v="Brazil"/>
    <s v="Brasília"/>
    <s v="Enterprise"/>
    <s v="Direct"/>
    <x v="14"/>
    <s v="Monitors"/>
    <s v="MON-2828"/>
    <n v="1473.58"/>
    <n v="3436.52"/>
    <x v="92"/>
    <b v="0"/>
    <n v="8"/>
    <n v="24523.006720000001"/>
    <n v="11788.64"/>
    <n v="12734.366720000002"/>
    <n v="0.51928243813652564"/>
    <s v="High"/>
    <s v="Met"/>
    <x v="0"/>
  </r>
  <r>
    <s v="ORD-2024-474999"/>
    <d v="2024-12-27T00:00:00"/>
    <s v="Dec-2024"/>
    <s v="Q4-2024"/>
    <d v="2025-01-02T00:00:00"/>
    <d v="2025-01-02T00:00:00"/>
    <n v="6"/>
    <x v="0"/>
    <s v="Germany"/>
    <s v="Frankfurt"/>
    <s v="Education"/>
    <s v="Direct"/>
    <x v="6"/>
    <s v="Laptops"/>
    <s v="LAP-8214"/>
    <n v="1391.99"/>
    <n v="3469.7"/>
    <x v="129"/>
    <b v="0"/>
    <n v="23"/>
    <n v="65119.329599999997"/>
    <n v="32015.77"/>
    <n v="33103.559599999993"/>
    <n v="0.50835227886006973"/>
    <s v="High"/>
    <s v="Met"/>
    <x v="0"/>
  </r>
  <r>
    <s v="ORD-2024-690270"/>
    <d v="2024-05-17T00:00:00"/>
    <s v="May-2024"/>
    <s v="Q2-2024"/>
    <d v="2024-05-27T00:00:00"/>
    <d v="2024-05-27T00:00:00"/>
    <n v="10"/>
    <x v="2"/>
    <s v="USA"/>
    <s v="Austin"/>
    <s v="Non-Profit"/>
    <s v="Online"/>
    <x v="8"/>
    <s v="Phones"/>
    <s v="PHN-7974"/>
    <n v="1484.23"/>
    <n v="3472.81"/>
    <x v="214"/>
    <b v="0"/>
    <n v="12"/>
    <n v="31005.24768"/>
    <n v="17810.760000000002"/>
    <n v="13194.487679999998"/>
    <n v="0.42555659661803413"/>
    <s v="High"/>
    <s v="Not Met"/>
    <x v="1"/>
  </r>
  <r>
    <s v="ORD-2024-548345"/>
    <d v="2024-05-14T00:00:00"/>
    <s v="May-2024"/>
    <s v="Q2-2024"/>
    <d v="2024-05-28T00:00:00"/>
    <d v="2024-05-28T00:00:00"/>
    <n v="14"/>
    <x v="0"/>
    <s v="United Kingdom"/>
    <s v="Birmingham"/>
    <s v="Consumer"/>
    <s v="Retail"/>
    <x v="4"/>
    <s v="Networking"/>
    <s v="NET-2365"/>
    <n v="1421.14"/>
    <n v="3524"/>
    <x v="33"/>
    <b v="0"/>
    <n v="31"/>
    <n v="109244"/>
    <n v="44055.340000000004"/>
    <n v="65188.659999999996"/>
    <n v="0.59672531214528945"/>
    <s v="High"/>
    <s v="Not Met"/>
    <x v="0"/>
  </r>
  <r>
    <s v="ORD-2024-798002"/>
    <d v="2024-07-25T00:00:00"/>
    <s v="Jul-2024"/>
    <s v="Q3-2024"/>
    <d v="2024-07-24T00:00:00"/>
    <d v="2024-08-08T00:00:00"/>
    <n v="14"/>
    <x v="1"/>
    <s v="Kenya"/>
    <s v="Mombasa"/>
    <s v="Non-Profit"/>
    <s v="Direct"/>
    <x v="3"/>
    <s v="Laptops"/>
    <s v="LAP-9815"/>
    <n v="1494.4"/>
    <n v="3661.07"/>
    <x v="13"/>
    <b v="0"/>
    <n v="7"/>
    <n v="23782.310720000001"/>
    <n v="10460.800000000001"/>
    <n v="13321.51072"/>
    <n v="0.56014366630897339"/>
    <s v="High"/>
    <s v="Not Met"/>
    <x v="0"/>
  </r>
  <r>
    <m/>
    <m/>
    <m/>
    <m/>
    <m/>
    <m/>
    <m/>
    <x v="4"/>
    <m/>
    <m/>
    <m/>
    <m/>
    <x v="15"/>
    <m/>
    <m/>
    <m/>
    <m/>
    <x v="215"/>
    <m/>
    <m/>
    <m/>
    <m/>
    <m/>
    <m/>
    <m/>
    <m/>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x v="0"/>
    <x v="0"/>
    <x v="0"/>
    <s v="Q4-2024"/>
    <d v="2025-01-16T00:00:00"/>
    <d v="2025-01-16T00:00:00"/>
    <n v="30"/>
    <x v="0"/>
    <x v="0"/>
    <s v="Manchester"/>
    <s v="Corporate"/>
    <x v="0"/>
    <x v="0"/>
    <x v="0"/>
    <x v="0"/>
    <n v="722.87"/>
    <n v="649.13726000000008"/>
    <x v="0"/>
    <b v="0"/>
    <n v="28"/>
    <n v="16321.907265440004"/>
    <n v="20240.36"/>
    <n v="-3918.4527345599963"/>
    <n v="-0.24007321392254971"/>
    <s v="Low"/>
    <x v="0"/>
    <s v="Low Discount"/>
    <n v="0.10199999999999999"/>
    <n v="759.01350000000002"/>
    <n v="30.800000000000004"/>
    <n v="17954.097991984007"/>
    <n v="-5423.5178080159967"/>
  </r>
  <r>
    <x v="1"/>
    <x v="1"/>
    <x v="1"/>
    <s v="Q1-2023"/>
    <d v="2023-03-25T00:00:00"/>
    <d v="2023-03-25T00:00:00"/>
    <n v="25"/>
    <x v="1"/>
    <x v="1"/>
    <s v="Nairobi"/>
    <s v="Corporate"/>
    <x v="0"/>
    <x v="1"/>
    <x v="1"/>
    <x v="1"/>
    <n v="1460.76"/>
    <n v="1269.4004399999999"/>
    <x v="1"/>
    <b v="0"/>
    <n v="12"/>
    <n v="13237.307788319999"/>
    <n v="17529.12"/>
    <n v="-4291.8122116800005"/>
    <n v="-0.32422092772269762"/>
    <s v="Medium"/>
    <x v="0"/>
    <s v="Low Discount"/>
    <n v="0.13100000000000001"/>
    <n v="1533.798"/>
    <n v="13.200000000000001"/>
    <n v="14561.038567151998"/>
    <n v="-5685.095032848003"/>
  </r>
  <r>
    <x v="2"/>
    <x v="2"/>
    <x v="2"/>
    <s v="Q2-2025"/>
    <d v="2025-06-18T00:00:00"/>
    <d v="2025-06-18T00:00:00"/>
    <n v="9"/>
    <x v="0"/>
    <x v="2"/>
    <s v="Marseille"/>
    <s v="Small Business"/>
    <x v="1"/>
    <x v="2"/>
    <x v="2"/>
    <x v="2"/>
    <n v="1225.5"/>
    <n v="1133.5875000000001"/>
    <x v="2"/>
    <b v="0"/>
    <n v="56"/>
    <n v="58719.832500000004"/>
    <n v="68628"/>
    <n v="-9908.1674999999959"/>
    <n v="-0.16873630387143893"/>
    <s v="Medium"/>
    <x v="0"/>
    <s v="Low Discount"/>
    <n v="7.4999999999999997E-2"/>
    <n v="1286.7750000000001"/>
    <n v="61.600000000000009"/>
    <n v="64591.815750000016"/>
    <n v="-14673.524249999995"/>
  </r>
  <r>
    <x v="3"/>
    <x v="3"/>
    <x v="3"/>
    <s v="Q1-2024"/>
    <d v="2024-04-05T00:00:00"/>
    <d v="2024-04-05T00:00:00"/>
    <n v="10"/>
    <x v="2"/>
    <x v="3"/>
    <s v="Austin"/>
    <s v="Consumer"/>
    <x v="2"/>
    <x v="3"/>
    <x v="0"/>
    <x v="3"/>
    <n v="5.66"/>
    <n v="4.22"/>
    <x v="3"/>
    <b v="0"/>
    <n v="18"/>
    <n v="66.920760000000001"/>
    <n v="101.88"/>
    <n v="-34.959239999999994"/>
    <n v="-0.52239753403876454"/>
    <s v="Low"/>
    <x v="0"/>
    <s v="Low Discount"/>
    <n v="0.11899999999999999"/>
    <n v="5.9430000000000005"/>
    <n v="19.8"/>
    <n v="73.612836000000001"/>
    <n v="-44.058564000000018"/>
  </r>
  <r>
    <x v="4"/>
    <x v="4"/>
    <x v="4"/>
    <s v="Q2-2024"/>
    <d v="2024-07-26T00:00:00"/>
    <d v="2024-07-26T00:00:00"/>
    <n v="27"/>
    <x v="1"/>
    <x v="4"/>
    <s v="Durban"/>
    <s v="Enterprise"/>
    <x v="3"/>
    <x v="4"/>
    <x v="1"/>
    <x v="4"/>
    <n v="5.36"/>
    <n v="4.37"/>
    <x v="4"/>
    <b v="0"/>
    <n v="9"/>
    <n v="34.689059999999998"/>
    <n v="48.24"/>
    <n v="-13.550940000000004"/>
    <n v="-0.39064016148030545"/>
    <s v="Low"/>
    <x v="0"/>
    <s v="Low Discount"/>
    <n v="0.11799999999999999"/>
    <n v="5.628000000000001"/>
    <n v="9.9"/>
    <n v="38.157966000000002"/>
    <n v="-17.559234000000011"/>
  </r>
  <r>
    <x v="5"/>
    <x v="5"/>
    <x v="5"/>
    <s v="Q3-2025"/>
    <d v="2025-09-18T00:00:00"/>
    <d v="2025-09-18T00:00:00"/>
    <n v="3"/>
    <x v="2"/>
    <x v="5"/>
    <s v="Rio de Janeiro"/>
    <s v="Non-Profit"/>
    <x v="2"/>
    <x v="5"/>
    <x v="2"/>
    <x v="5"/>
    <n v="5.5"/>
    <n v="5.92"/>
    <x v="5"/>
    <b v="0"/>
    <n v="4"/>
    <n v="18.659839999999999"/>
    <n v="22"/>
    <n v="-3.3401600000000009"/>
    <n v="-0.17900260666758133"/>
    <s v="Low"/>
    <x v="1"/>
    <s v="High Discount"/>
    <n v="0.2"/>
    <n v="5.7750000000000004"/>
    <n v="4.4000000000000004"/>
    <n v="20.8384"/>
    <n v="-4.5716000000000037"/>
  </r>
  <r>
    <x v="6"/>
    <x v="6"/>
    <x v="6"/>
    <s v="Q2-2025"/>
    <d v="2025-04-13T00:00:00"/>
    <d v="2025-04-13T00:00:00"/>
    <n v="9"/>
    <x v="0"/>
    <x v="6"/>
    <s v="Munich"/>
    <s v="Consumer"/>
    <x v="1"/>
    <x v="6"/>
    <x v="3"/>
    <x v="6"/>
    <n v="7.02"/>
    <n v="6.28"/>
    <x v="6"/>
    <b v="0"/>
    <n v="14"/>
    <n v="76.138720000000006"/>
    <n v="98.28"/>
    <n v="-22.141279999999995"/>
    <n v="-0.29080184169106066"/>
    <s v="Low"/>
    <x v="0"/>
    <s v="Low Discount"/>
    <n v="0.13400000000000001"/>
    <n v="7.3709999999999996"/>
    <n v="15.400000000000002"/>
    <n v="83.752592000000021"/>
    <n v="-29.760807999999983"/>
  </r>
  <r>
    <x v="7"/>
    <x v="7"/>
    <x v="1"/>
    <s v="Q1-2023"/>
    <d v="2023-03-09T00:00:00"/>
    <d v="2023-03-09T00:00:00"/>
    <n v="13"/>
    <x v="2"/>
    <x v="3"/>
    <s v="New York"/>
    <s v="Enterprise"/>
    <x v="4"/>
    <x v="7"/>
    <x v="4"/>
    <x v="7"/>
    <n v="6.85"/>
    <n v="10.18"/>
    <x v="7"/>
    <b v="0"/>
    <n v="10"/>
    <n v="97.0154"/>
    <n v="68.5"/>
    <n v="28.5154"/>
    <n v="0.2939265312517394"/>
    <s v="Low"/>
    <x v="0"/>
    <s v="Low Discount"/>
    <n v="4.7E-2"/>
    <n v="7.1924999999999999"/>
    <n v="11"/>
    <n v="106.71693999999999"/>
    <n v="27.599440000000001"/>
  </r>
  <r>
    <x v="8"/>
    <x v="8"/>
    <x v="3"/>
    <s v="Q1-2024"/>
    <d v="2024-02-29T00:00:00"/>
    <d v="2024-03-15T00:00:00"/>
    <n v="14"/>
    <x v="2"/>
    <x v="5"/>
    <s v="São Paulo"/>
    <s v="Non-Profit"/>
    <x v="2"/>
    <x v="1"/>
    <x v="3"/>
    <x v="8"/>
    <n v="5.34"/>
    <n v="12.69"/>
    <x v="8"/>
    <b v="0"/>
    <n v="10"/>
    <n v="110.14920000000001"/>
    <n v="53.4"/>
    <n v="56.749200000000009"/>
    <n v="0.51520301554618653"/>
    <s v="Low"/>
    <x v="0"/>
    <s v="Low Discount"/>
    <n v="0.13200000000000001"/>
    <n v="5.6070000000000002"/>
    <n v="11"/>
    <n v="121.16412"/>
    <n v="59.487119999999997"/>
  </r>
  <r>
    <x v="9"/>
    <x v="9"/>
    <x v="7"/>
    <s v="Q2-2023"/>
    <d v="2023-06-07T00:00:00"/>
    <d v="2023-06-07T00:00:00"/>
    <n v="27"/>
    <x v="1"/>
    <x v="1"/>
    <s v="Mombasa"/>
    <s v="Corporate"/>
    <x v="4"/>
    <x v="3"/>
    <x v="3"/>
    <x v="9"/>
    <n v="12.85"/>
    <n v="15.41"/>
    <x v="9"/>
    <b v="0"/>
    <n v="39"/>
    <n v="518.65436999999997"/>
    <n v="501.15"/>
    <n v="17.504369999999994"/>
    <n v="3.3749585489851353E-2"/>
    <s v="Low"/>
    <x v="0"/>
    <s v="Low Discount"/>
    <n v="0.13700000000000001"/>
    <n v="13.4925"/>
    <n v="42.900000000000006"/>
    <n v="570.51980700000013"/>
    <n v="-8.3084429999998974"/>
  </r>
  <r>
    <x v="10"/>
    <x v="10"/>
    <x v="8"/>
    <s v="Q1-2024"/>
    <d v="2024-02-21T00:00:00"/>
    <d v="2024-02-21T00:00:00"/>
    <n v="18"/>
    <x v="0"/>
    <x v="6"/>
    <s v="Frankfurt"/>
    <s v="Corporate"/>
    <x v="0"/>
    <x v="2"/>
    <x v="4"/>
    <x v="10"/>
    <n v="39.229999999999997"/>
    <n v="30.09"/>
    <x v="10"/>
    <b v="0"/>
    <n v="13"/>
    <n v="321.93290999999999"/>
    <n v="509.98999999999995"/>
    <n v="-188.05708999999996"/>
    <n v="-0.58414993981199359"/>
    <s v="Low"/>
    <x v="0"/>
    <s v="Low Discount"/>
    <n v="0.17699999999999999"/>
    <n v="41.191499999999998"/>
    <n v="14.3"/>
    <n v="354.12620100000004"/>
    <n v="-234.91224899999997"/>
  </r>
  <r>
    <x v="11"/>
    <x v="11"/>
    <x v="6"/>
    <s v="Q2-2025"/>
    <d v="2025-05-02T00:00:00"/>
    <d v="2025-05-02T00:00:00"/>
    <n v="10"/>
    <x v="0"/>
    <x v="6"/>
    <s v="Berlin"/>
    <s v="Corporate"/>
    <x v="1"/>
    <x v="8"/>
    <x v="0"/>
    <x v="11"/>
    <n v="20.149999999999999"/>
    <n v="39.74"/>
    <x v="11"/>
    <b v="0"/>
    <n v="18"/>
    <n v="607.30668000000003"/>
    <n v="362.7"/>
    <n v="244.60668000000004"/>
    <n v="0.4027729120318585"/>
    <s v="Low"/>
    <x v="0"/>
    <s v="Low Discount"/>
    <n v="0.151"/>
    <n v="21.157499999999999"/>
    <n v="19.8"/>
    <n v="668.03734800000007"/>
    <n v="249.11884800000007"/>
  </r>
  <r>
    <x v="12"/>
    <x v="12"/>
    <x v="9"/>
    <s v="Q3-2023"/>
    <d v="2023-09-01T00:00:00"/>
    <d v="2023-09-01T00:00:00"/>
    <n v="2"/>
    <x v="0"/>
    <x v="6"/>
    <s v="Munich"/>
    <s v="Corporate"/>
    <x v="2"/>
    <x v="9"/>
    <x v="1"/>
    <x v="12"/>
    <n v="44.42"/>
    <n v="41.9"/>
    <x v="12"/>
    <b v="0"/>
    <n v="6"/>
    <n v="215.19839999999999"/>
    <n v="266.52"/>
    <n v="-51.321599999999989"/>
    <n v="-0.23848504449847208"/>
    <s v="Low"/>
    <x v="1"/>
    <s v="Low Discount"/>
    <n v="0.14399999999999999"/>
    <n v="46.641000000000005"/>
    <n v="6.6000000000000005"/>
    <n v="236.71824000000001"/>
    <n v="-71.112360000000052"/>
  </r>
  <r>
    <x v="13"/>
    <x v="13"/>
    <x v="10"/>
    <s v="Q4-2023"/>
    <d v="2023-11-05T00:00:00"/>
    <d v="2023-11-05T00:00:00"/>
    <n v="10"/>
    <x v="1"/>
    <x v="4"/>
    <s v="Cape Town"/>
    <s v="Non-Profit"/>
    <x v="4"/>
    <x v="1"/>
    <x v="5"/>
    <x v="13"/>
    <n v="20.38"/>
    <n v="42.56"/>
    <x v="13"/>
    <b v="0"/>
    <n v="11"/>
    <n v="434.45248000000009"/>
    <n v="224.17999999999998"/>
    <n v="210.27248000000012"/>
    <n v="0.48399419885921718"/>
    <s v="Low"/>
    <x v="0"/>
    <s v="Low Discount"/>
    <n v="7.1999999999999995E-2"/>
    <n v="21.399000000000001"/>
    <n v="12.100000000000001"/>
    <n v="477.89772800000014"/>
    <n v="218.96982800000012"/>
  </r>
  <r>
    <x v="14"/>
    <x v="14"/>
    <x v="6"/>
    <s v="Q2-2025"/>
    <d v="2025-04-22T00:00:00"/>
    <d v="2025-05-07T00:00:00"/>
    <n v="14"/>
    <x v="2"/>
    <x v="3"/>
    <s v="San Francisco"/>
    <s v="Non-Profit"/>
    <x v="3"/>
    <x v="0"/>
    <x v="0"/>
    <x v="14"/>
    <n v="23.24"/>
    <n v="44.57"/>
    <x v="14"/>
    <b v="0"/>
    <n v="15"/>
    <n v="524.81175000000007"/>
    <n v="348.59999999999997"/>
    <n v="176.21175000000011"/>
    <n v="0.33576182316802183"/>
    <s v="Low"/>
    <x v="0"/>
    <s v="High Discount"/>
    <n v="0.2"/>
    <n v="24.402000000000001"/>
    <n v="16.5"/>
    <n v="588.32399999999996"/>
    <n v="185.69099999999992"/>
  </r>
  <r>
    <x v="15"/>
    <x v="15"/>
    <x v="11"/>
    <s v="Q3-2025"/>
    <d v="2025-08-14T00:00:00"/>
    <d v="2025-08-14T00:00:00"/>
    <n v="9"/>
    <x v="0"/>
    <x v="0"/>
    <s v="London"/>
    <s v="Non-Profit"/>
    <x v="2"/>
    <x v="10"/>
    <x v="4"/>
    <x v="15"/>
    <n v="41.76"/>
    <n v="45.19"/>
    <x v="15"/>
    <b v="0"/>
    <n v="23"/>
    <n v="853.32276999999988"/>
    <n v="960.4799999999999"/>
    <n v="-107.15723000000003"/>
    <n v="-0.12557643340514638"/>
    <s v="Low"/>
    <x v="0"/>
    <s v="Low Discount"/>
    <n v="0.17899999999999999"/>
    <n v="43.847999999999999"/>
    <n v="25.3"/>
    <n v="938.65504699999997"/>
    <n v="-170.69935299999997"/>
  </r>
  <r>
    <x v="16"/>
    <x v="16"/>
    <x v="12"/>
    <s v="Q1-2025"/>
    <d v="2025-03-10T00:00:00"/>
    <d v="2025-03-10T00:00:00"/>
    <n v="10"/>
    <x v="3"/>
    <x v="7"/>
    <s v="Osaka"/>
    <s v="Education"/>
    <x v="3"/>
    <x v="9"/>
    <x v="5"/>
    <x v="16"/>
    <n v="51.86"/>
    <n v="45.98"/>
    <x v="16"/>
    <b v="0"/>
    <n v="7"/>
    <n v="266.17821999999995"/>
    <n v="363.02"/>
    <n v="-96.841780000000028"/>
    <n v="-0.3638230806412337"/>
    <s v="Low"/>
    <x v="0"/>
    <s v="Low Discount"/>
    <n v="0.17299999999999999"/>
    <n v="54.453000000000003"/>
    <n v="7.7000000000000011"/>
    <n v="292.796042"/>
    <n v="-126.4920580000001"/>
  </r>
  <r>
    <x v="17"/>
    <x v="17"/>
    <x v="13"/>
    <s v="Q1-2023"/>
    <d v="2023-01-13T00:00:00"/>
    <d v="2023-01-29T00:00:00"/>
    <n v="14"/>
    <x v="1"/>
    <x v="8"/>
    <s v="Abuja"/>
    <s v="Education"/>
    <x v="4"/>
    <x v="11"/>
    <x v="6"/>
    <x v="17"/>
    <n v="28.38"/>
    <n v="47.22"/>
    <x v="17"/>
    <b v="0"/>
    <n v="18"/>
    <n v="685.06776000000002"/>
    <n v="510.84"/>
    <n v="174.22776000000005"/>
    <n v="0.25432193743871417"/>
    <s v="Low"/>
    <x v="0"/>
    <s v="Low Discount"/>
    <n v="0.19400000000000001"/>
    <n v="29.798999999999999"/>
    <n v="19.8"/>
    <n v="753.57453599999997"/>
    <n v="163.55433599999992"/>
  </r>
  <r>
    <x v="18"/>
    <x v="18"/>
    <x v="14"/>
    <s v="Q1-2025"/>
    <d v="2025-04-04T00:00:00"/>
    <d v="2025-04-04T00:00:00"/>
    <n v="11"/>
    <x v="3"/>
    <x v="9"/>
    <s v="Mumbai"/>
    <s v="Education"/>
    <x v="1"/>
    <x v="3"/>
    <x v="3"/>
    <x v="18"/>
    <n v="23.83"/>
    <n v="47.29"/>
    <x v="18"/>
    <b v="0"/>
    <n v="19"/>
    <n v="841.00535999999988"/>
    <n v="452.77"/>
    <n v="388.2353599999999"/>
    <n v="0.46163244429262612"/>
    <s v="Low"/>
    <x v="0"/>
    <s v="Low Discount"/>
    <n v="6.4000000000000001E-2"/>
    <n v="25.0215"/>
    <n v="20.900000000000002"/>
    <n v="925.10589600000003"/>
    <n v="402.15654599999993"/>
  </r>
  <r>
    <x v="19"/>
    <x v="19"/>
    <x v="7"/>
    <s v="Q2-2023"/>
    <d v="2023-06-10T00:00:00"/>
    <d v="2023-06-10T00:00:00"/>
    <n v="18"/>
    <x v="3"/>
    <x v="10"/>
    <s v="Shanghai"/>
    <s v="Corporate"/>
    <x v="3"/>
    <x v="10"/>
    <x v="4"/>
    <x v="19"/>
    <n v="54.62"/>
    <n v="48.94"/>
    <x v="19"/>
    <b v="0"/>
    <n v="16"/>
    <n v="667.15008"/>
    <n v="873.92"/>
    <n v="-206.76991999999996"/>
    <n v="-0.3099301434543783"/>
    <s v="Low"/>
    <x v="0"/>
    <s v="Low Discount"/>
    <n v="0.14799999999999999"/>
    <n v="57.350999999999999"/>
    <n v="17.600000000000001"/>
    <n v="733.86508800000001"/>
    <n v="-275.51251200000002"/>
  </r>
  <r>
    <x v="20"/>
    <x v="20"/>
    <x v="2"/>
    <s v="Q2-2025"/>
    <d v="2025-06-10T00:00:00"/>
    <d v="2025-06-10T00:00:00"/>
    <n v="7"/>
    <x v="2"/>
    <x v="11"/>
    <s v="Toronto"/>
    <s v="Consumer"/>
    <x v="3"/>
    <x v="11"/>
    <x v="6"/>
    <x v="20"/>
    <n v="75.180000000000007"/>
    <n v="53.45"/>
    <x v="20"/>
    <b v="0"/>
    <n v="17"/>
    <n v="765.99195000000009"/>
    <n v="1278.0600000000002"/>
    <n v="-512.06805000000008"/>
    <n v="-0.66850317421743144"/>
    <s v="Low"/>
    <x v="1"/>
    <s v="Low Discount"/>
    <n v="0.157"/>
    <n v="78.939000000000007"/>
    <n v="18.700000000000003"/>
    <n v="842.59114500000021"/>
    <n v="-633.56815500000005"/>
  </r>
  <r>
    <x v="21"/>
    <x v="21"/>
    <x v="15"/>
    <s v="Q2-2024"/>
    <d v="2024-06-06T00:00:00"/>
    <d v="2024-06-06T00:00:00"/>
    <n v="14"/>
    <x v="2"/>
    <x v="5"/>
    <s v="Rio de Janeiro"/>
    <s v="Non-Profit"/>
    <x v="4"/>
    <x v="1"/>
    <x v="1"/>
    <x v="21"/>
    <n v="51.13"/>
    <n v="57.53"/>
    <x v="21"/>
    <b v="0"/>
    <n v="16"/>
    <n v="879.05840000000001"/>
    <n v="818.08"/>
    <n v="60.978399999999965"/>
    <n v="6.9367859973808302E-2"/>
    <s v="Low"/>
    <x v="0"/>
    <s v="Low Discount"/>
    <n v="4.4999999999999998E-2"/>
    <n v="53.686500000000002"/>
    <n v="17.600000000000001"/>
    <n v="966.96424000000013"/>
    <n v="22.081840000000057"/>
  </r>
  <r>
    <x v="22"/>
    <x v="22"/>
    <x v="7"/>
    <s v="Q2-2023"/>
    <d v="2023-06-15T00:00:00"/>
    <d v="2023-06-15T00:00:00"/>
    <n v="29"/>
    <x v="1"/>
    <x v="4"/>
    <s v="Durban"/>
    <s v="Enterprise"/>
    <x v="0"/>
    <x v="12"/>
    <x v="2"/>
    <x v="22"/>
    <n v="40.89"/>
    <n v="62.82"/>
    <x v="22"/>
    <b v="0"/>
    <n v="17"/>
    <n v="930.17574000000002"/>
    <n v="695.13"/>
    <n v="235.04574000000002"/>
    <n v="0.25268960465470752"/>
    <s v="Low"/>
    <x v="0"/>
    <s v="Low Discount"/>
    <n v="0.129"/>
    <n v="42.9345"/>
    <n v="18.700000000000003"/>
    <n v="1023.1933140000001"/>
    <n v="220.31816400000002"/>
  </r>
  <r>
    <x v="23"/>
    <x v="23"/>
    <x v="8"/>
    <s v="Q1-2024"/>
    <d v="2024-03-11T00:00:00"/>
    <d v="2024-03-11T00:00:00"/>
    <n v="22"/>
    <x v="2"/>
    <x v="5"/>
    <s v="São Paulo"/>
    <s v="Consumer"/>
    <x v="4"/>
    <x v="13"/>
    <x v="4"/>
    <x v="23"/>
    <n v="80.48"/>
    <n v="65.650000000000006"/>
    <x v="23"/>
    <b v="0"/>
    <n v="13"/>
    <n v="703.2428000000001"/>
    <n v="1046.24"/>
    <n v="-342.99719999999991"/>
    <n v="-0.48773652570634191"/>
    <s v="Low"/>
    <x v="0"/>
    <s v="Low Discount"/>
    <n v="0.17599999999999999"/>
    <n v="84.504000000000005"/>
    <n v="14.3"/>
    <n v="773.56708000000026"/>
    <n v="-434.84011999999984"/>
  </r>
  <r>
    <x v="24"/>
    <x v="11"/>
    <x v="6"/>
    <s v="Q2-2025"/>
    <d v="2025-05-12T00:00:00"/>
    <d v="2025-05-12T00:00:00"/>
    <n v="20"/>
    <x v="0"/>
    <x v="2"/>
    <s v="Lyon"/>
    <s v="Enterprise"/>
    <x v="1"/>
    <x v="12"/>
    <x v="0"/>
    <x v="24"/>
    <n v="59.51"/>
    <n v="67.040000000000006"/>
    <x v="24"/>
    <b v="0"/>
    <n v="9"/>
    <n v="534.57695999999999"/>
    <n v="535.59"/>
    <n v="-1.0130400000000463"/>
    <n v="-1.8950311663264469E-3"/>
    <s v="Low"/>
    <x v="0"/>
    <s v="Low Discount"/>
    <n v="0.114"/>
    <n v="62.485500000000002"/>
    <n v="9.9"/>
    <n v="588.03465600000004"/>
    <n v="-30.571793999999954"/>
  </r>
  <r>
    <x v="25"/>
    <x v="24"/>
    <x v="16"/>
    <s v="Q2-2023"/>
    <d v="2023-04-11T00:00:00"/>
    <d v="2023-04-27T00:00:00"/>
    <n v="14"/>
    <x v="2"/>
    <x v="3"/>
    <s v="San Francisco"/>
    <s v="Education"/>
    <x v="1"/>
    <x v="14"/>
    <x v="1"/>
    <x v="25"/>
    <n v="32.1"/>
    <n v="70.599999999999994"/>
    <x v="25"/>
    <b v="0"/>
    <n v="22"/>
    <n v="1115.1976"/>
    <n v="706.2"/>
    <n v="408.99759999999992"/>
    <n v="0.36674899587301829"/>
    <s v="Low"/>
    <x v="0"/>
    <s v="High Discount"/>
    <n v="0.2"/>
    <n v="33.705000000000005"/>
    <n v="24.200000000000003"/>
    <n v="1366.816"/>
    <n v="551.15499999999986"/>
  </r>
  <r>
    <x v="26"/>
    <x v="25"/>
    <x v="17"/>
    <s v="Q2-2023"/>
    <d v="2023-07-02T00:00:00"/>
    <d v="2023-07-02T00:00:00"/>
    <n v="3"/>
    <x v="3"/>
    <x v="7"/>
    <s v="Nagoya"/>
    <s v="Education"/>
    <x v="1"/>
    <x v="6"/>
    <x v="0"/>
    <x v="26"/>
    <n v="55.65"/>
    <n v="83.57"/>
    <x v="26"/>
    <b v="0"/>
    <n v="8"/>
    <n v="624.43503999999996"/>
    <n v="445.2"/>
    <n v="179.23503999999997"/>
    <n v="0.2870355257449998"/>
    <s v="Low"/>
    <x v="1"/>
    <s v="Low Discount"/>
    <n v="6.6000000000000003E-2"/>
    <n v="58.432499999999997"/>
    <n v="8.8000000000000007"/>
    <n v="686.87854400000003"/>
    <n v="172.67254400000002"/>
  </r>
  <r>
    <x v="27"/>
    <x v="26"/>
    <x v="8"/>
    <s v="Q1-2024"/>
    <d v="2024-02-14T00:00:00"/>
    <d v="2024-02-14T00:00:00"/>
    <n v="0"/>
    <x v="3"/>
    <x v="10"/>
    <s v="Beijing"/>
    <s v="Corporate"/>
    <x v="3"/>
    <x v="5"/>
    <x v="2"/>
    <x v="27"/>
    <n v="65.930000000000007"/>
    <n v="84.9"/>
    <x v="27"/>
    <b v="0"/>
    <n v="23"/>
    <n v="1446.9507000000001"/>
    <n v="1516.39"/>
    <n v="-69.439300000000003"/>
    <n v="-4.7990093926489688E-2"/>
    <s v="Low"/>
    <x v="1"/>
    <s v="High Discount"/>
    <n v="0.2"/>
    <n v="69.226500000000016"/>
    <n v="25.3"/>
    <n v="1718.3760000000002"/>
    <n v="-33.054450000000315"/>
  </r>
  <r>
    <x v="28"/>
    <x v="27"/>
    <x v="13"/>
    <s v="Q1-2023"/>
    <d v="2023-02-06T00:00:00"/>
    <d v="2023-02-06T00:00:00"/>
    <n v="8"/>
    <x v="2"/>
    <x v="5"/>
    <s v="Brasília"/>
    <s v="Corporate"/>
    <x v="1"/>
    <x v="0"/>
    <x v="0"/>
    <x v="28"/>
    <n v="41.84"/>
    <n v="86.2"/>
    <x v="28"/>
    <b v="0"/>
    <n v="27"/>
    <n v="1801.4076"/>
    <n v="1129.68"/>
    <n v="671.72759999999994"/>
    <n v="0.37289039970742877"/>
    <s v="Low"/>
    <x v="0"/>
    <s v="High Discount"/>
    <n v="0.2"/>
    <n v="43.932000000000002"/>
    <n v="29.700000000000003"/>
    <n v="2048.1120000000005"/>
    <n v="743.33160000000044"/>
  </r>
  <r>
    <x v="29"/>
    <x v="28"/>
    <x v="18"/>
    <s v="Q3-2025"/>
    <d v="2025-07-18T00:00:00"/>
    <d v="2025-07-18T00:00:00"/>
    <n v="9"/>
    <x v="2"/>
    <x v="11"/>
    <s v="Vancouver"/>
    <s v="Education"/>
    <x v="3"/>
    <x v="1"/>
    <x v="5"/>
    <x v="29"/>
    <n v="57.96"/>
    <n v="88.51"/>
    <x v="29"/>
    <b v="0"/>
    <n v="7"/>
    <n v="592.92849000000001"/>
    <n v="405.72"/>
    <n v="187.20848999999998"/>
    <n v="0.3157353595877978"/>
    <s v="Low"/>
    <x v="0"/>
    <s v="Low Discount"/>
    <n v="4.2999999999999997E-2"/>
    <n v="60.858000000000004"/>
    <n v="7.7000000000000011"/>
    <n v="652.22133900000006"/>
    <n v="183.61473899999999"/>
  </r>
  <r>
    <x v="30"/>
    <x v="29"/>
    <x v="19"/>
    <s v="Q3-2024"/>
    <d v="2024-09-07T00:00:00"/>
    <d v="2024-09-07T00:00:00"/>
    <n v="4"/>
    <x v="3"/>
    <x v="7"/>
    <s v="Tokyo"/>
    <s v="Small Business"/>
    <x v="3"/>
    <x v="9"/>
    <x v="6"/>
    <x v="30"/>
    <n v="43.23"/>
    <n v="94.78"/>
    <x v="30"/>
    <b v="0"/>
    <n v="55"/>
    <n v="4738.5261"/>
    <n v="2377.6499999999996"/>
    <n v="2360.8761000000004"/>
    <n v="0.49823005090127082"/>
    <s v="Low"/>
    <x v="1"/>
    <s v="Low Discount"/>
    <n v="9.0999999999999998E-2"/>
    <n v="45.391500000000001"/>
    <n v="60.500000000000007"/>
    <n v="5212.3787100000009"/>
    <n v="2466.1929600000003"/>
  </r>
  <r>
    <x v="31"/>
    <x v="30"/>
    <x v="2"/>
    <s v="Q2-2025"/>
    <d v="2025-06-27T00:00:00"/>
    <d v="2025-06-27T00:00:00"/>
    <n v="6"/>
    <x v="1"/>
    <x v="4"/>
    <s v="Durban"/>
    <s v="Enterprise"/>
    <x v="3"/>
    <x v="9"/>
    <x v="3"/>
    <x v="31"/>
    <n v="93.91"/>
    <n v="99.04"/>
    <x v="31"/>
    <b v="0"/>
    <n v="6"/>
    <n v="560.36832000000004"/>
    <n v="563.46"/>
    <n v="-3.0916799999999967"/>
    <n v="-5.5172283829321338E-3"/>
    <s v="Low"/>
    <x v="1"/>
    <s v="Low Discount"/>
    <n v="5.7000000000000002E-2"/>
    <n v="98.605500000000006"/>
    <n v="6.6000000000000005"/>
    <n v="616.40515200000004"/>
    <n v="-34.391148000000044"/>
  </r>
  <r>
    <x v="32"/>
    <x v="31"/>
    <x v="20"/>
    <s v="Q4-2024"/>
    <d v="2024-11-06T00:00:00"/>
    <d v="2024-11-06T00:00:00"/>
    <n v="20"/>
    <x v="3"/>
    <x v="9"/>
    <s v="Bengaluru"/>
    <s v="Enterprise"/>
    <x v="3"/>
    <x v="11"/>
    <x v="0"/>
    <x v="32"/>
    <n v="72.94"/>
    <n v="106.3"/>
    <x v="32"/>
    <b v="0"/>
    <n v="8"/>
    <n v="599.53200000000004"/>
    <n v="583.52"/>
    <n v="16.012000000000057"/>
    <n v="2.6707498515508857E-2"/>
    <s v="Low"/>
    <x v="0"/>
    <s v="High Discount"/>
    <n v="0.2"/>
    <n v="76.587000000000003"/>
    <n v="8.8000000000000007"/>
    <n v="748.35200000000009"/>
    <n v="74.386399999999981"/>
  </r>
  <r>
    <x v="33"/>
    <x v="32"/>
    <x v="9"/>
    <s v="Q3-2023"/>
    <d v="2023-08-25T00:00:00"/>
    <d v="2023-08-25T00:00:00"/>
    <n v="10"/>
    <x v="1"/>
    <x v="1"/>
    <s v="Nairobi"/>
    <s v="Small Business"/>
    <x v="0"/>
    <x v="9"/>
    <x v="3"/>
    <x v="33"/>
    <n v="91.85"/>
    <n v="111.29"/>
    <x v="33"/>
    <b v="0"/>
    <n v="6"/>
    <n v="667.74"/>
    <n v="551.09999999999991"/>
    <n v="116.6400000000001"/>
    <n v="0.17467876718483258"/>
    <s v="Low"/>
    <x v="0"/>
    <s v="Low Discount"/>
    <n v="0"/>
    <n v="96.442499999999995"/>
    <n v="6.6000000000000005"/>
    <n v="734.51400000000012"/>
    <n v="97.993500000000154"/>
  </r>
  <r>
    <x v="34"/>
    <x v="33"/>
    <x v="16"/>
    <s v="Q2-2023"/>
    <d v="2023-04-26T00:00:00"/>
    <d v="2023-04-26T00:00:00"/>
    <n v="0"/>
    <x v="0"/>
    <x v="2"/>
    <s v="Marseille"/>
    <s v="Consumer"/>
    <x v="2"/>
    <x v="7"/>
    <x v="4"/>
    <x v="34"/>
    <n v="81.489999999999995"/>
    <n v="113.08"/>
    <x v="34"/>
    <b v="0"/>
    <n v="5"/>
    <n v="496.98659999999995"/>
    <n v="407.45"/>
    <n v="89.536599999999964"/>
    <n v="0.18015898215364354"/>
    <s v="Low"/>
    <x v="1"/>
    <s v="Low Discount"/>
    <n v="0.121"/>
    <n v="85.564499999999995"/>
    <n v="5.5"/>
    <n v="546.68525999999997"/>
    <n v="76.080510000000004"/>
  </r>
  <r>
    <x v="35"/>
    <x v="34"/>
    <x v="12"/>
    <s v="Q1-2025"/>
    <d v="2025-02-16T00:00:00"/>
    <d v="2025-02-16T00:00:00"/>
    <n v="9"/>
    <x v="1"/>
    <x v="8"/>
    <s v="Lagos"/>
    <s v="Small Business"/>
    <x v="3"/>
    <x v="8"/>
    <x v="6"/>
    <x v="35"/>
    <n v="90.68"/>
    <n v="118.17"/>
    <x v="35"/>
    <b v="0"/>
    <n v="21"/>
    <n v="2146.5580500000001"/>
    <n v="1904.2800000000002"/>
    <n v="242.27804999999989"/>
    <n v="0.11286815653552899"/>
    <s v="Low"/>
    <x v="0"/>
    <s v="Low Discount"/>
    <n v="0.13500000000000001"/>
    <n v="95.214000000000013"/>
    <n v="23.1"/>
    <n v="2361.213855"/>
    <n v="161.7704549999994"/>
  </r>
  <r>
    <x v="36"/>
    <x v="35"/>
    <x v="14"/>
    <s v="Q1-2025"/>
    <d v="2025-04-07T00:00:00"/>
    <d v="2025-04-07T00:00:00"/>
    <n v="8"/>
    <x v="2"/>
    <x v="5"/>
    <s v="São Paulo"/>
    <s v="Non-Profit"/>
    <x v="2"/>
    <x v="5"/>
    <x v="6"/>
    <x v="36"/>
    <n v="71.62"/>
    <n v="118.37"/>
    <x v="36"/>
    <b v="0"/>
    <n v="11"/>
    <n v="1098.9470799999999"/>
    <n v="787.82"/>
    <n v="311.12707999999986"/>
    <n v="0.28311379652603463"/>
    <s v="Low"/>
    <x v="0"/>
    <s v="Low Discount"/>
    <n v="0.156"/>
    <n v="75.201000000000008"/>
    <n v="12.100000000000001"/>
    <n v="1208.8417880000002"/>
    <n v="298.90968799999996"/>
  </r>
  <r>
    <x v="37"/>
    <x v="36"/>
    <x v="0"/>
    <s v="Q4-2024"/>
    <d v="2024-12-12T00:00:00"/>
    <d v="2024-12-12T00:00:00"/>
    <n v="8"/>
    <x v="0"/>
    <x v="6"/>
    <s v="Frankfurt"/>
    <s v="Enterprise"/>
    <x v="1"/>
    <x v="4"/>
    <x v="6"/>
    <x v="37"/>
    <n v="72.06"/>
    <n v="122.74"/>
    <x v="37"/>
    <b v="0"/>
    <n v="8"/>
    <n v="748.22303999999997"/>
    <n v="576.48"/>
    <n v="171.74303999999995"/>
    <n v="0.22953455162246802"/>
    <s v="Low"/>
    <x v="0"/>
    <s v="High Discount"/>
    <n v="0.2"/>
    <n v="75.663000000000011"/>
    <n v="8.8000000000000007"/>
    <n v="864.08960000000013"/>
    <n v="198.25519999999995"/>
  </r>
  <r>
    <x v="38"/>
    <x v="37"/>
    <x v="7"/>
    <s v="Q2-2023"/>
    <d v="2023-05-16T00:00:00"/>
    <d v="2023-05-16T00:00:00"/>
    <n v="13"/>
    <x v="2"/>
    <x v="3"/>
    <s v="New York"/>
    <s v="Corporate"/>
    <x v="1"/>
    <x v="5"/>
    <x v="3"/>
    <x v="38"/>
    <n v="64.5"/>
    <n v="123.62"/>
    <x v="33"/>
    <b v="0"/>
    <n v="3"/>
    <n v="370.86"/>
    <n v="193.5"/>
    <n v="177.36"/>
    <n v="0.47823976702798904"/>
    <s v="Low"/>
    <x v="0"/>
    <s v="Low Discount"/>
    <n v="0"/>
    <n v="67.725000000000009"/>
    <n v="3.3000000000000003"/>
    <n v="407.94600000000003"/>
    <n v="184.45349999999999"/>
  </r>
  <r>
    <x v="39"/>
    <x v="38"/>
    <x v="21"/>
    <s v="Q1-2024"/>
    <d v="2024-01-27T00:00:00"/>
    <d v="2024-02-11T00:00:00"/>
    <n v="14"/>
    <x v="1"/>
    <x v="4"/>
    <s v="Cape Town"/>
    <s v="Enterprise"/>
    <x v="2"/>
    <x v="11"/>
    <x v="4"/>
    <x v="39"/>
    <n v="109.75"/>
    <n v="124.25"/>
    <x v="38"/>
    <b v="0"/>
    <n v="19"/>
    <n v="2077.46"/>
    <n v="2085.25"/>
    <n v="-7.7899999999999636"/>
    <n v="-3.7497713554051405E-3"/>
    <s v="Low"/>
    <x v="0"/>
    <s v="Low Discount"/>
    <n v="0.12"/>
    <n v="115.23750000000001"/>
    <n v="20.900000000000002"/>
    <n v="2285.2060000000001"/>
    <n v="-123.25775000000021"/>
  </r>
  <r>
    <x v="40"/>
    <x v="39"/>
    <x v="22"/>
    <s v="Q4-2024"/>
    <d v="2024-11-26T00:00:00"/>
    <d v="2024-11-26T00:00:00"/>
    <n v="19"/>
    <x v="2"/>
    <x v="5"/>
    <s v="Rio de Janeiro"/>
    <s v="Non-Profit"/>
    <x v="3"/>
    <x v="3"/>
    <x v="6"/>
    <x v="40"/>
    <n v="55.35"/>
    <n v="128.68"/>
    <x v="39"/>
    <b v="0"/>
    <n v="10"/>
    <n v="1122.0896"/>
    <n v="553.5"/>
    <n v="568.58960000000002"/>
    <n v="0.50672388372550647"/>
    <s v="Low"/>
    <x v="0"/>
    <s v="Low Discount"/>
    <n v="0.128"/>
    <n v="58.117500000000007"/>
    <n v="11"/>
    <n v="1234.29856"/>
    <n v="595.00605999999993"/>
  </r>
  <r>
    <x v="41"/>
    <x v="40"/>
    <x v="18"/>
    <s v="Q3-2025"/>
    <d v="2025-08-04T00:00:00"/>
    <d v="2025-08-04T00:00:00"/>
    <n v="21"/>
    <x v="2"/>
    <x v="11"/>
    <s v="Montreal"/>
    <s v="Consumer"/>
    <x v="4"/>
    <x v="2"/>
    <x v="0"/>
    <x v="41"/>
    <n v="90.3"/>
    <n v="131.76"/>
    <x v="0"/>
    <b v="0"/>
    <n v="15"/>
    <n v="1774.8071999999997"/>
    <n v="1354.5"/>
    <n v="420.30719999999974"/>
    <n v="0.23681851189244657"/>
    <s v="Low"/>
    <x v="0"/>
    <s v="Low Discount"/>
    <n v="0.10199999999999999"/>
    <n v="94.814999999999998"/>
    <n v="16.5"/>
    <n v="1952.2879199999998"/>
    <n v="387.84041999999977"/>
  </r>
  <r>
    <x v="42"/>
    <x v="41"/>
    <x v="14"/>
    <s v="Q1-2025"/>
    <d v="2025-03-26T00:00:00"/>
    <d v="2025-03-26T00:00:00"/>
    <n v="15"/>
    <x v="0"/>
    <x v="6"/>
    <s v="Berlin"/>
    <s v="Small Business"/>
    <x v="4"/>
    <x v="1"/>
    <x v="3"/>
    <x v="42"/>
    <n v="116.97"/>
    <n v="140.82"/>
    <x v="40"/>
    <b v="0"/>
    <n v="5"/>
    <n v="618.19979999999998"/>
    <n v="584.85"/>
    <n v="33.349799999999959"/>
    <n v="5.3946636669892099E-2"/>
    <s v="Low"/>
    <x v="0"/>
    <s v="Low Discount"/>
    <n v="0.122"/>
    <n v="122.8185"/>
    <n v="5.5"/>
    <n v="680.01977999999997"/>
    <n v="4.5180299999999534"/>
  </r>
  <r>
    <x v="43"/>
    <x v="42"/>
    <x v="23"/>
    <s v="Q2-2025"/>
    <d v="2025-05-30T00:00:00"/>
    <d v="2025-05-30T00:00:00"/>
    <n v="13"/>
    <x v="1"/>
    <x v="8"/>
    <s v="Lagos"/>
    <s v="Consumer"/>
    <x v="3"/>
    <x v="6"/>
    <x v="2"/>
    <x v="43"/>
    <n v="66.400000000000006"/>
    <n v="141.43"/>
    <x v="41"/>
    <b v="0"/>
    <n v="8"/>
    <n v="1010.3759200000001"/>
    <n v="531.20000000000005"/>
    <n v="479.17592000000002"/>
    <n v="0.47425508715607551"/>
    <s v="Low"/>
    <x v="0"/>
    <s v="Low Discount"/>
    <n v="0.107"/>
    <n v="69.720000000000013"/>
    <n v="8.8000000000000007"/>
    <n v="1111.4135120000001"/>
    <n v="497.87751199999991"/>
  </r>
  <r>
    <x v="44"/>
    <x v="43"/>
    <x v="7"/>
    <s v="Q2-2023"/>
    <d v="2023-05-16T00:00:00"/>
    <d v="2023-05-16T00:00:00"/>
    <n v="12"/>
    <x v="1"/>
    <x v="8"/>
    <s v="Abuja"/>
    <s v="Small Business"/>
    <x v="1"/>
    <x v="3"/>
    <x v="3"/>
    <x v="44"/>
    <n v="77.739999999999995"/>
    <n v="147.12"/>
    <x v="33"/>
    <b v="0"/>
    <n v="15"/>
    <n v="2206.8000000000002"/>
    <n v="1166.0999999999999"/>
    <n v="1040.7000000000003"/>
    <n v="0.47158781946710177"/>
    <s v="Low"/>
    <x v="0"/>
    <s v="Low Discount"/>
    <n v="0"/>
    <n v="81.626999999999995"/>
    <n v="16.5"/>
    <n v="2427.48"/>
    <n v="1080.6345000000001"/>
  </r>
  <r>
    <x v="45"/>
    <x v="44"/>
    <x v="3"/>
    <s v="Q1-2024"/>
    <d v="2024-03-26T00:00:00"/>
    <d v="2024-03-26T00:00:00"/>
    <n v="20"/>
    <x v="1"/>
    <x v="8"/>
    <s v="Port Harcourt"/>
    <s v="Consumer"/>
    <x v="1"/>
    <x v="1"/>
    <x v="3"/>
    <x v="45"/>
    <n v="65.64"/>
    <n v="151.88"/>
    <x v="42"/>
    <b v="0"/>
    <n v="23"/>
    <n v="2909.8689199999999"/>
    <n v="1509.72"/>
    <n v="1400.1489199999999"/>
    <n v="0.48117250587356353"/>
    <s v="Low"/>
    <x v="0"/>
    <s v="Low Discount"/>
    <n v="0.16700000000000001"/>
    <n v="68.921999999999997"/>
    <n v="25.3"/>
    <n v="3200.8558119999998"/>
    <n v="1457.1292119999998"/>
  </r>
  <r>
    <x v="46"/>
    <x v="45"/>
    <x v="20"/>
    <s v="Q4-2024"/>
    <d v="2024-11-08T00:00:00"/>
    <d v="2024-11-08T00:00:00"/>
    <n v="23"/>
    <x v="3"/>
    <x v="7"/>
    <s v="Osaka"/>
    <s v="Small Business"/>
    <x v="0"/>
    <x v="3"/>
    <x v="1"/>
    <x v="46"/>
    <n v="82.14"/>
    <n v="166.04"/>
    <x v="33"/>
    <b v="0"/>
    <n v="10"/>
    <n v="1660.3999999999999"/>
    <n v="821.4"/>
    <n v="838.99999999999989"/>
    <n v="0.50529992772825827"/>
    <s v="Low"/>
    <x v="0"/>
    <s v="Low Discount"/>
    <n v="0"/>
    <n v="86.247"/>
    <n v="11"/>
    <n v="1826.4399999999998"/>
    <n v="877.72299999999984"/>
  </r>
  <r>
    <x v="47"/>
    <x v="46"/>
    <x v="15"/>
    <s v="Q2-2024"/>
    <d v="2024-05-24T00:00:00"/>
    <d v="2024-05-24T00:00:00"/>
    <n v="12"/>
    <x v="0"/>
    <x v="0"/>
    <s v="Manchester"/>
    <s v="Education"/>
    <x v="1"/>
    <x v="12"/>
    <x v="6"/>
    <x v="47"/>
    <n v="111.02"/>
    <n v="172.88"/>
    <x v="43"/>
    <b v="0"/>
    <n v="29"/>
    <n v="4025.8565599999993"/>
    <n v="3219.58"/>
    <n v="806.27655999999934"/>
    <n v="0.20027453735212053"/>
    <s v="Low"/>
    <x v="0"/>
    <s v="Low Discount"/>
    <n v="0.19700000000000001"/>
    <n v="116.571"/>
    <n v="31.900000000000002"/>
    <n v="4428.4422159999995"/>
    <n v="709.82731599999943"/>
  </r>
  <r>
    <x v="48"/>
    <x v="47"/>
    <x v="22"/>
    <s v="Q4-2024"/>
    <d v="2024-12-30T00:00:00"/>
    <d v="2024-12-30T00:00:00"/>
    <n v="30"/>
    <x v="0"/>
    <x v="2"/>
    <s v="Marseille"/>
    <s v="Consumer"/>
    <x v="1"/>
    <x v="6"/>
    <x v="6"/>
    <x v="48"/>
    <n v="117.64"/>
    <n v="175.67"/>
    <x v="33"/>
    <b v="0"/>
    <n v="10"/>
    <n v="1756.6999999999998"/>
    <n v="1176.4000000000001"/>
    <n v="580.29999999999973"/>
    <n v="0.33033528775545046"/>
    <s v="Low"/>
    <x v="0"/>
    <s v="Low Discount"/>
    <n v="0"/>
    <n v="123.52200000000001"/>
    <n v="11"/>
    <n v="1932.37"/>
    <n v="573.62799999999993"/>
  </r>
  <r>
    <x v="49"/>
    <x v="48"/>
    <x v="24"/>
    <s v="Q3-2023"/>
    <d v="2023-08-01T00:00:00"/>
    <d v="2023-08-01T00:00:00"/>
    <n v="30"/>
    <x v="0"/>
    <x v="0"/>
    <s v="Birmingham"/>
    <s v="Small Business"/>
    <x v="0"/>
    <x v="4"/>
    <x v="4"/>
    <x v="49"/>
    <n v="137.46"/>
    <n v="188.3"/>
    <x v="44"/>
    <b v="0"/>
    <n v="37"/>
    <n v="6702.3501999999999"/>
    <n v="5086.0200000000004"/>
    <n v="1616.3301999999994"/>
    <n v="0.24115872071262398"/>
    <s v="Low"/>
    <x v="0"/>
    <s v="Low Discount"/>
    <n v="3.7999999999999999E-2"/>
    <n v="144.33300000000003"/>
    <n v="40.700000000000003"/>
    <n v="7372.5852200000008"/>
    <n v="1498.2321199999997"/>
  </r>
  <r>
    <x v="50"/>
    <x v="49"/>
    <x v="19"/>
    <s v="Q3-2024"/>
    <d v="2024-09-18T00:00:00"/>
    <d v="2024-09-18T00:00:00"/>
    <n v="11"/>
    <x v="3"/>
    <x v="10"/>
    <s v="Beijing"/>
    <s v="Consumer"/>
    <x v="3"/>
    <x v="11"/>
    <x v="1"/>
    <x v="50"/>
    <n v="181.74"/>
    <n v="190.84"/>
    <x v="45"/>
    <b v="0"/>
    <n v="13"/>
    <n v="1950.0031200000003"/>
    <n v="2362.62"/>
    <n v="-412.61687999999958"/>
    <n v="-0.21159806144310145"/>
    <s v="Low"/>
    <x v="0"/>
    <s v="High Discount"/>
    <n v="0.2"/>
    <n v="190.82700000000003"/>
    <n v="14.3"/>
    <n v="2183.2096000000001"/>
    <n v="-545.61650000000054"/>
  </r>
  <r>
    <x v="51"/>
    <x v="50"/>
    <x v="25"/>
    <s v="Q3-2024"/>
    <d v="2024-09-04T00:00:00"/>
    <d v="2024-09-04T00:00:00"/>
    <n v="13"/>
    <x v="0"/>
    <x v="6"/>
    <s v="Frankfurt"/>
    <s v="Non-Profit"/>
    <x v="0"/>
    <x v="5"/>
    <x v="6"/>
    <x v="51"/>
    <n v="90.04"/>
    <n v="194.62"/>
    <x v="29"/>
    <b v="0"/>
    <n v="32"/>
    <n v="5960.04288"/>
    <n v="2881.28"/>
    <n v="3078.7628799999998"/>
    <n v="0.51656723650954672"/>
    <s v="Low"/>
    <x v="0"/>
    <s v="Low Discount"/>
    <n v="4.2999999999999997E-2"/>
    <n v="94.542000000000016"/>
    <n v="35.200000000000003"/>
    <n v="6556.0471680000001"/>
    <n v="3228.1687679999991"/>
  </r>
  <r>
    <x v="52"/>
    <x v="51"/>
    <x v="26"/>
    <s v="Q1-2023"/>
    <d v="2023-04-22T00:00:00"/>
    <d v="2023-04-22T00:00:00"/>
    <n v="26"/>
    <x v="3"/>
    <x v="9"/>
    <s v="Delhi"/>
    <s v="Non-Profit"/>
    <x v="1"/>
    <x v="3"/>
    <x v="6"/>
    <x v="52"/>
    <n v="178.53"/>
    <n v="199.37"/>
    <x v="46"/>
    <b v="0"/>
    <n v="37"/>
    <n v="6631.6443100000006"/>
    <n v="6605.61"/>
    <n v="26.034310000000914"/>
    <n v="3.9257699573457538E-3"/>
    <s v="Low"/>
    <x v="0"/>
    <s v="Low Discount"/>
    <n v="0.10100000000000001"/>
    <n v="187.45650000000001"/>
    <n v="40.700000000000003"/>
    <n v="7294.8087410000007"/>
    <n v="-334.67080900000019"/>
  </r>
  <r>
    <x v="53"/>
    <x v="52"/>
    <x v="24"/>
    <s v="Q3-2023"/>
    <d v="2023-07-19T00:00:00"/>
    <d v="2023-07-19T00:00:00"/>
    <n v="10"/>
    <x v="3"/>
    <x v="7"/>
    <s v="Tokyo"/>
    <s v="Enterprise"/>
    <x v="3"/>
    <x v="9"/>
    <x v="4"/>
    <x v="53"/>
    <n v="141.26"/>
    <n v="206.88"/>
    <x v="41"/>
    <b v="0"/>
    <n v="9"/>
    <n v="1662.6945600000001"/>
    <n v="1271.3399999999999"/>
    <n v="391.35456000000022"/>
    <n v="0.23537369365062469"/>
    <s v="Low"/>
    <x v="0"/>
    <s v="Low Discount"/>
    <n v="0.107"/>
    <n v="148.32300000000001"/>
    <n v="9.9"/>
    <n v="1828.9640160000001"/>
    <n v="360.56631599999992"/>
  </r>
  <r>
    <x v="54"/>
    <x v="53"/>
    <x v="11"/>
    <s v="Q3-2025"/>
    <d v="2025-08-23T00:00:00"/>
    <d v="2025-08-23T00:00:00"/>
    <n v="17"/>
    <x v="2"/>
    <x v="5"/>
    <s v="Brasília"/>
    <s v="Consumer"/>
    <x v="3"/>
    <x v="13"/>
    <x v="0"/>
    <x v="54"/>
    <n v="86.64"/>
    <n v="213.06"/>
    <x v="5"/>
    <b v="0"/>
    <n v="11"/>
    <n v="1846.8040800000003"/>
    <n v="953.04"/>
    <n v="893.76408000000038"/>
    <n v="0.48395175735154333"/>
    <s v="Low"/>
    <x v="0"/>
    <s v="High Discount"/>
    <n v="0.2"/>
    <n v="90.972000000000008"/>
    <n v="12.100000000000001"/>
    <n v="2062.4208000000003"/>
    <n v="961.65960000000018"/>
  </r>
  <r>
    <x v="55"/>
    <x v="54"/>
    <x v="6"/>
    <s v="Q2-2025"/>
    <d v="2025-04-12T00:00:00"/>
    <d v="2025-04-12T00:00:00"/>
    <n v="3"/>
    <x v="0"/>
    <x v="2"/>
    <s v="Lyon"/>
    <s v="Small Business"/>
    <x v="3"/>
    <x v="2"/>
    <x v="0"/>
    <x v="55"/>
    <n v="86.68"/>
    <n v="213.32"/>
    <x v="44"/>
    <b v="0"/>
    <n v="8"/>
    <n v="1641.7107199999998"/>
    <n v="693.44"/>
    <n v="948.27071999999976"/>
    <n v="0.57761133459614611"/>
    <s v="Low"/>
    <x v="1"/>
    <s v="Low Discount"/>
    <n v="3.7999999999999999E-2"/>
    <n v="91.01400000000001"/>
    <n v="8.8000000000000007"/>
    <n v="1805.8817919999999"/>
    <n v="1004.9585919999997"/>
  </r>
  <r>
    <x v="56"/>
    <x v="55"/>
    <x v="27"/>
    <s v="Q1-2025"/>
    <d v="2025-01-24T00:00:00"/>
    <d v="2025-01-24T00:00:00"/>
    <n v="7"/>
    <x v="2"/>
    <x v="3"/>
    <s v="Austin"/>
    <s v="Enterprise"/>
    <x v="4"/>
    <x v="14"/>
    <x v="2"/>
    <x v="56"/>
    <n v="142.09"/>
    <n v="218.5"/>
    <x v="3"/>
    <b v="0"/>
    <n v="11"/>
    <n v="2117.4835000000003"/>
    <n v="1562.99"/>
    <n v="554.49350000000027"/>
    <n v="0.26186437816398578"/>
    <s v="Low"/>
    <x v="1"/>
    <s v="Low Discount"/>
    <n v="0.11899999999999999"/>
    <n v="149.19450000000001"/>
    <n v="12.100000000000001"/>
    <n v="2329.2318500000006"/>
    <n v="523.97840000000019"/>
  </r>
  <r>
    <x v="57"/>
    <x v="56"/>
    <x v="15"/>
    <s v="Q2-2024"/>
    <d v="2024-05-16T00:00:00"/>
    <d v="2024-05-16T00:00:00"/>
    <n v="6"/>
    <x v="0"/>
    <x v="0"/>
    <s v="Birmingham"/>
    <s v="Non-Profit"/>
    <x v="2"/>
    <x v="14"/>
    <x v="5"/>
    <x v="57"/>
    <n v="210.76"/>
    <n v="221.58"/>
    <x v="47"/>
    <b v="0"/>
    <n v="5"/>
    <n v="1009.2969000000001"/>
    <n v="1053.8"/>
    <n v="-44.503099999999904"/>
    <n v="-4.4093170205912552E-2"/>
    <s v="Low"/>
    <x v="1"/>
    <s v="Low Discount"/>
    <n v="8.8999999999999996E-2"/>
    <n v="221.298"/>
    <n v="5.5"/>
    <n v="1110.22659"/>
    <n v="-106.91241000000014"/>
  </r>
  <r>
    <x v="58"/>
    <x v="57"/>
    <x v="27"/>
    <s v="Q1-2025"/>
    <d v="2025-02-04T00:00:00"/>
    <d v="2025-02-04T00:00:00"/>
    <n v="13"/>
    <x v="3"/>
    <x v="7"/>
    <s v="Tokyo"/>
    <s v="Small Business"/>
    <x v="3"/>
    <x v="5"/>
    <x v="6"/>
    <x v="58"/>
    <n v="122.29"/>
    <n v="224.95"/>
    <x v="48"/>
    <b v="0"/>
    <n v="28"/>
    <n v="5334.9141999999993"/>
    <n v="3424.1200000000003"/>
    <n v="1910.7941999999989"/>
    <n v="0.3581677471026618"/>
    <s v="Low"/>
    <x v="0"/>
    <s v="Low Discount"/>
    <n v="0.153"/>
    <n v="128.40450000000001"/>
    <n v="30.800000000000004"/>
    <n v="5868.4056200000005"/>
    <n v="1913.5470199999995"/>
  </r>
  <r>
    <x v="59"/>
    <x v="58"/>
    <x v="27"/>
    <s v="Q1-2025"/>
    <d v="2025-01-23T00:00:00"/>
    <d v="2025-01-23T00:00:00"/>
    <n v="12"/>
    <x v="2"/>
    <x v="3"/>
    <s v="Austin"/>
    <s v="Consumer"/>
    <x v="3"/>
    <x v="2"/>
    <x v="3"/>
    <x v="59"/>
    <n v="100.69"/>
    <n v="226.14"/>
    <x v="49"/>
    <b v="0"/>
    <n v="12"/>
    <n v="2537.2907999999998"/>
    <n v="1208.28"/>
    <n v="1329.0107999999998"/>
    <n v="0.52379128162999677"/>
    <s v="Low"/>
    <x v="0"/>
    <s v="Low Discount"/>
    <n v="6.5000000000000002E-2"/>
    <n v="105.72450000000001"/>
    <n v="13.200000000000001"/>
    <n v="2791.0198800000003"/>
    <n v="1395.4564800000001"/>
  </r>
  <r>
    <x v="60"/>
    <x v="59"/>
    <x v="6"/>
    <s v="Q2-2025"/>
    <d v="2025-04-27T00:00:00"/>
    <d v="2025-04-27T00:00:00"/>
    <n v="26"/>
    <x v="2"/>
    <x v="3"/>
    <s v="San Francisco"/>
    <s v="Corporate"/>
    <x v="2"/>
    <x v="1"/>
    <x v="0"/>
    <x v="60"/>
    <n v="156.55000000000001"/>
    <n v="227.45"/>
    <x v="50"/>
    <b v="0"/>
    <n v="13"/>
    <n v="2915.4540999999999"/>
    <n v="2035.15"/>
    <n v="880.30409999999983"/>
    <n v="0.3019440779396938"/>
    <s v="Low"/>
    <x v="0"/>
    <s v="Low Discount"/>
    <n v="1.4E-2"/>
    <n v="164.37750000000003"/>
    <n v="14.3"/>
    <n v="3206.9995100000001"/>
    <n v="856.40125999999964"/>
  </r>
  <r>
    <x v="61"/>
    <x v="60"/>
    <x v="28"/>
    <s v="Q3-2023"/>
    <d v="2023-10-02T00:00:00"/>
    <d v="2023-10-02T00:00:00"/>
    <n v="7"/>
    <x v="2"/>
    <x v="3"/>
    <s v="New York"/>
    <s v="Education"/>
    <x v="1"/>
    <x v="1"/>
    <x v="2"/>
    <x v="61"/>
    <n v="145.58000000000001"/>
    <n v="228.15"/>
    <x v="51"/>
    <b v="0"/>
    <n v="5"/>
    <n v="908.03700000000003"/>
    <n v="727.90000000000009"/>
    <n v="180.13699999999994"/>
    <n v="0.19838068272548359"/>
    <s v="Low"/>
    <x v="1"/>
    <s v="High Discount"/>
    <n v="0.2"/>
    <n v="152.85900000000001"/>
    <n v="5.5"/>
    <n v="1003.86"/>
    <n v="163.13549999999998"/>
  </r>
  <r>
    <x v="62"/>
    <x v="61"/>
    <x v="22"/>
    <s v="Q4-2024"/>
    <d v="2024-12-24T00:00:00"/>
    <d v="2024-12-24T00:00:00"/>
    <n v="27"/>
    <x v="1"/>
    <x v="1"/>
    <s v="Mombasa"/>
    <s v="Corporate"/>
    <x v="3"/>
    <x v="4"/>
    <x v="6"/>
    <x v="62"/>
    <n v="143.33000000000001"/>
    <n v="233.51"/>
    <x v="52"/>
    <b v="0"/>
    <n v="14"/>
    <n v="2736.27018"/>
    <n v="2006.6200000000001"/>
    <n v="729.65017999999986"/>
    <n v="0.26665867476580835"/>
    <s v="Low"/>
    <x v="0"/>
    <s v="Low Discount"/>
    <n v="0.16300000000000001"/>
    <n v="150.49650000000003"/>
    <n v="15.400000000000002"/>
    <n v="3009.8971980000001"/>
    <n v="692.25109799999927"/>
  </r>
  <r>
    <x v="63"/>
    <x v="62"/>
    <x v="27"/>
    <s v="Q1-2025"/>
    <d v="2025-02-16T00:00:00"/>
    <d v="2025-02-16T00:00:00"/>
    <n v="26"/>
    <x v="0"/>
    <x v="2"/>
    <s v="Lyon"/>
    <s v="Corporate"/>
    <x v="3"/>
    <x v="11"/>
    <x v="5"/>
    <x v="63"/>
    <n v="204.11"/>
    <n v="236.87"/>
    <x v="53"/>
    <b v="0"/>
    <n v="13"/>
    <n v="2518.8755800000004"/>
    <n v="2653.4300000000003"/>
    <n v="-134.55441999999994"/>
    <n v="-5.3418446337075494E-2"/>
    <s v="Low"/>
    <x v="0"/>
    <s v="Low Discount"/>
    <n v="0.182"/>
    <n v="214.31550000000001"/>
    <n v="14.3"/>
    <n v="2770.7631380000007"/>
    <n v="-293.94851199999948"/>
  </r>
  <r>
    <x v="64"/>
    <x v="63"/>
    <x v="0"/>
    <s v="Q4-2024"/>
    <d v="2024-12-28T00:00:00"/>
    <d v="2024-12-28T00:00:00"/>
    <n v="23"/>
    <x v="2"/>
    <x v="11"/>
    <s v="Vancouver"/>
    <s v="Corporate"/>
    <x v="2"/>
    <x v="6"/>
    <x v="2"/>
    <x v="64"/>
    <n v="107.03"/>
    <n v="242.29"/>
    <x v="54"/>
    <b v="0"/>
    <n v="30"/>
    <n v="5960.3340000000007"/>
    <n v="3210.9"/>
    <n v="2749.4340000000007"/>
    <n v="0.46128857879440988"/>
    <s v="Low"/>
    <x v="0"/>
    <s v="Low Discount"/>
    <n v="0.18"/>
    <n v="112.3815"/>
    <n v="33"/>
    <n v="6556.367400000001"/>
    <n v="2847.777900000001"/>
  </r>
  <r>
    <x v="65"/>
    <x v="64"/>
    <x v="29"/>
    <s v="Q3-2024"/>
    <d v="2024-07-12T00:00:00"/>
    <d v="2024-07-27T00:00:00"/>
    <n v="14"/>
    <x v="3"/>
    <x v="7"/>
    <s v="Nagoya"/>
    <s v="Small Business"/>
    <x v="1"/>
    <x v="6"/>
    <x v="1"/>
    <x v="65"/>
    <n v="105.13"/>
    <n v="244.13"/>
    <x v="55"/>
    <b v="0"/>
    <n v="14"/>
    <n v="3175.1547800000003"/>
    <n v="1471.82"/>
    <n v="1703.3347800000004"/>
    <n v="0.53645724319618848"/>
    <s v="Low"/>
    <x v="0"/>
    <s v="Low Discount"/>
    <n v="7.0999999999999994E-2"/>
    <n v="110.3865"/>
    <n v="15.400000000000002"/>
    <n v="3492.6702580000006"/>
    <n v="1792.7181580000004"/>
  </r>
  <r>
    <x v="66"/>
    <x v="21"/>
    <x v="15"/>
    <s v="Q2-2024"/>
    <d v="2024-06-03T00:00:00"/>
    <d v="2024-06-03T00:00:00"/>
    <n v="11"/>
    <x v="1"/>
    <x v="4"/>
    <s v="Johannesburg"/>
    <s v="Small Business"/>
    <x v="3"/>
    <x v="6"/>
    <x v="6"/>
    <x v="66"/>
    <n v="180.89"/>
    <n v="249.57"/>
    <x v="56"/>
    <b v="0"/>
    <n v="8"/>
    <n v="1952.6356799999999"/>
    <n v="1447.12"/>
    <n v="505.51567999999997"/>
    <n v="0.25888888806948362"/>
    <s v="Low"/>
    <x v="0"/>
    <s v="Low Discount"/>
    <n v="2.1999999999999999E-2"/>
    <n v="189.93449999999999"/>
    <n v="8.8000000000000007"/>
    <n v="2147.8992480000002"/>
    <n v="476.47564800000009"/>
  </r>
  <r>
    <x v="67"/>
    <x v="65"/>
    <x v="30"/>
    <s v="Q4-2023"/>
    <d v="2023-12-05T00:00:00"/>
    <d v="2023-12-05T00:00:00"/>
    <n v="15"/>
    <x v="3"/>
    <x v="7"/>
    <s v="Tokyo"/>
    <s v="Enterprise"/>
    <x v="0"/>
    <x v="5"/>
    <x v="1"/>
    <x v="67"/>
    <n v="354.24"/>
    <n v="249.87"/>
    <x v="33"/>
    <b v="0"/>
    <n v="6"/>
    <n v="1499.22"/>
    <n v="2125.44"/>
    <n v="-626.22"/>
    <n v="-0.41769720254532355"/>
    <s v="Low"/>
    <x v="0"/>
    <s v="Low Discount"/>
    <n v="0"/>
    <n v="371.952"/>
    <n v="6.6000000000000005"/>
    <n v="1649.1420000000001"/>
    <n v="-805.74120000000016"/>
  </r>
  <r>
    <x v="68"/>
    <x v="6"/>
    <x v="6"/>
    <s v="Q2-2025"/>
    <d v="2025-04-10T00:00:00"/>
    <d v="2025-04-10T00:00:00"/>
    <n v="6"/>
    <x v="0"/>
    <x v="0"/>
    <s v="Birmingham"/>
    <s v="Non-Profit"/>
    <x v="2"/>
    <x v="9"/>
    <x v="6"/>
    <x v="68"/>
    <n v="290.14"/>
    <n v="250.73"/>
    <x v="57"/>
    <b v="0"/>
    <n v="17"/>
    <n v="4117.4880599999997"/>
    <n v="4932.38"/>
    <n v="-814.89194000000043"/>
    <n v="-0.19790997038131072"/>
    <s v="Low"/>
    <x v="1"/>
    <s v="Low Discount"/>
    <n v="3.4000000000000002E-2"/>
    <n v="304.64699999999999"/>
    <n v="18.700000000000003"/>
    <n v="4529.2368660000002"/>
    <n v="-1167.6620340000009"/>
  </r>
  <r>
    <x v="69"/>
    <x v="66"/>
    <x v="14"/>
    <s v="Q1-2025"/>
    <d v="2025-04-02T00:00:00"/>
    <d v="2025-04-02T00:00:00"/>
    <n v="4"/>
    <x v="1"/>
    <x v="8"/>
    <s v="Lagos"/>
    <s v="Non-Profit"/>
    <x v="1"/>
    <x v="14"/>
    <x v="3"/>
    <x v="69"/>
    <n v="259.93"/>
    <n v="255.94"/>
    <x v="13"/>
    <b v="0"/>
    <n v="22"/>
    <n v="5225.2710400000005"/>
    <n v="5718.46"/>
    <n v="-493.1889599999995"/>
    <n v="-9.4385335463861311E-2"/>
    <s v="Low"/>
    <x v="1"/>
    <s v="Low Discount"/>
    <n v="7.1999999999999995E-2"/>
    <n v="272.92650000000003"/>
    <n v="24.200000000000003"/>
    <n v="5747.7981440000012"/>
    <n v="-857.0231560000002"/>
  </r>
  <r>
    <x v="70"/>
    <x v="67"/>
    <x v="3"/>
    <s v="Q1-2024"/>
    <d v="2024-04-24T00:00:00"/>
    <d v="2024-04-24T00:00:00"/>
    <n v="25"/>
    <x v="2"/>
    <x v="3"/>
    <s v="Austin"/>
    <s v="Non-Profit"/>
    <x v="4"/>
    <x v="14"/>
    <x v="5"/>
    <x v="70"/>
    <n v="160.82"/>
    <n v="258.52"/>
    <x v="58"/>
    <b v="0"/>
    <n v="17"/>
    <n v="3823.5108"/>
    <n v="2733.94"/>
    <n v="1089.5708"/>
    <n v="0.28496605789631874"/>
    <s v="Low"/>
    <x v="0"/>
    <s v="Low Discount"/>
    <n v="0.13"/>
    <n v="168.86099999999999"/>
    <n v="18.700000000000003"/>
    <n v="4205.8618800000004"/>
    <n v="1048.1611800000001"/>
  </r>
  <r>
    <x v="71"/>
    <x v="68"/>
    <x v="25"/>
    <s v="Q3-2024"/>
    <d v="2024-08-15T00:00:00"/>
    <d v="2024-08-31T00:00:00"/>
    <n v="14"/>
    <x v="2"/>
    <x v="5"/>
    <s v="Rio de Janeiro"/>
    <s v="Consumer"/>
    <x v="2"/>
    <x v="7"/>
    <x v="0"/>
    <x v="71"/>
    <n v="165.3"/>
    <n v="275.07"/>
    <x v="59"/>
    <b v="0"/>
    <n v="25"/>
    <n v="5962.1422499999999"/>
    <n v="4132.5"/>
    <n v="1829.6422499999999"/>
    <n v="0.30687665159280625"/>
    <s v="Low"/>
    <x v="0"/>
    <s v="Low Discount"/>
    <n v="0.13300000000000001"/>
    <n v="173.56500000000003"/>
    <n v="27.500000000000004"/>
    <n v="6558.3564750000014"/>
    <n v="1785.3189750000001"/>
  </r>
  <r>
    <x v="72"/>
    <x v="69"/>
    <x v="10"/>
    <s v="Q4-2023"/>
    <d v="2023-10-21T00:00:00"/>
    <d v="2023-10-21T00:00:00"/>
    <n v="0"/>
    <x v="0"/>
    <x v="0"/>
    <s v="Manchester"/>
    <s v="Enterprise"/>
    <x v="3"/>
    <x v="3"/>
    <x v="0"/>
    <x v="72"/>
    <n v="384.19"/>
    <n v="278.35000000000002"/>
    <x v="60"/>
    <b v="0"/>
    <n v="10"/>
    <n v="2627.6240000000003"/>
    <n v="3841.9"/>
    <n v="-1214.2759999999998"/>
    <n v="-0.46211938998882629"/>
    <s v="Low"/>
    <x v="1"/>
    <s v="Low Discount"/>
    <n v="5.6000000000000001E-2"/>
    <n v="403.39949999999999"/>
    <n v="11"/>
    <n v="2890.3864000000003"/>
    <n v="-1547.0081"/>
  </r>
  <r>
    <x v="73"/>
    <x v="70"/>
    <x v="0"/>
    <s v="Q4-2024"/>
    <d v="2025-01-13T00:00:00"/>
    <d v="2025-01-13T00:00:00"/>
    <n v="20"/>
    <x v="3"/>
    <x v="9"/>
    <s v="Bengaluru"/>
    <s v="Corporate"/>
    <x v="1"/>
    <x v="0"/>
    <x v="1"/>
    <x v="73"/>
    <n v="126.15"/>
    <n v="284.23"/>
    <x v="61"/>
    <b v="0"/>
    <n v="22"/>
    <n v="5546.4642200000008"/>
    <n v="2775.3"/>
    <n v="2771.1642200000006"/>
    <n v="0.49962716968541088"/>
    <s v="Low"/>
    <x v="0"/>
    <s v="Low Discount"/>
    <n v="0.113"/>
    <n v="132.45750000000001"/>
    <n v="24.200000000000003"/>
    <n v="6101.1106420000015"/>
    <n v="2895.6391420000009"/>
  </r>
  <r>
    <x v="74"/>
    <x v="71"/>
    <x v="9"/>
    <s v="Q3-2023"/>
    <d v="2023-09-04T00:00:00"/>
    <d v="2023-09-04T00:00:00"/>
    <n v="14"/>
    <x v="2"/>
    <x v="11"/>
    <s v="Montreal"/>
    <s v="Education"/>
    <x v="3"/>
    <x v="6"/>
    <x v="4"/>
    <x v="74"/>
    <n v="178.19"/>
    <n v="284.43"/>
    <x v="47"/>
    <b v="0"/>
    <n v="8"/>
    <n v="2072.9258400000003"/>
    <n v="1425.52"/>
    <n v="647.40584000000035"/>
    <n v="0.31231500302972742"/>
    <s v="Low"/>
    <x v="0"/>
    <s v="Low Discount"/>
    <n v="8.8999999999999996E-2"/>
    <n v="187.09950000000001"/>
    <n v="8.8000000000000007"/>
    <n v="2280.2184240000006"/>
    <n v="633.74282400000038"/>
  </r>
  <r>
    <x v="75"/>
    <x v="72"/>
    <x v="6"/>
    <s v="Q2-2025"/>
    <d v="2025-04-14T00:00:00"/>
    <d v="2025-04-14T00:00:00"/>
    <n v="1"/>
    <x v="3"/>
    <x v="7"/>
    <s v="Osaka"/>
    <s v="Enterprise"/>
    <x v="4"/>
    <x v="14"/>
    <x v="4"/>
    <x v="75"/>
    <n v="138.9"/>
    <n v="289.92"/>
    <x v="62"/>
    <b v="0"/>
    <n v="12"/>
    <n v="3378.1478399999996"/>
    <n v="1666.8000000000002"/>
    <n v="1711.3478399999995"/>
    <n v="0.50659353025828491"/>
    <s v="Low"/>
    <x v="1"/>
    <s v="Low Discount"/>
    <n v="2.9000000000000001E-2"/>
    <n v="145.845"/>
    <n v="13.200000000000001"/>
    <n v="3715.9626240000002"/>
    <n v="1790.808624"/>
  </r>
  <r>
    <x v="76"/>
    <x v="73"/>
    <x v="0"/>
    <s v="Q4-2024"/>
    <d v="2024-12-08T00:00:00"/>
    <d v="2024-12-08T00:00:00"/>
    <n v="0"/>
    <x v="0"/>
    <x v="2"/>
    <s v="Lyon"/>
    <s v="Enterprise"/>
    <x v="0"/>
    <x v="2"/>
    <x v="4"/>
    <x v="76"/>
    <n v="257.44"/>
    <n v="290.33"/>
    <x v="63"/>
    <b v="0"/>
    <n v="23"/>
    <n v="6063.2517200000002"/>
    <n v="5921.12"/>
    <n v="142.13172000000031"/>
    <n v="2.3441500792581362E-2"/>
    <s v="Low"/>
    <x v="1"/>
    <s v="Low Discount"/>
    <n v="9.1999999999999998E-2"/>
    <n v="270.31200000000001"/>
    <n v="25.3"/>
    <n v="6669.576892"/>
    <n v="-169.31670800000029"/>
  </r>
  <r>
    <x v="77"/>
    <x v="74"/>
    <x v="7"/>
    <s v="Q2-2023"/>
    <d v="2023-05-18T00:00:00"/>
    <d v="2023-05-18T00:00:00"/>
    <n v="17"/>
    <x v="1"/>
    <x v="8"/>
    <s v="Port Harcourt"/>
    <s v="Corporate"/>
    <x v="2"/>
    <x v="6"/>
    <x v="4"/>
    <x v="77"/>
    <n v="327.97"/>
    <n v="299.94"/>
    <x v="64"/>
    <b v="0"/>
    <n v="3"/>
    <n v="855.72881999999993"/>
    <n v="983.91000000000008"/>
    <n v="-128.18118000000015"/>
    <n v="-0.14979182306843442"/>
    <s v="Low"/>
    <x v="0"/>
    <s v="Low Discount"/>
    <n v="4.9000000000000002E-2"/>
    <n v="344.36850000000004"/>
    <n v="3.3000000000000003"/>
    <n v="941.30170199999998"/>
    <n v="-195.11434800000029"/>
  </r>
  <r>
    <x v="78"/>
    <x v="75"/>
    <x v="26"/>
    <s v="Q1-2023"/>
    <d v="2023-03-26T00:00:00"/>
    <d v="2023-03-26T00:00:00"/>
    <n v="1"/>
    <x v="3"/>
    <x v="7"/>
    <s v="Osaka"/>
    <s v="Small Business"/>
    <x v="3"/>
    <x v="1"/>
    <x v="0"/>
    <x v="78"/>
    <n v="135.12"/>
    <n v="301.7"/>
    <x v="65"/>
    <b v="0"/>
    <n v="47"/>
    <n v="12194.714"/>
    <n v="6350.64"/>
    <n v="5844.0739999999996"/>
    <n v="0.47923009920527859"/>
    <s v="Low"/>
    <x v="1"/>
    <s v="Low Discount"/>
    <n v="0.14000000000000001"/>
    <n v="141.876"/>
    <n v="51.7"/>
    <n v="13414.1854"/>
    <n v="6079.1961999999994"/>
  </r>
  <r>
    <x v="79"/>
    <x v="76"/>
    <x v="31"/>
    <s v="Q2-2024"/>
    <d v="2024-05-19T00:00:00"/>
    <d v="2024-05-19T00:00:00"/>
    <n v="28"/>
    <x v="1"/>
    <x v="8"/>
    <s v="Lagos"/>
    <s v="Corporate"/>
    <x v="3"/>
    <x v="13"/>
    <x v="2"/>
    <x v="79"/>
    <n v="187.22"/>
    <n v="309.47000000000003"/>
    <x v="33"/>
    <b v="0"/>
    <n v="5"/>
    <n v="1547.3500000000001"/>
    <n v="936.1"/>
    <n v="611.25000000000011"/>
    <n v="0.39503021294471197"/>
    <s v="Low"/>
    <x v="0"/>
    <s v="Low Discount"/>
    <n v="0"/>
    <n v="196.58100000000002"/>
    <n v="5.5"/>
    <n v="1702.085"/>
    <n v="620.8895"/>
  </r>
  <r>
    <x v="80"/>
    <x v="35"/>
    <x v="14"/>
    <s v="Q1-2025"/>
    <d v="2025-04-29T00:00:00"/>
    <d v="2025-04-29T00:00:00"/>
    <n v="30"/>
    <x v="1"/>
    <x v="4"/>
    <s v="Durban"/>
    <s v="Consumer"/>
    <x v="1"/>
    <x v="3"/>
    <x v="0"/>
    <x v="80"/>
    <n v="194.6"/>
    <n v="314.87"/>
    <x v="66"/>
    <b v="0"/>
    <n v="25"/>
    <n v="5565.3272500000003"/>
    <n v="4865"/>
    <n v="700.32725000000028"/>
    <n v="0.1258375686712763"/>
    <s v="Low"/>
    <x v="0"/>
    <s v="High Discount"/>
    <n v="0.2"/>
    <n v="204.33"/>
    <n v="27.500000000000004"/>
    <n v="6927.1400000000012"/>
    <n v="1308.0650000000005"/>
  </r>
  <r>
    <x v="81"/>
    <x v="77"/>
    <x v="8"/>
    <s v="Q1-2024"/>
    <d v="2024-03-30T00:00:00"/>
    <d v="2024-03-30T00:00:00"/>
    <n v="30"/>
    <x v="3"/>
    <x v="7"/>
    <s v="Nagoya"/>
    <s v="Small Business"/>
    <x v="2"/>
    <x v="1"/>
    <x v="1"/>
    <x v="81"/>
    <n v="231.11"/>
    <n v="318.17"/>
    <x v="67"/>
    <b v="0"/>
    <n v="60"/>
    <n v="15253.069799999999"/>
    <n v="13866.6"/>
    <n v="1386.4697999999989"/>
    <n v="9.0897754889969692E-2"/>
    <s v="Low"/>
    <x v="0"/>
    <s v="High Discount"/>
    <n v="0.2"/>
    <n v="242.66550000000004"/>
    <n v="66"/>
    <n v="16799.376"/>
    <n v="783.4529999999977"/>
  </r>
  <r>
    <x v="82"/>
    <x v="78"/>
    <x v="2"/>
    <s v="Q2-2025"/>
    <d v="2025-07-23T00:00:00"/>
    <d v="2025-07-23T00:00:00"/>
    <n v="29"/>
    <x v="2"/>
    <x v="11"/>
    <s v="Vancouver"/>
    <s v="Non-Profit"/>
    <x v="1"/>
    <x v="1"/>
    <x v="6"/>
    <x v="82"/>
    <n v="255.4"/>
    <n v="322.70999999999998"/>
    <x v="68"/>
    <b v="0"/>
    <n v="16"/>
    <n v="4569.5735999999997"/>
    <n v="4086.4"/>
    <n v="483.17359999999962"/>
    <n v="0.10573713048412212"/>
    <s v="Low"/>
    <x v="0"/>
    <s v="Low Discount"/>
    <n v="0.115"/>
    <n v="268.17"/>
    <n v="17.600000000000001"/>
    <n v="5026.5309600000001"/>
    <n v="306.73895999999968"/>
  </r>
  <r>
    <x v="83"/>
    <x v="29"/>
    <x v="19"/>
    <s v="Q3-2024"/>
    <d v="2024-09-08T00:00:00"/>
    <d v="2024-09-08T00:00:00"/>
    <n v="5"/>
    <x v="1"/>
    <x v="8"/>
    <s v="Lagos"/>
    <s v="Small Business"/>
    <x v="2"/>
    <x v="12"/>
    <x v="6"/>
    <x v="83"/>
    <n v="197.63"/>
    <n v="325.79000000000002"/>
    <x v="69"/>
    <b v="0"/>
    <n v="10"/>
    <n v="2879.9836000000005"/>
    <n v="1976.3"/>
    <n v="903.68360000000052"/>
    <n v="0.3137808145851943"/>
    <s v="Low"/>
    <x v="1"/>
    <s v="Low Discount"/>
    <n v="0.11600000000000001"/>
    <n v="207.51150000000001"/>
    <n v="11"/>
    <n v="3167.9819600000005"/>
    <n v="885.35546000000022"/>
  </r>
  <r>
    <x v="84"/>
    <x v="79"/>
    <x v="22"/>
    <s v="Q4-2024"/>
    <d v="2024-11-24T00:00:00"/>
    <d v="2024-11-24T00:00:00"/>
    <n v="13"/>
    <x v="0"/>
    <x v="0"/>
    <s v="London"/>
    <s v="Corporate"/>
    <x v="0"/>
    <x v="10"/>
    <x v="1"/>
    <x v="84"/>
    <n v="164.53"/>
    <n v="327.72"/>
    <x v="70"/>
    <b v="0"/>
    <n v="14"/>
    <n v="4280.6786400000001"/>
    <n v="2303.42"/>
    <n v="1977.25864"/>
    <n v="0.46190307805960412"/>
    <s v="Low"/>
    <x v="0"/>
    <s v="Low Discount"/>
    <n v="6.7000000000000004E-2"/>
    <n v="172.75650000000002"/>
    <n v="15.400000000000002"/>
    <n v="4708.7465040000006"/>
    <n v="2048.2964040000002"/>
  </r>
  <r>
    <x v="85"/>
    <x v="80"/>
    <x v="3"/>
    <s v="Q1-2024"/>
    <d v="2024-03-23T00:00:00"/>
    <d v="2024-03-23T00:00:00"/>
    <n v="21"/>
    <x v="2"/>
    <x v="3"/>
    <s v="Chicago"/>
    <s v="Small Business"/>
    <x v="4"/>
    <x v="6"/>
    <x v="4"/>
    <x v="85"/>
    <n v="225.01"/>
    <n v="333.48"/>
    <x v="3"/>
    <b v="0"/>
    <n v="12"/>
    <n v="3525.5505600000001"/>
    <n v="2700.12"/>
    <n v="825.43056000000024"/>
    <n v="0.23412813004729685"/>
    <s v="Low"/>
    <x v="0"/>
    <s v="Low Discount"/>
    <n v="0.11899999999999999"/>
    <n v="236.26050000000001"/>
    <n v="13.200000000000001"/>
    <n v="3878.1056160000003"/>
    <n v="759.46701600000006"/>
  </r>
  <r>
    <x v="86"/>
    <x v="81"/>
    <x v="9"/>
    <s v="Q3-2023"/>
    <d v="2023-08-14T00:00:00"/>
    <d v="2023-08-14T00:00:00"/>
    <n v="11"/>
    <x v="2"/>
    <x v="5"/>
    <s v="Brasília"/>
    <s v="Corporate"/>
    <x v="2"/>
    <x v="3"/>
    <x v="2"/>
    <x v="86"/>
    <n v="232.73"/>
    <n v="334.19"/>
    <x v="6"/>
    <b v="0"/>
    <n v="25"/>
    <n v="7235.2135000000007"/>
    <n v="5818.25"/>
    <n v="1416.9635000000007"/>
    <n v="0.19584266587295601"/>
    <s v="Low"/>
    <x v="0"/>
    <s v="Low Discount"/>
    <n v="0.13400000000000001"/>
    <n v="244.3665"/>
    <n v="27.500000000000004"/>
    <n v="7958.7348500000016"/>
    <n v="1238.6561000000011"/>
  </r>
  <r>
    <x v="87"/>
    <x v="82"/>
    <x v="21"/>
    <s v="Q1-2024"/>
    <d v="2024-01-22T00:00:00"/>
    <d v="2024-01-22T00:00:00"/>
    <n v="9"/>
    <x v="3"/>
    <x v="9"/>
    <s v="Mumbai"/>
    <s v="Enterprise"/>
    <x v="1"/>
    <x v="3"/>
    <x v="4"/>
    <x v="87"/>
    <n v="313.60000000000002"/>
    <n v="334.28"/>
    <x v="65"/>
    <b v="0"/>
    <n v="22"/>
    <n v="6324.5775999999996"/>
    <n v="6899.2000000000007"/>
    <n v="-574.62240000000111"/>
    <n v="-9.0855458868905517E-2"/>
    <s v="Low"/>
    <x v="0"/>
    <s v="Low Discount"/>
    <n v="0.14000000000000001"/>
    <n v="329.28000000000003"/>
    <n v="24.200000000000003"/>
    <n v="6957.0353600000008"/>
    <n v="-1011.5406400000011"/>
  </r>
  <r>
    <x v="88"/>
    <x v="83"/>
    <x v="13"/>
    <s v="Q1-2023"/>
    <d v="2023-01-21T00:00:00"/>
    <d v="2023-02-05T00:00:00"/>
    <n v="14"/>
    <x v="0"/>
    <x v="6"/>
    <s v="Munich"/>
    <s v="Corporate"/>
    <x v="2"/>
    <x v="6"/>
    <x v="0"/>
    <x v="88"/>
    <n v="150.86000000000001"/>
    <n v="346.96"/>
    <x v="71"/>
    <b v="0"/>
    <n v="8"/>
    <n v="2231.6467200000002"/>
    <n v="1206.8800000000001"/>
    <n v="1024.7667200000001"/>
    <n v="0.45919755614365343"/>
    <s v="Low"/>
    <x v="0"/>
    <s v="Low Discount"/>
    <n v="0.19600000000000001"/>
    <n v="158.40300000000002"/>
    <n v="8.8000000000000007"/>
    <n v="2454.8113920000005"/>
    <n v="1060.8649920000003"/>
  </r>
  <r>
    <x v="89"/>
    <x v="84"/>
    <x v="9"/>
    <s v="Q3-2023"/>
    <d v="2023-08-19T00:00:00"/>
    <d v="2023-08-19T00:00:00"/>
    <n v="17"/>
    <x v="2"/>
    <x v="11"/>
    <s v="Vancouver"/>
    <s v="Corporate"/>
    <x v="4"/>
    <x v="6"/>
    <x v="1"/>
    <x v="89"/>
    <n v="175.38"/>
    <n v="347.9"/>
    <x v="13"/>
    <b v="0"/>
    <n v="43"/>
    <n v="13882.6016"/>
    <n v="7541.34"/>
    <n v="6341.2615999999998"/>
    <n v="0.45677761148169804"/>
    <s v="Low"/>
    <x v="0"/>
    <s v="Low Discount"/>
    <n v="7.1999999999999995E-2"/>
    <n v="184.149"/>
    <n v="47.300000000000004"/>
    <n v="15270.861760000002"/>
    <n v="6560.6140599999999"/>
  </r>
  <r>
    <x v="90"/>
    <x v="85"/>
    <x v="4"/>
    <s v="Q2-2024"/>
    <d v="2024-06-08T00:00:00"/>
    <d v="2024-06-08T00:00:00"/>
    <n v="6"/>
    <x v="1"/>
    <x v="1"/>
    <s v="Kisumu"/>
    <s v="Consumer"/>
    <x v="1"/>
    <x v="13"/>
    <x v="2"/>
    <x v="90"/>
    <n v="292.94"/>
    <n v="356.55"/>
    <x v="72"/>
    <b v="0"/>
    <n v="2"/>
    <n v="549.80010000000004"/>
    <n v="585.88"/>
    <n v="-36.079899999999952"/>
    <n v="-6.5623669402751925E-2"/>
    <s v="Low"/>
    <x v="1"/>
    <s v="High Discount"/>
    <n v="0.2"/>
    <n v="307.58699999999999"/>
    <n v="2.2000000000000002"/>
    <n v="627.52800000000002"/>
    <n v="-49.163400000000024"/>
  </r>
  <r>
    <x v="91"/>
    <x v="86"/>
    <x v="26"/>
    <s v="Q1-2023"/>
    <d v="2023-03-18T00:00:00"/>
    <d v="2023-03-18T00:00:00"/>
    <n v="4"/>
    <x v="0"/>
    <x v="6"/>
    <s v="Frankfurt"/>
    <s v="Enterprise"/>
    <x v="2"/>
    <x v="13"/>
    <x v="4"/>
    <x v="91"/>
    <n v="472.33"/>
    <n v="360.34"/>
    <x v="73"/>
    <b v="0"/>
    <n v="14"/>
    <n v="4212.3746000000001"/>
    <n v="6612.62"/>
    <n v="-2400.2453999999998"/>
    <n v="-0.56980815523861528"/>
    <s v="Low"/>
    <x v="1"/>
    <s v="Low Discount"/>
    <n v="0.16500000000000001"/>
    <n v="495.94650000000001"/>
    <n v="15.400000000000002"/>
    <n v="4633.6120600000004"/>
    <n v="-3003.9640400000008"/>
  </r>
  <r>
    <x v="92"/>
    <x v="87"/>
    <x v="15"/>
    <s v="Q2-2024"/>
    <d v="2024-06-13T00:00:00"/>
    <d v="2024-06-13T00:00:00"/>
    <n v="14"/>
    <x v="2"/>
    <x v="3"/>
    <s v="San Francisco"/>
    <s v="Small Business"/>
    <x v="0"/>
    <x v="6"/>
    <x v="3"/>
    <x v="92"/>
    <n v="157.78"/>
    <n v="361.1"/>
    <x v="74"/>
    <b v="0"/>
    <n v="9"/>
    <n v="2642.1687000000002"/>
    <n v="1420.02"/>
    <n v="1222.1487000000002"/>
    <n v="0.46255513510549123"/>
    <s v="Low"/>
    <x v="0"/>
    <s v="Low Discount"/>
    <n v="0.187"/>
    <n v="165.66900000000001"/>
    <n v="9.9"/>
    <n v="2906.3855699999999"/>
    <n v="1266.2624699999997"/>
  </r>
  <r>
    <x v="93"/>
    <x v="43"/>
    <x v="7"/>
    <s v="Q2-2023"/>
    <d v="2023-05-26T00:00:00"/>
    <d v="2023-05-26T00:00:00"/>
    <n v="22"/>
    <x v="2"/>
    <x v="3"/>
    <s v="San Francisco"/>
    <s v="Enterprise"/>
    <x v="4"/>
    <x v="3"/>
    <x v="1"/>
    <x v="93"/>
    <n v="249.71"/>
    <n v="361.33"/>
    <x v="75"/>
    <b v="0"/>
    <n v="12"/>
    <n v="3928.3797599999998"/>
    <n v="2996.52"/>
    <n v="931.85975999999982"/>
    <n v="0.23721223937881195"/>
    <s v="Low"/>
    <x v="0"/>
    <s v="Low Discount"/>
    <n v="9.4E-2"/>
    <n v="262.19550000000004"/>
    <n v="13.200000000000001"/>
    <n v="4321.2177360000005"/>
    <n v="860.23713599999974"/>
  </r>
  <r>
    <x v="94"/>
    <x v="88"/>
    <x v="13"/>
    <s v="Q1-2023"/>
    <d v="2023-02-15T00:00:00"/>
    <d v="2023-02-15T00:00:00"/>
    <n v="20"/>
    <x v="0"/>
    <x v="6"/>
    <s v="Berlin"/>
    <s v="Small Business"/>
    <x v="4"/>
    <x v="11"/>
    <x v="1"/>
    <x v="94"/>
    <n v="492.62"/>
    <n v="366.7"/>
    <x v="47"/>
    <b v="0"/>
    <n v="10"/>
    <n v="3340.6369999999997"/>
    <n v="4926.2"/>
    <n v="-1585.5630000000001"/>
    <n v="-0.47462894052840826"/>
    <s v="Low"/>
    <x v="0"/>
    <s v="Low Discount"/>
    <n v="8.8999999999999996E-2"/>
    <n v="517.25099999999998"/>
    <n v="11"/>
    <n v="3674.7006999999999"/>
    <n v="-2015.0602999999996"/>
  </r>
  <r>
    <x v="95"/>
    <x v="89"/>
    <x v="26"/>
    <s v="Q1-2023"/>
    <d v="2023-04-05T00:00:00"/>
    <d v="2023-04-05T00:00:00"/>
    <n v="5"/>
    <x v="1"/>
    <x v="1"/>
    <s v="Nakuru"/>
    <s v="Education"/>
    <x v="1"/>
    <x v="4"/>
    <x v="5"/>
    <x v="95"/>
    <n v="533.26"/>
    <n v="385.72"/>
    <x v="33"/>
    <b v="0"/>
    <n v="15"/>
    <n v="5785.8"/>
    <n v="7998.9"/>
    <n v="-2213.0999999999995"/>
    <n v="-0.38250544436378708"/>
    <s v="Low"/>
    <x v="1"/>
    <s v="Low Discount"/>
    <n v="0"/>
    <n v="559.923"/>
    <n v="16.5"/>
    <n v="6364.38"/>
    <n v="-2874.3494999999994"/>
  </r>
  <r>
    <x v="96"/>
    <x v="90"/>
    <x v="23"/>
    <s v="Q2-2025"/>
    <d v="2025-05-24T00:00:00"/>
    <d v="2025-05-24T00:00:00"/>
    <n v="10"/>
    <x v="0"/>
    <x v="2"/>
    <s v="Paris"/>
    <s v="Small Business"/>
    <x v="1"/>
    <x v="12"/>
    <x v="4"/>
    <x v="96"/>
    <n v="170.39"/>
    <n v="388.04"/>
    <x v="76"/>
    <b v="0"/>
    <n v="15"/>
    <n v="5331.6696000000011"/>
    <n v="2555.85"/>
    <n v="2775.8196000000012"/>
    <n v="0.52062858508711807"/>
    <s v="Low"/>
    <x v="0"/>
    <s v="Low Discount"/>
    <n v="8.4000000000000005E-2"/>
    <n v="178.90949999999998"/>
    <n v="16.5"/>
    <n v="5864.8365600000006"/>
    <n v="2912.8298100000011"/>
  </r>
  <r>
    <x v="97"/>
    <x v="91"/>
    <x v="16"/>
    <s v="Q2-2023"/>
    <d v="2023-05-18T00:00:00"/>
    <d v="2023-05-18T00:00:00"/>
    <n v="30"/>
    <x v="3"/>
    <x v="10"/>
    <s v="Shenzhen"/>
    <s v="Non-Profit"/>
    <x v="0"/>
    <x v="2"/>
    <x v="5"/>
    <x v="97"/>
    <n v="329.03"/>
    <n v="391.15"/>
    <x v="43"/>
    <b v="0"/>
    <n v="46"/>
    <n v="14448.298699999998"/>
    <n v="15135.38"/>
    <n v="-687.08130000000165"/>
    <n v="-4.7554477815440081E-2"/>
    <s v="Low"/>
    <x v="0"/>
    <s v="Low Discount"/>
    <n v="0.19700000000000001"/>
    <n v="345.48149999999998"/>
    <n v="50.6"/>
    <n v="15893.128569999999"/>
    <n v="-1588.2353300000013"/>
  </r>
  <r>
    <x v="98"/>
    <x v="89"/>
    <x v="26"/>
    <s v="Q1-2023"/>
    <d v="2023-04-12T00:00:00"/>
    <d v="2023-04-12T00:00:00"/>
    <n v="12"/>
    <x v="1"/>
    <x v="1"/>
    <s v="Mombasa"/>
    <s v="Small Business"/>
    <x v="4"/>
    <x v="8"/>
    <x v="3"/>
    <x v="98"/>
    <n v="304.22000000000003"/>
    <n v="393.31"/>
    <x v="77"/>
    <b v="0"/>
    <n v="15"/>
    <n v="4336.2427500000003"/>
    <n v="4563.3"/>
    <n v="-227.05724999999984"/>
    <n v="-5.2362670424758812E-2"/>
    <s v="Low"/>
    <x v="0"/>
    <s v="High Discount"/>
    <n v="0.2"/>
    <n v="319.43100000000004"/>
    <n v="16.5"/>
    <n v="5191.692"/>
    <n v="-78.91950000000088"/>
  </r>
  <r>
    <x v="99"/>
    <x v="92"/>
    <x v="8"/>
    <s v="Q1-2024"/>
    <d v="2024-03-09T00:00:00"/>
    <d v="2024-03-09T00:00:00"/>
    <n v="13"/>
    <x v="0"/>
    <x v="2"/>
    <s v="Marseille"/>
    <s v="Small Business"/>
    <x v="3"/>
    <x v="10"/>
    <x v="0"/>
    <x v="99"/>
    <n v="322.44"/>
    <n v="395.61"/>
    <x v="33"/>
    <b v="0"/>
    <n v="34"/>
    <n v="13450.74"/>
    <n v="10962.96"/>
    <n v="2487.7800000000007"/>
    <n v="0.18495487980586947"/>
    <s v="Low"/>
    <x v="0"/>
    <s v="Low Discount"/>
    <n v="0"/>
    <n v="338.56200000000001"/>
    <n v="37.400000000000006"/>
    <n v="14795.814000000002"/>
    <n v="2133.5951999999997"/>
  </r>
  <r>
    <x v="100"/>
    <x v="93"/>
    <x v="2"/>
    <s v="Q2-2025"/>
    <d v="2025-07-10T00:00:00"/>
    <d v="2025-07-10T00:00:00"/>
    <n v="15"/>
    <x v="0"/>
    <x v="0"/>
    <s v="Birmingham"/>
    <s v="Non-Profit"/>
    <x v="1"/>
    <x v="0"/>
    <x v="3"/>
    <x v="100"/>
    <n v="546.83000000000004"/>
    <n v="400.84"/>
    <x v="78"/>
    <b v="0"/>
    <n v="13"/>
    <n v="4804.4682400000002"/>
    <n v="7108.7900000000009"/>
    <n v="-2304.3217600000007"/>
    <n v="-0.47962056254533608"/>
    <s v="Low"/>
    <x v="0"/>
    <s v="Low Discount"/>
    <n v="7.8E-2"/>
    <n v="574.17150000000004"/>
    <n v="14.3"/>
    <n v="5284.9150639999998"/>
    <n v="-2925.7373860000016"/>
  </r>
  <r>
    <x v="101"/>
    <x v="94"/>
    <x v="19"/>
    <s v="Q3-2024"/>
    <d v="2024-09-25T00:00:00"/>
    <d v="2024-09-25T00:00:00"/>
    <n v="20"/>
    <x v="3"/>
    <x v="7"/>
    <s v="Osaka"/>
    <s v="Enterprise"/>
    <x v="3"/>
    <x v="0"/>
    <x v="0"/>
    <x v="101"/>
    <n v="195.54"/>
    <n v="405.97"/>
    <x v="74"/>
    <b v="0"/>
    <n v="16"/>
    <n v="5280.8577599999999"/>
    <n v="3128.64"/>
    <n v="2152.21776"/>
    <n v="0.40755079152141377"/>
    <s v="Low"/>
    <x v="0"/>
    <s v="Low Discount"/>
    <n v="0.187"/>
    <n v="205.31700000000001"/>
    <n v="17.600000000000001"/>
    <n v="5808.9435360000007"/>
    <n v="2195.3643360000001"/>
  </r>
  <r>
    <x v="102"/>
    <x v="95"/>
    <x v="11"/>
    <s v="Q3-2025"/>
    <d v="2025-09-12T00:00:00"/>
    <d v="2025-09-12T00:00:00"/>
    <n v="22"/>
    <x v="3"/>
    <x v="10"/>
    <s v="Shenzhen"/>
    <s v="Education"/>
    <x v="0"/>
    <x v="4"/>
    <x v="6"/>
    <x v="102"/>
    <n v="352.66"/>
    <n v="411.18"/>
    <x v="16"/>
    <b v="0"/>
    <n v="13"/>
    <n v="4420.5961800000005"/>
    <n v="4584.58"/>
    <n v="-163.98381999999947"/>
    <n v="-3.7095408248757851E-2"/>
    <s v="Low"/>
    <x v="0"/>
    <s v="Low Discount"/>
    <n v="0.17299999999999999"/>
    <n v="370.29300000000006"/>
    <n v="14.3"/>
    <n v="4862.6557980000007"/>
    <n v="-432.53410200000053"/>
  </r>
  <r>
    <x v="103"/>
    <x v="96"/>
    <x v="28"/>
    <s v="Q3-2023"/>
    <d v="2023-09-14T00:00:00"/>
    <d v="2023-09-14T00:00:00"/>
    <n v="6"/>
    <x v="1"/>
    <x v="1"/>
    <s v="Nakuru"/>
    <s v="Education"/>
    <x v="2"/>
    <x v="1"/>
    <x v="2"/>
    <x v="103"/>
    <n v="251.03"/>
    <n v="411.48"/>
    <x v="73"/>
    <b v="0"/>
    <n v="3"/>
    <n v="1030.7574"/>
    <n v="753.09"/>
    <n v="277.66739999999993"/>
    <n v="0.26938191275658069"/>
    <s v="Low"/>
    <x v="1"/>
    <s v="Low Discount"/>
    <n v="0.16500000000000001"/>
    <n v="263.58150000000001"/>
    <n v="3.3000000000000003"/>
    <n v="1133.8331400000002"/>
    <n v="264.0141900000001"/>
  </r>
  <r>
    <x v="104"/>
    <x v="97"/>
    <x v="6"/>
    <s v="Q2-2025"/>
    <d v="2025-05-03T00:00:00"/>
    <d v="2025-05-03T00:00:00"/>
    <n v="16"/>
    <x v="2"/>
    <x v="5"/>
    <s v="Rio de Janeiro"/>
    <s v="Consumer"/>
    <x v="1"/>
    <x v="3"/>
    <x v="1"/>
    <x v="104"/>
    <n v="168.68"/>
    <n v="413.34"/>
    <x v="79"/>
    <b v="0"/>
    <n v="7"/>
    <n v="2355.2113199999999"/>
    <n v="1180.76"/>
    <n v="1174.4513199999999"/>
    <n v="0.49866069767361682"/>
    <s v="Low"/>
    <x v="0"/>
    <s v="Low Discount"/>
    <n v="0.186"/>
    <n v="177.114"/>
    <n v="7.7000000000000011"/>
    <n v="2590.7324520000002"/>
    <n v="1226.9546519999999"/>
  </r>
  <r>
    <x v="105"/>
    <x v="98"/>
    <x v="30"/>
    <s v="Q4-2023"/>
    <d v="2023-12-10T00:00:00"/>
    <d v="2023-12-10T00:00:00"/>
    <n v="10"/>
    <x v="0"/>
    <x v="6"/>
    <s v="Munich"/>
    <s v="Small Business"/>
    <x v="2"/>
    <x v="6"/>
    <x v="5"/>
    <x v="105"/>
    <n v="174.74"/>
    <n v="415.96"/>
    <x v="80"/>
    <b v="0"/>
    <n v="21"/>
    <n v="7643.2649999999994"/>
    <n v="3669.54"/>
    <n v="3973.7249999999995"/>
    <n v="0.51989889137691803"/>
    <s v="Low"/>
    <x v="0"/>
    <s v="Low Discount"/>
    <n v="0.125"/>
    <n v="183.477"/>
    <n v="23.1"/>
    <n v="8407.5915000000005"/>
    <n v="4169.2727999999997"/>
  </r>
  <r>
    <x v="106"/>
    <x v="99"/>
    <x v="18"/>
    <s v="Q3-2025"/>
    <d v="2025-08-18T00:00:00"/>
    <d v="2025-08-18T00:00:00"/>
    <n v="27"/>
    <x v="3"/>
    <x v="10"/>
    <s v="Shenzhen"/>
    <s v="Non-Profit"/>
    <x v="1"/>
    <x v="7"/>
    <x v="1"/>
    <x v="106"/>
    <n v="547.32000000000005"/>
    <n v="419.17"/>
    <x v="63"/>
    <b v="0"/>
    <n v="14"/>
    <n v="5328.4890400000004"/>
    <n v="7662.4800000000005"/>
    <n v="-2333.9909600000001"/>
    <n v="-0.43802116181137907"/>
    <s v="Low"/>
    <x v="0"/>
    <s v="Low Discount"/>
    <n v="9.1999999999999998E-2"/>
    <n v="574.68600000000004"/>
    <n v="15.400000000000002"/>
    <n v="5861.3379440000017"/>
    <n v="-2988.8264559999998"/>
  </r>
  <r>
    <x v="107"/>
    <x v="100"/>
    <x v="21"/>
    <s v="Q1-2024"/>
    <d v="2024-01-01T00:00:00"/>
    <d v="2024-01-16T00:00:00"/>
    <n v="14"/>
    <x v="2"/>
    <x v="3"/>
    <s v="Chicago"/>
    <s v="Education"/>
    <x v="1"/>
    <x v="4"/>
    <x v="1"/>
    <x v="107"/>
    <n v="404.77"/>
    <n v="433.88"/>
    <x v="14"/>
    <b v="0"/>
    <n v="22"/>
    <n v="7493.1076000000003"/>
    <n v="8904.9399999999987"/>
    <n v="-1411.8323999999984"/>
    <n v="-0.1884174731455876"/>
    <s v="Low"/>
    <x v="0"/>
    <s v="High Discount"/>
    <n v="0.2"/>
    <n v="425.00850000000003"/>
    <n v="24.200000000000003"/>
    <n v="8399.9168000000027"/>
    <n v="-1885.2888999999996"/>
  </r>
  <r>
    <x v="108"/>
    <x v="24"/>
    <x v="16"/>
    <s v="Q2-2023"/>
    <d v="2023-04-20T00:00:00"/>
    <d v="2023-04-20T00:00:00"/>
    <n v="7"/>
    <x v="0"/>
    <x v="2"/>
    <s v="Lyon"/>
    <s v="Small Business"/>
    <x v="4"/>
    <x v="13"/>
    <x v="5"/>
    <x v="108"/>
    <n v="227.02"/>
    <n v="434.72"/>
    <x v="81"/>
    <b v="0"/>
    <n v="10"/>
    <n v="3921.1744000000003"/>
    <n v="2270.2000000000003"/>
    <n v="1650.9744000000001"/>
    <n v="0.42104079838938047"/>
    <s v="Low"/>
    <x v="1"/>
    <s v="Low Discount"/>
    <n v="9.8000000000000004E-2"/>
    <n v="238.37100000000001"/>
    <n v="11"/>
    <n v="4313.2918400000008"/>
    <n v="1691.2108400000006"/>
  </r>
  <r>
    <x v="109"/>
    <x v="101"/>
    <x v="16"/>
    <s v="Q2-2023"/>
    <d v="2023-05-14T00:00:00"/>
    <d v="2023-05-14T00:00:00"/>
    <n v="30"/>
    <x v="1"/>
    <x v="1"/>
    <s v="Nakuru"/>
    <s v="Consumer"/>
    <x v="1"/>
    <x v="7"/>
    <x v="3"/>
    <x v="109"/>
    <n v="209.25"/>
    <n v="434.8"/>
    <x v="33"/>
    <b v="0"/>
    <n v="9"/>
    <n v="3913.2000000000003"/>
    <n v="1883.25"/>
    <n v="2029.9500000000003"/>
    <n v="0.51874425022999082"/>
    <s v="Low"/>
    <x v="0"/>
    <s v="Low Discount"/>
    <n v="0"/>
    <n v="219.71250000000001"/>
    <n v="9.9"/>
    <n v="4304.5200000000004"/>
    <n v="2129.3662500000005"/>
  </r>
  <r>
    <x v="110"/>
    <x v="102"/>
    <x v="24"/>
    <s v="Q3-2023"/>
    <d v="2023-08-10T00:00:00"/>
    <d v="2023-08-10T00:00:00"/>
    <n v="16"/>
    <x v="1"/>
    <x v="8"/>
    <s v="Port Harcourt"/>
    <s v="Corporate"/>
    <x v="3"/>
    <x v="1"/>
    <x v="2"/>
    <x v="110"/>
    <n v="506.83"/>
    <n v="441.74"/>
    <x v="82"/>
    <b v="0"/>
    <n v="9"/>
    <n v="3021.5016000000001"/>
    <n v="4561.47"/>
    <n v="-1539.9684000000002"/>
    <n v="-0.50966989393618067"/>
    <s v="Low"/>
    <x v="0"/>
    <s v="High Discount"/>
    <n v="0.2"/>
    <n v="532.17150000000004"/>
    <n v="9.9"/>
    <n v="3498.5808000000006"/>
    <n v="-1769.91705"/>
  </r>
  <r>
    <x v="111"/>
    <x v="103"/>
    <x v="17"/>
    <s v="Q2-2023"/>
    <d v="2023-06-24T00:00:00"/>
    <d v="2023-06-24T00:00:00"/>
    <n v="7"/>
    <x v="2"/>
    <x v="3"/>
    <s v="San Francisco"/>
    <s v="Corporate"/>
    <x v="0"/>
    <x v="1"/>
    <x v="6"/>
    <x v="111"/>
    <n v="313.99"/>
    <n v="454.42"/>
    <x v="22"/>
    <b v="0"/>
    <n v="9"/>
    <n v="3562.1983800000003"/>
    <n v="2825.91"/>
    <n v="736.28838000000042"/>
    <n v="0.20669493988147858"/>
    <s v="Low"/>
    <x v="1"/>
    <s v="Low Discount"/>
    <n v="0.129"/>
    <n v="329.68950000000001"/>
    <n v="9.9"/>
    <n v="3918.4182180000003"/>
    <n v="654.49216800000022"/>
  </r>
  <r>
    <x v="112"/>
    <x v="104"/>
    <x v="1"/>
    <s v="Q1-2023"/>
    <d v="2023-03-08T00:00:00"/>
    <d v="2023-03-08T00:00:00"/>
    <n v="13"/>
    <x v="0"/>
    <x v="0"/>
    <s v="Manchester"/>
    <s v="Small Business"/>
    <x v="2"/>
    <x v="8"/>
    <x v="6"/>
    <x v="112"/>
    <n v="307.37"/>
    <n v="462.61"/>
    <x v="83"/>
    <b v="0"/>
    <n v="11"/>
    <n v="4132.0325200000007"/>
    <n v="3381.07"/>
    <n v="750.9625200000005"/>
    <n v="0.18174167709599739"/>
    <s v="Low"/>
    <x v="0"/>
    <s v="Low Discount"/>
    <n v="0.188"/>
    <n v="322.73850000000004"/>
    <n v="12.100000000000001"/>
    <n v="4545.2357720000009"/>
    <n v="640.09992199999988"/>
  </r>
  <r>
    <x v="113"/>
    <x v="80"/>
    <x v="3"/>
    <s v="Q1-2024"/>
    <d v="2024-03-16T00:00:00"/>
    <d v="2024-03-16T00:00:00"/>
    <n v="14"/>
    <x v="2"/>
    <x v="11"/>
    <s v="Vancouver"/>
    <s v="Non-Profit"/>
    <x v="2"/>
    <x v="11"/>
    <x v="6"/>
    <x v="113"/>
    <n v="248.24"/>
    <n v="464.05"/>
    <x v="84"/>
    <b v="0"/>
    <n v="11"/>
    <n v="4241.88105"/>
    <n v="2730.6400000000003"/>
    <n v="1511.2410499999996"/>
    <n v="0.3562667203975462"/>
    <s v="Low"/>
    <x v="0"/>
    <s v="Low Discount"/>
    <n v="0.16900000000000001"/>
    <n v="260.65200000000004"/>
    <n v="12.100000000000001"/>
    <n v="4666.0691550000001"/>
    <n v="1512.1799549999992"/>
  </r>
  <r>
    <x v="114"/>
    <x v="105"/>
    <x v="14"/>
    <s v="Q1-2025"/>
    <d v="2025-03-24T00:00:00"/>
    <d v="2025-03-24T00:00:00"/>
    <n v="21"/>
    <x v="1"/>
    <x v="8"/>
    <s v="Abuja"/>
    <s v="Enterprise"/>
    <x v="2"/>
    <x v="2"/>
    <x v="2"/>
    <x v="114"/>
    <n v="555.95000000000005"/>
    <n v="468.09"/>
    <x v="85"/>
    <b v="0"/>
    <n v="11"/>
    <n v="4417.8334199999999"/>
    <n v="6115.4500000000007"/>
    <n v="-1697.6165800000008"/>
    <n v="-0.38426450674095375"/>
    <s v="Low"/>
    <x v="0"/>
    <s v="Low Discount"/>
    <n v="0.14199999999999999"/>
    <n v="583.74750000000006"/>
    <n v="12.100000000000001"/>
    <n v="4859.6167620000006"/>
    <n v="-2203.7279880000006"/>
  </r>
  <r>
    <x v="115"/>
    <x v="106"/>
    <x v="7"/>
    <s v="Q2-2023"/>
    <d v="2023-05-14T00:00:00"/>
    <d v="2023-05-14T00:00:00"/>
    <n v="8"/>
    <x v="3"/>
    <x v="7"/>
    <s v="Osaka"/>
    <s v="Enterprise"/>
    <x v="1"/>
    <x v="4"/>
    <x v="3"/>
    <x v="115"/>
    <n v="291.18"/>
    <n v="479.54"/>
    <x v="86"/>
    <b v="0"/>
    <n v="22"/>
    <n v="9062.34692"/>
    <n v="6405.96"/>
    <n v="2656.3869199999999"/>
    <n v="0.29312350801066001"/>
    <s v="Low"/>
    <x v="0"/>
    <s v="Low Discount"/>
    <n v="0.14099999999999999"/>
    <n v="305.73900000000003"/>
    <n v="24.200000000000003"/>
    <n v="9968.5816120000018"/>
    <n v="2569.6978120000003"/>
  </r>
  <r>
    <x v="116"/>
    <x v="107"/>
    <x v="1"/>
    <s v="Q1-2023"/>
    <d v="2023-03-12T00:00:00"/>
    <d v="2023-03-12T00:00:00"/>
    <n v="19"/>
    <x v="1"/>
    <x v="1"/>
    <s v="Nakuru"/>
    <s v="Corporate"/>
    <x v="4"/>
    <x v="6"/>
    <x v="1"/>
    <x v="116"/>
    <n v="352.65"/>
    <n v="485.86"/>
    <x v="87"/>
    <b v="0"/>
    <n v="6"/>
    <n v="2795.6384399999997"/>
    <n v="2115.8999999999996"/>
    <n v="679.73844000000008"/>
    <n v="0.24314247159943908"/>
    <s v="Low"/>
    <x v="0"/>
    <s v="Low Discount"/>
    <n v="4.1000000000000002E-2"/>
    <n v="370.28249999999997"/>
    <n v="6.6000000000000005"/>
    <n v="3075.202284"/>
    <n v="631.33778399999983"/>
  </r>
  <r>
    <x v="117"/>
    <x v="108"/>
    <x v="18"/>
    <s v="Q3-2025"/>
    <d v="2025-08-03T00:00:00"/>
    <d v="2025-08-03T00:00:00"/>
    <n v="23"/>
    <x v="1"/>
    <x v="1"/>
    <s v="Nakuru"/>
    <s v="Small Business"/>
    <x v="0"/>
    <x v="8"/>
    <x v="3"/>
    <x v="117"/>
    <n v="389.93"/>
    <n v="486.13"/>
    <x v="8"/>
    <b v="0"/>
    <n v="17"/>
    <n v="7173.33428"/>
    <n v="6628.81"/>
    <n v="544.52427999999964"/>
    <n v="7.5909508569562939E-2"/>
    <s v="Low"/>
    <x v="0"/>
    <s v="Low Discount"/>
    <n v="0.13200000000000001"/>
    <n v="409.42650000000003"/>
    <n v="18.700000000000003"/>
    <n v="7890.6677080000018"/>
    <n v="234.39215799999965"/>
  </r>
  <r>
    <x v="118"/>
    <x v="109"/>
    <x v="6"/>
    <s v="Q2-2025"/>
    <d v="2025-05-19T00:00:00"/>
    <d v="2025-05-19T00:00:00"/>
    <n v="21"/>
    <x v="0"/>
    <x v="6"/>
    <s v="Berlin"/>
    <s v="Corporate"/>
    <x v="3"/>
    <x v="4"/>
    <x v="3"/>
    <x v="118"/>
    <n v="350.76"/>
    <n v="492.18"/>
    <x v="88"/>
    <b v="0"/>
    <n v="11"/>
    <n v="5127.0390600000001"/>
    <n v="3858.3599999999997"/>
    <n v="1268.6790600000004"/>
    <n v="0.24744868239798437"/>
    <s v="Low"/>
    <x v="0"/>
    <s v="Low Discount"/>
    <n v="5.2999999999999999E-2"/>
    <n v="368.298"/>
    <n v="12.100000000000001"/>
    <n v="5639.7429660000007"/>
    <n v="1183.3371660000003"/>
  </r>
  <r>
    <x v="119"/>
    <x v="110"/>
    <x v="17"/>
    <s v="Q2-2023"/>
    <d v="2023-06-24T00:00:00"/>
    <d v="2023-06-24T00:00:00"/>
    <n v="11"/>
    <x v="2"/>
    <x v="11"/>
    <s v="Toronto"/>
    <s v="Corporate"/>
    <x v="4"/>
    <x v="8"/>
    <x v="6"/>
    <x v="119"/>
    <n v="247.07"/>
    <n v="495.19"/>
    <x v="89"/>
    <b v="0"/>
    <n v="4"/>
    <n v="1925.29872"/>
    <n v="988.28"/>
    <n v="937.01872000000003"/>
    <n v="0.48668744764968214"/>
    <s v="Low"/>
    <x v="0"/>
    <s v="Low Discount"/>
    <n v="2.8000000000000001E-2"/>
    <n v="259.42349999999999"/>
    <n v="4.4000000000000004"/>
    <n v="2117.8285920000003"/>
    <n v="976.36519200000021"/>
  </r>
  <r>
    <x v="120"/>
    <x v="111"/>
    <x v="32"/>
    <s v="Q4-2023"/>
    <d v="2023-12-12T00:00:00"/>
    <d v="2023-12-12T00:00:00"/>
    <n v="7"/>
    <x v="2"/>
    <x v="5"/>
    <s v="Brasília"/>
    <s v="Corporate"/>
    <x v="2"/>
    <x v="6"/>
    <x v="3"/>
    <x v="120"/>
    <n v="307.43"/>
    <n v="495.19"/>
    <x v="33"/>
    <b v="0"/>
    <n v="42"/>
    <n v="20797.98"/>
    <n v="12912.06"/>
    <n v="7885.92"/>
    <n v="0.37916759223732305"/>
    <s v="Low"/>
    <x v="1"/>
    <s v="Low Discount"/>
    <n v="0"/>
    <n v="322.80150000000003"/>
    <n v="46.2"/>
    <n v="22877.778000000002"/>
    <n v="7964.3487000000005"/>
  </r>
  <r>
    <x v="121"/>
    <x v="112"/>
    <x v="32"/>
    <s v="Q4-2023"/>
    <d v="2024-01-01T00:00:00"/>
    <d v="2024-01-01T00:00:00"/>
    <n v="8"/>
    <x v="2"/>
    <x v="5"/>
    <s v="São Paulo"/>
    <s v="Education"/>
    <x v="2"/>
    <x v="8"/>
    <x v="3"/>
    <x v="121"/>
    <n v="526.49"/>
    <n v="496.2"/>
    <x v="33"/>
    <b v="0"/>
    <n v="14"/>
    <n v="6946.8"/>
    <n v="7370.8600000000006"/>
    <n v="-424.0600000000004"/>
    <n v="-6.1043933897621985E-2"/>
    <s v="Low"/>
    <x v="0"/>
    <s v="Low Discount"/>
    <n v="0"/>
    <n v="552.81450000000007"/>
    <n v="15.400000000000002"/>
    <n v="7641.4800000000005"/>
    <n v="-871.8633000000018"/>
  </r>
  <r>
    <x v="122"/>
    <x v="113"/>
    <x v="9"/>
    <s v="Q3-2023"/>
    <d v="2023-09-10T00:00:00"/>
    <d v="2023-09-10T00:00:00"/>
    <n v="15"/>
    <x v="1"/>
    <x v="4"/>
    <s v="Cape Town"/>
    <s v="Non-Profit"/>
    <x v="2"/>
    <x v="9"/>
    <x v="4"/>
    <x v="122"/>
    <n v="241.14"/>
    <n v="496.52"/>
    <x v="90"/>
    <b v="0"/>
    <n v="10"/>
    <n v="4503.4363999999996"/>
    <n v="2411.3999999999996"/>
    <n v="2092.0364"/>
    <n v="0.46454223268257994"/>
    <s v="Low"/>
    <x v="0"/>
    <s v="Low Discount"/>
    <n v="9.2999999999999999E-2"/>
    <n v="253.197"/>
    <n v="11"/>
    <n v="4953.7800399999996"/>
    <n v="2168.6130399999997"/>
  </r>
  <r>
    <x v="123"/>
    <x v="114"/>
    <x v="16"/>
    <s v="Q2-2023"/>
    <d v="2023-04-16T00:00:00"/>
    <d v="2023-04-16T00:00:00"/>
    <n v="11"/>
    <x v="2"/>
    <x v="11"/>
    <s v="Vancouver"/>
    <s v="Non-Profit"/>
    <x v="4"/>
    <x v="11"/>
    <x v="0"/>
    <x v="123"/>
    <n v="213.1"/>
    <n v="501.31"/>
    <x v="60"/>
    <b v="0"/>
    <n v="15"/>
    <n v="7098.5495999999994"/>
    <n v="3196.5"/>
    <n v="3902.0495999999994"/>
    <n v="0.54969674368409005"/>
    <s v="Low"/>
    <x v="0"/>
    <s v="Low Discount"/>
    <n v="5.6000000000000001E-2"/>
    <n v="223.755"/>
    <n v="16.5"/>
    <n v="7808.404559999999"/>
    <n v="4116.4470599999986"/>
  </r>
  <r>
    <x v="124"/>
    <x v="115"/>
    <x v="20"/>
    <s v="Q4-2024"/>
    <d v="2024-11-09T00:00:00"/>
    <d v="2024-11-09T00:00:00"/>
    <n v="29"/>
    <x v="3"/>
    <x v="10"/>
    <s v="Shanghai"/>
    <s v="Non-Profit"/>
    <x v="4"/>
    <x v="6"/>
    <x v="6"/>
    <x v="124"/>
    <n v="391.64"/>
    <n v="504.76"/>
    <x v="91"/>
    <b v="0"/>
    <n v="13"/>
    <n v="6535.6324799999993"/>
    <n v="5091.32"/>
    <n v="1444.3124799999996"/>
    <n v="0.22099046793402308"/>
    <s v="Low"/>
    <x v="0"/>
    <s v="Low Discount"/>
    <n v="4.0000000000000001E-3"/>
    <n v="411.22199999999998"/>
    <n v="14.3"/>
    <n v="7189.1957279999997"/>
    <n v="1308.7211280000001"/>
  </r>
  <r>
    <x v="125"/>
    <x v="116"/>
    <x v="17"/>
    <s v="Q2-2023"/>
    <d v="2023-07-08T00:00:00"/>
    <d v="2023-07-08T00:00:00"/>
    <n v="18"/>
    <x v="2"/>
    <x v="3"/>
    <s v="Austin"/>
    <s v="Non-Profit"/>
    <x v="2"/>
    <x v="6"/>
    <x v="0"/>
    <x v="125"/>
    <n v="337"/>
    <n v="511.03"/>
    <x v="92"/>
    <b v="0"/>
    <n v="7"/>
    <n v="3190.8713199999997"/>
    <n v="2359"/>
    <n v="831.87131999999974"/>
    <n v="0.26070349963219447"/>
    <s v="Low"/>
    <x v="0"/>
    <s v="Low Discount"/>
    <n v="0.108"/>
    <n v="353.85"/>
    <n v="7.7000000000000011"/>
    <n v="3509.9584520000003"/>
    <n v="785.31345199999987"/>
  </r>
  <r>
    <x v="126"/>
    <x v="117"/>
    <x v="9"/>
    <s v="Q3-2023"/>
    <d v="2023-09-22T00:00:00"/>
    <d v="2023-09-22T00:00:00"/>
    <n v="30"/>
    <x v="0"/>
    <x v="0"/>
    <s v="London"/>
    <s v="Consumer"/>
    <x v="3"/>
    <x v="11"/>
    <x v="2"/>
    <x v="126"/>
    <n v="209.81"/>
    <n v="523"/>
    <x v="93"/>
    <b v="0"/>
    <n v="15"/>
    <n v="7382.1450000000004"/>
    <n v="3147.15"/>
    <n v="4234.9950000000008"/>
    <n v="0.57368082041195356"/>
    <s v="Low"/>
    <x v="0"/>
    <s v="Low Discount"/>
    <n v="5.8999999999999997E-2"/>
    <n v="220.3005"/>
    <n v="16.5"/>
    <n v="8120.3595000000005"/>
    <n v="4485.4012500000008"/>
  </r>
  <r>
    <x v="127"/>
    <x v="118"/>
    <x v="1"/>
    <s v="Q1-2023"/>
    <d v="2023-03-04T00:00:00"/>
    <d v="2023-03-04T00:00:00"/>
    <n v="12"/>
    <x v="3"/>
    <x v="9"/>
    <s v="Delhi"/>
    <s v="Consumer"/>
    <x v="3"/>
    <x v="7"/>
    <x v="0"/>
    <x v="127"/>
    <n v="299.75"/>
    <n v="523.01"/>
    <x v="20"/>
    <b v="0"/>
    <n v="50"/>
    <n v="22044.871500000001"/>
    <n v="14987.5"/>
    <n v="7057.3715000000011"/>
    <n v="0.32013665854210133"/>
    <s v="Low"/>
    <x v="0"/>
    <s v="Low Discount"/>
    <n v="0.157"/>
    <n v="314.73750000000001"/>
    <n v="55.000000000000007"/>
    <n v="24249.358650000002"/>
    <n v="6938.7961499999983"/>
  </r>
  <r>
    <x v="128"/>
    <x v="119"/>
    <x v="25"/>
    <s v="Q3-2024"/>
    <d v="2024-08-17T00:00:00"/>
    <d v="2024-08-17T00:00:00"/>
    <n v="10"/>
    <x v="3"/>
    <x v="7"/>
    <s v="Osaka"/>
    <s v="Consumer"/>
    <x v="4"/>
    <x v="12"/>
    <x v="1"/>
    <x v="128"/>
    <n v="436.58"/>
    <n v="527.48"/>
    <x v="94"/>
    <b v="0"/>
    <n v="19"/>
    <n v="8909.6646799999999"/>
    <n v="8295.02"/>
    <n v="614.64467999999943"/>
    <n v="6.8986286473802449E-2"/>
    <s v="Low"/>
    <x v="0"/>
    <s v="Low Discount"/>
    <n v="0.111"/>
    <n v="458.40899999999999"/>
    <n v="20.900000000000002"/>
    <n v="9800.6311480000022"/>
    <n v="219.88304800000151"/>
  </r>
  <r>
    <x v="129"/>
    <x v="120"/>
    <x v="20"/>
    <s v="Q4-2024"/>
    <d v="2024-11-05T00:00:00"/>
    <d v="2024-11-05T00:00:00"/>
    <n v="11"/>
    <x v="2"/>
    <x v="3"/>
    <s v="New York"/>
    <s v="Corporate"/>
    <x v="3"/>
    <x v="9"/>
    <x v="4"/>
    <x v="129"/>
    <n v="446.66"/>
    <n v="527.64"/>
    <x v="95"/>
    <b v="0"/>
    <n v="15"/>
    <n v="6766.9829999999993"/>
    <n v="6699.9000000000005"/>
    <n v="67.082999999998719"/>
    <n v="9.9132804087137105E-3"/>
    <s v="Low"/>
    <x v="0"/>
    <s v="Low Discount"/>
    <n v="0.14499999999999999"/>
    <n v="468.99300000000005"/>
    <n v="16.5"/>
    <n v="7443.6812999999993"/>
    <n v="-294.70320000000174"/>
  </r>
  <r>
    <x v="130"/>
    <x v="121"/>
    <x v="14"/>
    <s v="Q1-2025"/>
    <d v="2025-03-15T00:00:00"/>
    <d v="2025-03-15T00:00:00"/>
    <n v="7"/>
    <x v="3"/>
    <x v="9"/>
    <s v="Bengaluru"/>
    <s v="Corporate"/>
    <x v="3"/>
    <x v="12"/>
    <x v="5"/>
    <x v="130"/>
    <n v="475.66"/>
    <n v="529.14"/>
    <x v="71"/>
    <b v="0"/>
    <n v="11"/>
    <n v="4679.7141600000004"/>
    <n v="5232.26"/>
    <n v="-552.54583999999977"/>
    <n v="-0.11807256193613323"/>
    <s v="Low"/>
    <x v="1"/>
    <s v="Low Discount"/>
    <n v="0.19600000000000001"/>
    <n v="499.44300000000004"/>
    <n v="12.100000000000001"/>
    <n v="5147.6855760000008"/>
    <n v="-895.57472400000006"/>
  </r>
  <r>
    <x v="131"/>
    <x v="122"/>
    <x v="27"/>
    <s v="Q1-2025"/>
    <d v="2025-01-15T00:00:00"/>
    <d v="2025-01-15T00:00:00"/>
    <n v="6"/>
    <x v="3"/>
    <x v="10"/>
    <s v="Beijing"/>
    <s v="Education"/>
    <x v="4"/>
    <x v="8"/>
    <x v="3"/>
    <x v="131"/>
    <n v="304.77999999999997"/>
    <n v="537.27"/>
    <x v="74"/>
    <b v="0"/>
    <n v="8"/>
    <n v="3494.4040799999998"/>
    <n v="2438.2399999999998"/>
    <n v="1056.16408"/>
    <n v="0.3022444044307549"/>
    <s v="Low"/>
    <x v="1"/>
    <s v="Low Discount"/>
    <n v="0.187"/>
    <n v="320.01900000000001"/>
    <n v="8.8000000000000007"/>
    <n v="3843.8444880000002"/>
    <n v="1027.6772879999999"/>
  </r>
  <r>
    <x v="132"/>
    <x v="123"/>
    <x v="4"/>
    <s v="Q2-2024"/>
    <d v="2024-06-20T00:00:00"/>
    <d v="2024-06-20T00:00:00"/>
    <n v="1"/>
    <x v="1"/>
    <x v="1"/>
    <s v="Kisumu"/>
    <s v="Small Business"/>
    <x v="2"/>
    <x v="3"/>
    <x v="5"/>
    <x v="132"/>
    <n v="231.63"/>
    <n v="537.39"/>
    <x v="96"/>
    <b v="0"/>
    <n v="12"/>
    <n v="5932.7856000000002"/>
    <n v="2779.56"/>
    <n v="3153.2256000000002"/>
    <n v="0.53149158129024587"/>
    <s v="Low"/>
    <x v="1"/>
    <s v="Low Discount"/>
    <n v="0.08"/>
    <n v="243.2115"/>
    <n v="13.200000000000001"/>
    <n v="6526.0641600000008"/>
    <n v="3315.6723600000005"/>
  </r>
  <r>
    <x v="133"/>
    <x v="124"/>
    <x v="20"/>
    <s v="Q4-2024"/>
    <d v="2024-11-08T00:00:00"/>
    <d v="2024-11-08T00:00:00"/>
    <n v="30"/>
    <x v="0"/>
    <x v="0"/>
    <s v="Manchester"/>
    <s v="Small Business"/>
    <x v="3"/>
    <x v="3"/>
    <x v="4"/>
    <x v="133"/>
    <n v="343.85"/>
    <n v="538.04"/>
    <x v="97"/>
    <b v="0"/>
    <n v="5"/>
    <n v="2316.2622000000001"/>
    <n v="1719.25"/>
    <n v="597.01220000000012"/>
    <n v="0.25774810813732579"/>
    <s v="Low"/>
    <x v="0"/>
    <s v="Low Discount"/>
    <n v="0.13900000000000001"/>
    <n v="361.04250000000002"/>
    <n v="5.5"/>
    <n v="2547.8884199999998"/>
    <n v="562.15466999999967"/>
  </r>
  <r>
    <x v="134"/>
    <x v="125"/>
    <x v="12"/>
    <s v="Q1-2025"/>
    <d v="2025-03-09T00:00:00"/>
    <d v="2025-03-09T00:00:00"/>
    <n v="18"/>
    <x v="3"/>
    <x v="9"/>
    <s v="Delhi"/>
    <s v="Small Business"/>
    <x v="2"/>
    <x v="11"/>
    <x v="0"/>
    <x v="134"/>
    <n v="325.87"/>
    <n v="538.79"/>
    <x v="98"/>
    <b v="0"/>
    <n v="16"/>
    <n v="7120.6486400000003"/>
    <n v="5213.92"/>
    <n v="1906.7286400000003"/>
    <n v="0.26777457172778013"/>
    <s v="Low"/>
    <x v="0"/>
    <s v="Low Discount"/>
    <n v="0.17399999999999999"/>
    <n v="342.1635"/>
    <n v="17.600000000000001"/>
    <n v="7832.7135040000012"/>
    <n v="1810.6359040000007"/>
  </r>
  <r>
    <x v="135"/>
    <x v="126"/>
    <x v="27"/>
    <s v="Q1-2025"/>
    <d v="2025-02-17T00:00:00"/>
    <d v="2025-02-17T00:00:00"/>
    <n v="17"/>
    <x v="0"/>
    <x v="0"/>
    <s v="London"/>
    <s v="Enterprise"/>
    <x v="0"/>
    <x v="2"/>
    <x v="4"/>
    <x v="135"/>
    <n v="378.26"/>
    <n v="541.55999999999995"/>
    <x v="52"/>
    <b v="0"/>
    <n v="25"/>
    <n v="11332.142999999998"/>
    <n v="9456.5"/>
    <n v="1875.6429999999982"/>
    <n v="0.16551529573885526"/>
    <s v="Low"/>
    <x v="0"/>
    <s v="Low Discount"/>
    <n v="0.16300000000000001"/>
    <n v="397.173"/>
    <n v="27.500000000000004"/>
    <n v="12465.3573"/>
    <n v="1543.0997999999981"/>
  </r>
  <r>
    <x v="136"/>
    <x v="81"/>
    <x v="9"/>
    <s v="Q3-2023"/>
    <d v="2023-08-30T00:00:00"/>
    <d v="2023-08-30T00:00:00"/>
    <n v="27"/>
    <x v="3"/>
    <x v="10"/>
    <s v="Shanghai"/>
    <s v="Consumer"/>
    <x v="3"/>
    <x v="9"/>
    <x v="0"/>
    <x v="136"/>
    <n v="226.04"/>
    <n v="545.72"/>
    <x v="11"/>
    <b v="0"/>
    <n v="11"/>
    <n v="5096.4790800000001"/>
    <n v="2486.44"/>
    <n v="2610.03908"/>
    <n v="0.51212592831834014"/>
    <s v="Low"/>
    <x v="0"/>
    <s v="Low Discount"/>
    <n v="0.151"/>
    <n v="237.34200000000001"/>
    <n v="12.100000000000001"/>
    <n v="5606.1269880000009"/>
    <n v="2734.2887880000003"/>
  </r>
  <r>
    <x v="137"/>
    <x v="127"/>
    <x v="0"/>
    <s v="Q4-2024"/>
    <d v="2024-12-20T00:00:00"/>
    <d v="2024-12-20T00:00:00"/>
    <n v="5"/>
    <x v="3"/>
    <x v="10"/>
    <s v="Shenzhen"/>
    <s v="Small Business"/>
    <x v="2"/>
    <x v="3"/>
    <x v="1"/>
    <x v="137"/>
    <n v="717.55"/>
    <n v="546.42999999999995"/>
    <x v="7"/>
    <b v="0"/>
    <n v="18"/>
    <n v="9373.4602199999972"/>
    <n v="12915.9"/>
    <n v="-3542.4397800000024"/>
    <n v="-0.37792231437026397"/>
    <s v="Low"/>
    <x v="1"/>
    <s v="Low Discount"/>
    <n v="4.7E-2"/>
    <n v="753.42750000000001"/>
    <n v="19.8"/>
    <n v="10310.806241999999"/>
    <n v="-4607.0582580000028"/>
  </r>
  <r>
    <x v="138"/>
    <x v="128"/>
    <x v="14"/>
    <s v="Q1-2025"/>
    <d v="2025-03-31T00:00:00"/>
    <d v="2025-03-31T00:00:00"/>
    <n v="25"/>
    <x v="2"/>
    <x v="5"/>
    <s v="Brasília"/>
    <s v="Non-Profit"/>
    <x v="4"/>
    <x v="3"/>
    <x v="4"/>
    <x v="138"/>
    <n v="331.57"/>
    <n v="548.4"/>
    <x v="75"/>
    <b v="0"/>
    <n v="10"/>
    <n v="4968.5039999999999"/>
    <n v="3315.7"/>
    <n v="1652.8040000000001"/>
    <n v="0.33265626836568918"/>
    <s v="Low"/>
    <x v="0"/>
    <s v="Low Discount"/>
    <n v="9.4E-2"/>
    <n v="348.14850000000001"/>
    <n v="11"/>
    <n v="5465.3544000000002"/>
    <n v="1635.7209000000003"/>
  </r>
  <r>
    <x v="139"/>
    <x v="129"/>
    <x v="17"/>
    <s v="Q2-2023"/>
    <d v="2023-07-03T00:00:00"/>
    <d v="2023-07-03T00:00:00"/>
    <n v="10"/>
    <x v="1"/>
    <x v="8"/>
    <s v="Abuja"/>
    <s v="Consumer"/>
    <x v="4"/>
    <x v="3"/>
    <x v="6"/>
    <x v="139"/>
    <n v="337.75"/>
    <n v="548.89"/>
    <x v="33"/>
    <b v="0"/>
    <n v="13"/>
    <n v="7135.57"/>
    <n v="4390.75"/>
    <n v="2744.8199999999997"/>
    <n v="0.38466723751571352"/>
    <s v="Low"/>
    <x v="0"/>
    <s v="Low Discount"/>
    <n v="0"/>
    <n v="354.63749999999999"/>
    <n v="14.3"/>
    <n v="7849.1270000000004"/>
    <n v="2777.8107500000006"/>
  </r>
  <r>
    <x v="140"/>
    <x v="130"/>
    <x v="23"/>
    <s v="Q2-2025"/>
    <d v="2025-06-09T00:00:00"/>
    <d v="2025-06-09T00:00:00"/>
    <n v="22"/>
    <x v="2"/>
    <x v="3"/>
    <s v="New York"/>
    <s v="Consumer"/>
    <x v="0"/>
    <x v="2"/>
    <x v="1"/>
    <x v="140"/>
    <n v="382.96"/>
    <n v="552.84"/>
    <x v="23"/>
    <b v="0"/>
    <n v="8"/>
    <n v="3644.3212800000006"/>
    <n v="3063.68"/>
    <n v="580.64128000000073"/>
    <n v="0.15932768693763483"/>
    <s v="Low"/>
    <x v="0"/>
    <s v="Low Discount"/>
    <n v="0.17599999999999999"/>
    <n v="402.108"/>
    <n v="8.8000000000000007"/>
    <n v="4008.7534080000009"/>
    <n v="470.20300800000041"/>
  </r>
  <r>
    <x v="141"/>
    <x v="131"/>
    <x v="25"/>
    <s v="Q3-2024"/>
    <d v="2024-09-07T00:00:00"/>
    <d v="2024-09-07T00:00:00"/>
    <n v="28"/>
    <x v="0"/>
    <x v="2"/>
    <s v="Marseille"/>
    <s v="Non-Profit"/>
    <x v="2"/>
    <x v="6"/>
    <x v="6"/>
    <x v="141"/>
    <n v="229.96"/>
    <n v="564.26"/>
    <x v="99"/>
    <b v="0"/>
    <n v="5"/>
    <n v="2525.0635000000002"/>
    <n v="1149.8"/>
    <n v="1375.2635000000002"/>
    <n v="0.54464511486542821"/>
    <s v="Low"/>
    <x v="0"/>
    <s v="Low Discount"/>
    <n v="0.105"/>
    <n v="241.45800000000003"/>
    <n v="5.5"/>
    <n v="2777.5698499999999"/>
    <n v="1449.5508499999996"/>
  </r>
  <r>
    <x v="142"/>
    <x v="132"/>
    <x v="6"/>
    <s v="Q2-2025"/>
    <d v="2025-05-16T00:00:00"/>
    <d v="2025-05-16T00:00:00"/>
    <n v="30"/>
    <x v="2"/>
    <x v="11"/>
    <s v="Montreal"/>
    <s v="Enterprise"/>
    <x v="3"/>
    <x v="12"/>
    <x v="6"/>
    <x v="142"/>
    <n v="763.32"/>
    <n v="568.29"/>
    <x v="1"/>
    <b v="0"/>
    <n v="16"/>
    <n v="7901.5041599999995"/>
    <n v="12213.12"/>
    <n v="-4311.6158400000013"/>
    <n v="-0.54567026134426555"/>
    <s v="Low"/>
    <x v="0"/>
    <s v="Low Discount"/>
    <n v="0.13100000000000001"/>
    <n v="801.4860000000001"/>
    <n v="17.600000000000001"/>
    <n v="8691.6545760000008"/>
    <n v="-5414.4990240000025"/>
  </r>
  <r>
    <x v="143"/>
    <x v="133"/>
    <x v="3"/>
    <s v="Q1-2024"/>
    <d v="2024-03-26T00:00:00"/>
    <d v="2024-03-26T00:00:00"/>
    <n v="3"/>
    <x v="3"/>
    <x v="9"/>
    <s v="Bengaluru"/>
    <s v="Education"/>
    <x v="2"/>
    <x v="14"/>
    <x v="3"/>
    <x v="143"/>
    <n v="382.21"/>
    <n v="571.89"/>
    <x v="19"/>
    <b v="0"/>
    <n v="26"/>
    <n v="12668.50728"/>
    <n v="9937.4599999999991"/>
    <n v="2731.0472800000007"/>
    <n v="0.2155776698578809"/>
    <s v="Low"/>
    <x v="1"/>
    <s v="Low Discount"/>
    <n v="0.14799999999999999"/>
    <n v="401.32049999999998"/>
    <n v="28.6"/>
    <n v="13935.358007999999"/>
    <n v="2457.5917079999999"/>
  </r>
  <r>
    <x v="144"/>
    <x v="134"/>
    <x v="11"/>
    <s v="Q3-2025"/>
    <d v="2025-08-28T00:00:00"/>
    <d v="2025-08-28T00:00:00"/>
    <n v="17"/>
    <x v="0"/>
    <x v="2"/>
    <s v="Paris"/>
    <s v="Education"/>
    <x v="4"/>
    <x v="6"/>
    <x v="1"/>
    <x v="144"/>
    <n v="416.16"/>
    <n v="571.9"/>
    <x v="55"/>
    <b v="0"/>
    <n v="2"/>
    <n v="1062.5902000000001"/>
    <n v="832.32"/>
    <n v="230.27020000000005"/>
    <n v="0.21670649701079497"/>
    <s v="Low"/>
    <x v="0"/>
    <s v="Low Discount"/>
    <n v="7.0999999999999994E-2"/>
    <n v="436.96800000000002"/>
    <n v="2.2000000000000002"/>
    <n v="1168.8492200000003"/>
    <n v="207.51962000000015"/>
  </r>
  <r>
    <x v="145"/>
    <x v="135"/>
    <x v="0"/>
    <s v="Q4-2024"/>
    <d v="2024-12-26T00:00:00"/>
    <d v="2024-12-26T00:00:00"/>
    <n v="5"/>
    <x v="2"/>
    <x v="3"/>
    <s v="San Francisco"/>
    <s v="Consumer"/>
    <x v="1"/>
    <x v="7"/>
    <x v="6"/>
    <x v="145"/>
    <n v="699.57"/>
    <n v="572.71"/>
    <x v="100"/>
    <b v="0"/>
    <n v="26"/>
    <n v="12031.491680000001"/>
    <n v="18188.82"/>
    <n v="-6157.3283199999987"/>
    <n v="-0.51176765805651114"/>
    <s v="Low"/>
    <x v="1"/>
    <s v="Low Discount"/>
    <n v="0.192"/>
    <n v="734.5485000000001"/>
    <n v="28.6"/>
    <n v="13234.640848000003"/>
    <n v="-7773.4462520000016"/>
  </r>
  <r>
    <x v="146"/>
    <x v="57"/>
    <x v="27"/>
    <s v="Q1-2025"/>
    <d v="2025-01-22T00:00:00"/>
    <d v="2025-01-22T00:00:00"/>
    <n v="0"/>
    <x v="0"/>
    <x v="2"/>
    <s v="Lyon"/>
    <s v="Small Business"/>
    <x v="4"/>
    <x v="4"/>
    <x v="2"/>
    <x v="146"/>
    <n v="591.72"/>
    <n v="577.24"/>
    <x v="33"/>
    <b v="0"/>
    <n v="22"/>
    <n v="12699.28"/>
    <n v="13017.84"/>
    <n v="-318.55999999999949"/>
    <n v="-2.5084886702238195E-2"/>
    <s v="Low"/>
    <x v="1"/>
    <s v="Low Discount"/>
    <n v="0"/>
    <n v="621.30600000000004"/>
    <n v="24.200000000000003"/>
    <n v="13969.208000000002"/>
    <n v="-1066.3972000000012"/>
  </r>
  <r>
    <x v="147"/>
    <x v="136"/>
    <x v="4"/>
    <s v="Q2-2024"/>
    <d v="2024-06-28T00:00:00"/>
    <d v="2024-06-28T00:00:00"/>
    <n v="5"/>
    <x v="1"/>
    <x v="8"/>
    <s v="Port Harcourt"/>
    <s v="Non-Profit"/>
    <x v="2"/>
    <x v="7"/>
    <x v="2"/>
    <x v="147"/>
    <n v="242.31"/>
    <n v="587.95000000000005"/>
    <x v="72"/>
    <b v="0"/>
    <n v="6"/>
    <n v="2719.8567000000003"/>
    <n v="1453.8600000000001"/>
    <n v="1265.9967000000001"/>
    <n v="0.46546448568411714"/>
    <s v="Low"/>
    <x v="1"/>
    <s v="High Discount"/>
    <n v="0.2"/>
    <n v="254.4255"/>
    <n v="6.6000000000000005"/>
    <n v="3104.3760000000007"/>
    <n v="1425.1677000000004"/>
  </r>
  <r>
    <x v="148"/>
    <x v="137"/>
    <x v="13"/>
    <s v="Q1-2023"/>
    <d v="2023-01-05T00:00:00"/>
    <d v="2023-01-05T00:00:00"/>
    <n v="3"/>
    <x v="2"/>
    <x v="11"/>
    <s v="Toronto"/>
    <s v="Corporate"/>
    <x v="3"/>
    <x v="4"/>
    <x v="5"/>
    <x v="148"/>
    <n v="315.87"/>
    <n v="591.67999999999995"/>
    <x v="33"/>
    <b v="0"/>
    <n v="7"/>
    <n v="4141.7599999999993"/>
    <n v="2211.09"/>
    <n v="1930.6699999999992"/>
    <n v="0.46614724175229844"/>
    <s v="Low"/>
    <x v="1"/>
    <s v="Low Discount"/>
    <n v="0"/>
    <n v="331.6635"/>
    <n v="7.7000000000000011"/>
    <n v="4555.9360000000006"/>
    <n v="2002.1270500000001"/>
  </r>
  <r>
    <x v="149"/>
    <x v="138"/>
    <x v="23"/>
    <s v="Q2-2025"/>
    <d v="2025-05-26T00:00:00"/>
    <d v="2025-05-26T00:00:00"/>
    <n v="14"/>
    <x v="3"/>
    <x v="9"/>
    <s v="Hyderabad"/>
    <s v="Corporate"/>
    <x v="1"/>
    <x v="14"/>
    <x v="6"/>
    <x v="149"/>
    <n v="320.12"/>
    <n v="594.41999999999996"/>
    <x v="101"/>
    <b v="0"/>
    <n v="18"/>
    <n v="9586.8057599999993"/>
    <n v="5762.16"/>
    <n v="3824.6457599999994"/>
    <n v="0.39894891538931104"/>
    <s v="Low"/>
    <x v="0"/>
    <s v="Low Discount"/>
    <n v="0.104"/>
    <n v="336.12600000000003"/>
    <n v="19.8"/>
    <n v="10545.486336"/>
    <n v="3890.1915359999994"/>
  </r>
  <r>
    <x v="150"/>
    <x v="139"/>
    <x v="16"/>
    <s v="Q2-2023"/>
    <d v="2023-04-16T00:00:00"/>
    <d v="2023-04-16T00:00:00"/>
    <n v="13"/>
    <x v="0"/>
    <x v="2"/>
    <s v="Marseille"/>
    <s v="Non-Profit"/>
    <x v="1"/>
    <x v="7"/>
    <x v="2"/>
    <x v="150"/>
    <n v="790.54"/>
    <n v="601.49"/>
    <x v="33"/>
    <b v="0"/>
    <n v="15"/>
    <n v="9022.35"/>
    <n v="11858.099999999999"/>
    <n v="-2835.7499999999982"/>
    <n v="-0.31430281467688553"/>
    <s v="Low"/>
    <x v="0"/>
    <s v="Low Discount"/>
    <n v="0"/>
    <n v="830.06700000000001"/>
    <n v="16.5"/>
    <n v="9924.5850000000009"/>
    <n v="-3771.5204999999987"/>
  </r>
  <r>
    <x v="151"/>
    <x v="140"/>
    <x v="21"/>
    <s v="Q1-2024"/>
    <d v="2024-01-12T00:00:00"/>
    <d v="2024-01-12T00:00:00"/>
    <n v="4"/>
    <x v="3"/>
    <x v="9"/>
    <s v="Bengaluru"/>
    <s v="Corporate"/>
    <x v="2"/>
    <x v="10"/>
    <x v="6"/>
    <x v="151"/>
    <n v="802.32"/>
    <n v="602.34"/>
    <x v="38"/>
    <b v="0"/>
    <n v="25"/>
    <n v="13251.480000000001"/>
    <n v="20058"/>
    <n v="-6806.5199999999986"/>
    <n v="-0.51364224977134609"/>
    <s v="Low"/>
    <x v="1"/>
    <s v="Low Discount"/>
    <n v="0.12"/>
    <n v="842.43600000000004"/>
    <n v="27.500000000000004"/>
    <n v="14576.628000000002"/>
    <n v="-8590.3620000000028"/>
  </r>
  <r>
    <x v="152"/>
    <x v="141"/>
    <x v="10"/>
    <s v="Q4-2023"/>
    <d v="2023-11-24T00:00:00"/>
    <d v="2023-11-24T00:00:00"/>
    <n v="30"/>
    <x v="0"/>
    <x v="2"/>
    <s v="Paris"/>
    <s v="Enterprise"/>
    <x v="3"/>
    <x v="8"/>
    <x v="3"/>
    <x v="152"/>
    <n v="287.85000000000002"/>
    <n v="602.91999999999996"/>
    <x v="102"/>
    <b v="0"/>
    <n v="11"/>
    <n v="5159.7893599999998"/>
    <n v="3166.3500000000004"/>
    <n v="1993.4393599999994"/>
    <n v="0.38634122847216373"/>
    <s v="Low"/>
    <x v="0"/>
    <s v="High Discount"/>
    <n v="0.2"/>
    <n v="302.24250000000006"/>
    <n v="12.100000000000001"/>
    <n v="5836.2656000000006"/>
    <n v="2179.1313499999997"/>
  </r>
  <r>
    <x v="153"/>
    <x v="142"/>
    <x v="9"/>
    <s v="Q3-2023"/>
    <d v="2023-09-07T00:00:00"/>
    <d v="2023-09-07T00:00:00"/>
    <n v="19"/>
    <x v="1"/>
    <x v="4"/>
    <s v="Johannesburg"/>
    <s v="Enterprise"/>
    <x v="0"/>
    <x v="0"/>
    <x v="0"/>
    <x v="153"/>
    <n v="494.61"/>
    <n v="605.23"/>
    <x v="51"/>
    <b v="0"/>
    <n v="18"/>
    <n v="8671.7354400000004"/>
    <n v="8902.98"/>
    <n v="-231.24455999999918"/>
    <n v="-2.6666468505639647E-2"/>
    <s v="Low"/>
    <x v="0"/>
    <s v="High Discount"/>
    <n v="0.2"/>
    <n v="519.34050000000002"/>
    <n v="19.8"/>
    <n v="9586.8432000000012"/>
    <n v="-696.09870000000046"/>
  </r>
  <r>
    <x v="154"/>
    <x v="143"/>
    <x v="28"/>
    <s v="Q3-2023"/>
    <d v="2023-10-08T00:00:00"/>
    <d v="2023-10-08T00:00:00"/>
    <n v="19"/>
    <x v="3"/>
    <x v="9"/>
    <s v="Bengaluru"/>
    <s v="Education"/>
    <x v="2"/>
    <x v="3"/>
    <x v="6"/>
    <x v="154"/>
    <n v="385.32"/>
    <n v="606.76"/>
    <x v="103"/>
    <b v="0"/>
    <n v="8"/>
    <n v="4436.6291200000005"/>
    <n v="3082.56"/>
    <n v="1354.0691200000006"/>
    <n v="0.30520223425842735"/>
    <s v="Low"/>
    <x v="0"/>
    <s v="Low Discount"/>
    <n v="8.5999999999999993E-2"/>
    <n v="404.58600000000001"/>
    <n v="8.8000000000000007"/>
    <n v="4880.2920320000012"/>
    <n v="1319.9352320000007"/>
  </r>
  <r>
    <x v="155"/>
    <x v="144"/>
    <x v="18"/>
    <s v="Q3-2025"/>
    <d v="2025-08-15T00:00:00"/>
    <d v="2025-08-15T00:00:00"/>
    <n v="19"/>
    <x v="3"/>
    <x v="7"/>
    <s v="Tokyo"/>
    <s v="Small Business"/>
    <x v="1"/>
    <x v="3"/>
    <x v="4"/>
    <x v="155"/>
    <n v="275.43"/>
    <n v="608.36"/>
    <x v="104"/>
    <b v="0"/>
    <n v="4"/>
    <n v="1808.04592"/>
    <n v="1101.72"/>
    <n v="706.32592"/>
    <n v="0.39065706915231446"/>
    <s v="Low"/>
    <x v="0"/>
    <s v="High Discount"/>
    <n v="0.2"/>
    <n v="289.20150000000001"/>
    <n v="4.4000000000000004"/>
    <n v="2141.4272000000005"/>
    <n v="868.94060000000036"/>
  </r>
  <r>
    <x v="156"/>
    <x v="145"/>
    <x v="3"/>
    <s v="Q1-2024"/>
    <d v="2024-04-06T00:00:00"/>
    <d v="2024-04-06T00:00:00"/>
    <n v="26"/>
    <x v="1"/>
    <x v="1"/>
    <s v="Kisumu"/>
    <s v="Corporate"/>
    <x v="0"/>
    <x v="8"/>
    <x v="4"/>
    <x v="156"/>
    <n v="279.24"/>
    <n v="608.9"/>
    <x v="105"/>
    <b v="0"/>
    <n v="9"/>
    <n v="4866.3288000000002"/>
    <n v="2513.16"/>
    <n v="2353.1688000000004"/>
    <n v="0.48356140670149544"/>
    <s v="Low"/>
    <x v="0"/>
    <s v="Low Discount"/>
    <n v="0.112"/>
    <n v="293.202"/>
    <n v="9.9"/>
    <n v="5352.9616800000003"/>
    <n v="2450.2618800000005"/>
  </r>
  <r>
    <x v="157"/>
    <x v="146"/>
    <x v="21"/>
    <s v="Q1-2024"/>
    <d v="2024-01-29T00:00:00"/>
    <d v="2024-01-29T00:00:00"/>
    <n v="17"/>
    <x v="3"/>
    <x v="9"/>
    <s v="Hyderabad"/>
    <s v="Small Business"/>
    <x v="2"/>
    <x v="4"/>
    <x v="4"/>
    <x v="157"/>
    <n v="310.02"/>
    <n v="619.51"/>
    <x v="106"/>
    <b v="0"/>
    <n v="4"/>
    <n v="2373.9623200000001"/>
    <n v="1240.08"/>
    <n v="1133.8823200000002"/>
    <n v="0.47763282106347843"/>
    <s v="Low"/>
    <x v="0"/>
    <s v="Low Discount"/>
    <n v="4.2000000000000003E-2"/>
    <n v="325.52100000000002"/>
    <n v="4.4000000000000004"/>
    <n v="2611.3585520000001"/>
    <n v="1179.0661519999999"/>
  </r>
  <r>
    <x v="158"/>
    <x v="54"/>
    <x v="6"/>
    <s v="Q2-2025"/>
    <d v="2025-05-06T00:00:00"/>
    <d v="2025-05-06T00:00:00"/>
    <n v="27"/>
    <x v="2"/>
    <x v="5"/>
    <s v="Brasília"/>
    <s v="Enterprise"/>
    <x v="1"/>
    <x v="6"/>
    <x v="5"/>
    <x v="158"/>
    <n v="264.19"/>
    <n v="620.92999999999995"/>
    <x v="85"/>
    <b v="0"/>
    <n v="12"/>
    <n v="6393.0952799999995"/>
    <n v="3170.2799999999997"/>
    <n v="3222.8152799999998"/>
    <n v="0.50410875152794532"/>
    <s v="Low"/>
    <x v="0"/>
    <s v="Low Discount"/>
    <n v="0.14199999999999999"/>
    <n v="277.39949999999999"/>
    <n v="13.200000000000001"/>
    <n v="7032.4048080000002"/>
    <n v="3370.7314080000001"/>
  </r>
  <r>
    <x v="159"/>
    <x v="147"/>
    <x v="17"/>
    <s v="Q2-2023"/>
    <d v="2023-06-19T00:00:00"/>
    <d v="2023-06-19T00:00:00"/>
    <n v="10"/>
    <x v="3"/>
    <x v="10"/>
    <s v="Beijing"/>
    <s v="Enterprise"/>
    <x v="0"/>
    <x v="6"/>
    <x v="0"/>
    <x v="159"/>
    <n v="339.61"/>
    <n v="621.02"/>
    <x v="55"/>
    <b v="0"/>
    <n v="10"/>
    <n v="5769.2758000000003"/>
    <n v="3396.1000000000004"/>
    <n v="2373.1758"/>
    <n v="0.41134726129750981"/>
    <s v="Low"/>
    <x v="0"/>
    <s v="Low Discount"/>
    <n v="7.0999999999999994E-2"/>
    <n v="356.59050000000002"/>
    <n v="11"/>
    <n v="6346.2033800000008"/>
    <n v="2423.7078800000008"/>
  </r>
  <r>
    <x v="160"/>
    <x v="146"/>
    <x v="21"/>
    <s v="Q1-2024"/>
    <d v="2024-01-29T00:00:00"/>
    <d v="2024-01-29T00:00:00"/>
    <n v="17"/>
    <x v="2"/>
    <x v="3"/>
    <s v="Chicago"/>
    <s v="Education"/>
    <x v="3"/>
    <x v="13"/>
    <x v="6"/>
    <x v="160"/>
    <n v="493.76"/>
    <n v="625.04"/>
    <x v="107"/>
    <b v="0"/>
    <n v="10"/>
    <n v="4637.7968000000001"/>
    <n v="4937.6000000000004"/>
    <n v="-299.80320000000029"/>
    <n v="-6.464345311549663E-2"/>
    <s v="Low"/>
    <x v="0"/>
    <s v="High Discount"/>
    <n v="0.2"/>
    <n v="518.44799999999998"/>
    <n v="11"/>
    <n v="5500.3519999999999"/>
    <n v="-202.57600000000002"/>
  </r>
  <r>
    <x v="161"/>
    <x v="148"/>
    <x v="3"/>
    <s v="Q1-2024"/>
    <d v="2024-04-13T00:00:00"/>
    <d v="2024-04-13T00:00:00"/>
    <n v="28"/>
    <x v="0"/>
    <x v="2"/>
    <s v="Paris"/>
    <s v="Small Business"/>
    <x v="4"/>
    <x v="12"/>
    <x v="6"/>
    <x v="161"/>
    <n v="287.61"/>
    <n v="628.54"/>
    <x v="35"/>
    <b v="0"/>
    <n v="21"/>
    <n v="11417.429099999999"/>
    <n v="6039.81"/>
    <n v="5377.619099999999"/>
    <n v="0.47100087531964613"/>
    <s v="Low"/>
    <x v="0"/>
    <s v="Low Discount"/>
    <n v="0.13500000000000001"/>
    <n v="301.99050000000005"/>
    <n v="23.1"/>
    <n v="12559.17201"/>
    <n v="5583.1914599999982"/>
  </r>
  <r>
    <x v="162"/>
    <x v="98"/>
    <x v="30"/>
    <s v="Q4-2023"/>
    <d v="2023-11-29T00:00:00"/>
    <d v="2023-12-14T00:00:00"/>
    <n v="14"/>
    <x v="1"/>
    <x v="4"/>
    <s v="Durban"/>
    <s v="Small Business"/>
    <x v="1"/>
    <x v="10"/>
    <x v="5"/>
    <x v="162"/>
    <n v="275.56"/>
    <n v="630.72"/>
    <x v="41"/>
    <b v="0"/>
    <n v="23"/>
    <n v="12954.358080000002"/>
    <n v="6337.88"/>
    <n v="6616.4780800000017"/>
    <n v="0.5107530638831933"/>
    <s v="Low"/>
    <x v="0"/>
    <s v="Low Discount"/>
    <n v="0.107"/>
    <n v="289.33800000000002"/>
    <n v="25.3"/>
    <n v="14249.793888000002"/>
    <n v="6929.542488000001"/>
  </r>
  <r>
    <x v="163"/>
    <x v="149"/>
    <x v="5"/>
    <s v="Q3-2025"/>
    <d v="2025-09-30T00:00:00"/>
    <d v="2025-09-30T00:00:00"/>
    <n v="29"/>
    <x v="2"/>
    <x v="5"/>
    <s v="Brasília"/>
    <s v="Education"/>
    <x v="0"/>
    <x v="12"/>
    <x v="2"/>
    <x v="163"/>
    <n v="780.59"/>
    <n v="631.57000000000005"/>
    <x v="33"/>
    <b v="0"/>
    <n v="12"/>
    <n v="7578.84"/>
    <n v="9367.08"/>
    <n v="-1788.2399999999998"/>
    <n v="-0.23595167598207639"/>
    <s v="Low"/>
    <x v="0"/>
    <s v="Low Discount"/>
    <n v="0"/>
    <n v="819.61950000000002"/>
    <n v="13.200000000000001"/>
    <n v="8336.724000000002"/>
    <n v="-2482.2533999999996"/>
  </r>
  <r>
    <x v="164"/>
    <x v="150"/>
    <x v="0"/>
    <s v="Q4-2024"/>
    <d v="2025-01-15T00:00:00"/>
    <d v="2025-01-15T00:00:00"/>
    <n v="19"/>
    <x v="3"/>
    <x v="9"/>
    <s v="Delhi"/>
    <s v="Non-Profit"/>
    <x v="3"/>
    <x v="14"/>
    <x v="4"/>
    <x v="164"/>
    <n v="495.59"/>
    <n v="631.78"/>
    <x v="108"/>
    <b v="0"/>
    <n v="17"/>
    <n v="9805.8573800000013"/>
    <n v="8425.0299999999988"/>
    <n v="1380.8273800000024"/>
    <n v="0.14081658813601899"/>
    <s v="Low"/>
    <x v="0"/>
    <s v="Low Discount"/>
    <n v="8.6999999999999994E-2"/>
    <n v="520.36950000000002"/>
    <n v="18.700000000000003"/>
    <n v="10786.443118000003"/>
    <n v="1055.5334680000014"/>
  </r>
  <r>
    <x v="165"/>
    <x v="151"/>
    <x v="15"/>
    <s v="Q2-2024"/>
    <d v="2024-06-17T00:00:00"/>
    <d v="2024-06-17T00:00:00"/>
    <n v="21"/>
    <x v="3"/>
    <x v="9"/>
    <s v="Delhi"/>
    <s v="Small Business"/>
    <x v="4"/>
    <x v="2"/>
    <x v="2"/>
    <x v="165"/>
    <n v="465.02"/>
    <n v="651.55999999999995"/>
    <x v="106"/>
    <b v="0"/>
    <n v="19"/>
    <n v="11859.695119999998"/>
    <n v="8835.3799999999992"/>
    <n v="3024.3151199999993"/>
    <n v="0.25500783025187918"/>
    <s v="Low"/>
    <x v="0"/>
    <s v="Low Discount"/>
    <n v="4.2000000000000003E-2"/>
    <n v="488.27100000000002"/>
    <n v="20.900000000000002"/>
    <n v="13045.664631999998"/>
    <n v="2840.8007319999961"/>
  </r>
  <r>
    <x v="166"/>
    <x v="152"/>
    <x v="24"/>
    <s v="Q3-2023"/>
    <d v="2023-07-11T00:00:00"/>
    <d v="2023-07-11T00:00:00"/>
    <n v="10"/>
    <x v="0"/>
    <x v="2"/>
    <s v="Paris"/>
    <s v="Corporate"/>
    <x v="2"/>
    <x v="6"/>
    <x v="1"/>
    <x v="166"/>
    <n v="479.5"/>
    <n v="656.66"/>
    <x v="109"/>
    <b v="0"/>
    <n v="14"/>
    <n v="7823.4472399999995"/>
    <n v="6713"/>
    <n v="1110.4472399999995"/>
    <n v="0.14193835606412289"/>
    <s v="Low"/>
    <x v="0"/>
    <s v="Low Discount"/>
    <n v="0.14899999999999999"/>
    <n v="503.47500000000002"/>
    <n v="15.400000000000002"/>
    <n v="8605.791964"/>
    <n v="852.27696399999877"/>
  </r>
  <r>
    <x v="167"/>
    <x v="153"/>
    <x v="25"/>
    <s v="Q3-2024"/>
    <d v="2024-09-07T00:00:00"/>
    <d v="2024-09-07T00:00:00"/>
    <n v="19"/>
    <x v="0"/>
    <x v="2"/>
    <s v="Lyon"/>
    <s v="Corporate"/>
    <x v="2"/>
    <x v="3"/>
    <x v="4"/>
    <x v="167"/>
    <n v="297.58999999999997"/>
    <n v="666.41"/>
    <x v="33"/>
    <b v="0"/>
    <n v="10"/>
    <n v="6664.0999999999995"/>
    <n v="2975.8999999999996"/>
    <n v="3688.2"/>
    <n v="0.55344307558409989"/>
    <s v="Low"/>
    <x v="0"/>
    <s v="Low Discount"/>
    <n v="0"/>
    <n v="312.46949999999998"/>
    <n v="11"/>
    <n v="7330.5099999999993"/>
    <n v="3893.3454999999994"/>
  </r>
  <r>
    <x v="168"/>
    <x v="154"/>
    <x v="13"/>
    <s v="Q1-2023"/>
    <d v="2023-01-31T00:00:00"/>
    <d v="2023-01-31T00:00:00"/>
    <n v="4"/>
    <x v="0"/>
    <x v="0"/>
    <s v="Manchester"/>
    <s v="Enterprise"/>
    <x v="4"/>
    <x v="9"/>
    <x v="5"/>
    <x v="168"/>
    <n v="941.2"/>
    <n v="668.02"/>
    <x v="110"/>
    <b v="0"/>
    <n v="16"/>
    <n v="8336.8896000000004"/>
    <n v="15059.2"/>
    <n v="-6722.3104000000003"/>
    <n v="-0.80633314371825193"/>
    <s v="Low"/>
    <x v="1"/>
    <s v="High Discount"/>
    <n v="0.2"/>
    <n v="988.2600000000001"/>
    <n v="17.600000000000001"/>
    <n v="9405.7216000000026"/>
    <n v="-7987.6544000000013"/>
  </r>
  <r>
    <x v="169"/>
    <x v="155"/>
    <x v="28"/>
    <s v="Q3-2023"/>
    <d v="2023-10-02T00:00:00"/>
    <d v="2023-10-02T00:00:00"/>
    <n v="15"/>
    <x v="2"/>
    <x v="5"/>
    <s v="Rio de Janeiro"/>
    <s v="Small Business"/>
    <x v="0"/>
    <x v="4"/>
    <x v="5"/>
    <x v="169"/>
    <n v="689.33"/>
    <n v="668.27"/>
    <x v="79"/>
    <b v="0"/>
    <n v="13"/>
    <n v="7071.6331399999999"/>
    <n v="8961.2900000000009"/>
    <n v="-1889.656860000001"/>
    <n v="-0.2672164721486105"/>
    <s v="Low"/>
    <x v="0"/>
    <s v="Low Discount"/>
    <n v="0.186"/>
    <n v="723.79650000000004"/>
    <n v="14.3"/>
    <n v="7778.7964540000003"/>
    <n v="-2571.4934960000001"/>
  </r>
  <r>
    <x v="170"/>
    <x v="156"/>
    <x v="2"/>
    <s v="Q2-2025"/>
    <d v="2025-07-05T00:00:00"/>
    <d v="2025-07-05T00:00:00"/>
    <n v="8"/>
    <x v="0"/>
    <x v="6"/>
    <s v="Munich"/>
    <s v="Small Business"/>
    <x v="2"/>
    <x v="14"/>
    <x v="0"/>
    <x v="170"/>
    <n v="314.93"/>
    <n v="687.95"/>
    <x v="111"/>
    <b v="0"/>
    <n v="8"/>
    <n v="4375.3620000000001"/>
    <n v="2519.44"/>
    <n v="1855.922"/>
    <n v="0.424175645352316"/>
    <s v="Low"/>
    <x v="0"/>
    <s v="High Discount"/>
    <n v="0.2"/>
    <n v="330.67650000000003"/>
    <n v="8.8000000000000007"/>
    <n v="4843.1680000000006"/>
    <n v="1933.2148000000002"/>
  </r>
  <r>
    <x v="171"/>
    <x v="157"/>
    <x v="27"/>
    <s v="Q1-2025"/>
    <d v="2025-01-23T00:00:00"/>
    <d v="2025-01-23T00:00:00"/>
    <n v="20"/>
    <x v="3"/>
    <x v="7"/>
    <s v="Osaka"/>
    <s v="Corporate"/>
    <x v="3"/>
    <x v="6"/>
    <x v="3"/>
    <x v="171"/>
    <n v="908.6"/>
    <n v="691.37"/>
    <x v="112"/>
    <b v="0"/>
    <n v="20"/>
    <n v="10370.550000000001"/>
    <n v="18172"/>
    <n v="-7801.4499999999989"/>
    <n v="-0.75226964818645092"/>
    <s v="Low"/>
    <x v="0"/>
    <s v="High Discount"/>
    <n v="0.2"/>
    <n v="954.03000000000009"/>
    <n v="22"/>
    <n v="12168.112000000001"/>
    <n v="-8820.5480000000025"/>
  </r>
  <r>
    <x v="172"/>
    <x v="158"/>
    <x v="9"/>
    <s v="Q3-2023"/>
    <d v="2023-09-06T00:00:00"/>
    <d v="2023-09-06T00:00:00"/>
    <n v="25"/>
    <x v="3"/>
    <x v="10"/>
    <s v="Shanghai"/>
    <s v="Small Business"/>
    <x v="0"/>
    <x v="4"/>
    <x v="4"/>
    <x v="172"/>
    <n v="950.77"/>
    <n v="694.78"/>
    <x v="76"/>
    <b v="0"/>
    <n v="14"/>
    <n v="8909.8587200000002"/>
    <n v="13310.779999999999"/>
    <n v="-4400.9212799999987"/>
    <n v="-0.49393839097821279"/>
    <s v="Low"/>
    <x v="0"/>
    <s v="Low Discount"/>
    <n v="8.4000000000000005E-2"/>
    <n v="998.30849999999998"/>
    <n v="15.400000000000002"/>
    <n v="9800.8445920000013"/>
    <n v="-5573.1063080000004"/>
  </r>
  <r>
    <x v="173"/>
    <x v="159"/>
    <x v="16"/>
    <s v="Q2-2023"/>
    <d v="2023-04-19T00:00:00"/>
    <d v="2023-04-19T00:00:00"/>
    <n v="3"/>
    <x v="0"/>
    <x v="6"/>
    <s v="Munich"/>
    <s v="Corporate"/>
    <x v="2"/>
    <x v="4"/>
    <x v="2"/>
    <x v="173"/>
    <n v="553.61"/>
    <n v="699.47"/>
    <x v="113"/>
    <b v="0"/>
    <n v="33"/>
    <n v="22620.859799999998"/>
    <n v="18269.13"/>
    <n v="4351.7297999999973"/>
    <n v="0.19237685209472"/>
    <s v="Low"/>
    <x v="1"/>
    <s v="Low Discount"/>
    <n v="0.02"/>
    <n v="581.29050000000007"/>
    <n v="36.300000000000004"/>
    <n v="24882.945780000002"/>
    <n v="3782.1006299999972"/>
  </r>
  <r>
    <x v="174"/>
    <x v="160"/>
    <x v="2"/>
    <s v="Q2-2025"/>
    <d v="2025-07-12T00:00:00"/>
    <d v="2025-07-12T00:00:00"/>
    <n v="27"/>
    <x v="0"/>
    <x v="2"/>
    <s v="Marseille"/>
    <s v="Consumer"/>
    <x v="2"/>
    <x v="8"/>
    <x v="2"/>
    <x v="174"/>
    <n v="318.83"/>
    <n v="699.5"/>
    <x v="96"/>
    <b v="0"/>
    <n v="13"/>
    <n v="8366.02"/>
    <n v="4144.79"/>
    <n v="4221.2300000000005"/>
    <n v="0.50456848059172699"/>
    <s v="Low"/>
    <x v="0"/>
    <s v="Low Discount"/>
    <n v="0.08"/>
    <n v="334.7715"/>
    <n v="14.3"/>
    <n v="9202.6220000000012"/>
    <n v="4415.3895500000008"/>
  </r>
  <r>
    <x v="175"/>
    <x v="38"/>
    <x v="21"/>
    <s v="Q1-2024"/>
    <d v="2024-02-09T00:00:00"/>
    <d v="2024-02-09T00:00:00"/>
    <n v="12"/>
    <x v="0"/>
    <x v="6"/>
    <s v="Berlin"/>
    <s v="Corporate"/>
    <x v="4"/>
    <x v="14"/>
    <x v="2"/>
    <x v="175"/>
    <n v="644.16999999999996"/>
    <n v="700.12"/>
    <x v="114"/>
    <b v="0"/>
    <n v="23"/>
    <n v="16006.14344"/>
    <n v="14815.91"/>
    <n v="1190.23344"/>
    <n v="7.436103796405813E-2"/>
    <s v="Low"/>
    <x v="0"/>
    <s v="Low Discount"/>
    <n v="6.0000000000000001E-3"/>
    <n v="676.37850000000003"/>
    <n v="25.3"/>
    <n v="17606.757783999998"/>
    <n v="494.38173399999505"/>
  </r>
  <r>
    <x v="176"/>
    <x v="0"/>
    <x v="0"/>
    <s v="Q4-2024"/>
    <d v="2024-12-18T00:00:00"/>
    <d v="2024-12-18T00:00:00"/>
    <n v="1"/>
    <x v="0"/>
    <x v="6"/>
    <s v="Munich"/>
    <s v="Education"/>
    <x v="0"/>
    <x v="5"/>
    <x v="2"/>
    <x v="176"/>
    <n v="346.82"/>
    <n v="701.95"/>
    <x v="115"/>
    <b v="0"/>
    <n v="8"/>
    <n v="4790.1068000000005"/>
    <n v="2774.56"/>
    <n v="2015.5468000000005"/>
    <n v="0.42077283120284509"/>
    <s v="Low"/>
    <x v="1"/>
    <s v="Low Discount"/>
    <n v="0.14699999999999999"/>
    <n v="364.161"/>
    <n v="8.8000000000000007"/>
    <n v="5269.1174800000008"/>
    <n v="2064.5006800000006"/>
  </r>
  <r>
    <x v="177"/>
    <x v="161"/>
    <x v="17"/>
    <s v="Q2-2023"/>
    <d v="2023-06-16T00:00:00"/>
    <d v="2023-06-16T00:00:00"/>
    <n v="2"/>
    <x v="0"/>
    <x v="0"/>
    <s v="Manchester"/>
    <s v="Non-Profit"/>
    <x v="2"/>
    <x v="12"/>
    <x v="4"/>
    <x v="135"/>
    <n v="357.36"/>
    <n v="703.62"/>
    <x v="104"/>
    <b v="0"/>
    <n v="20"/>
    <n v="10455.7932"/>
    <n v="7147.2000000000007"/>
    <n v="3308.5931999999993"/>
    <n v="0.31643636563125593"/>
    <s v="Low"/>
    <x v="1"/>
    <s v="High Discount"/>
    <n v="0.2"/>
    <n v="375.22800000000001"/>
    <n v="22"/>
    <n v="12383.712000000001"/>
    <n v="4128.6960000000017"/>
  </r>
  <r>
    <x v="178"/>
    <x v="2"/>
    <x v="2"/>
    <s v="Q2-2025"/>
    <d v="2025-06-24T00:00:00"/>
    <d v="2025-06-24T00:00:00"/>
    <n v="15"/>
    <x v="3"/>
    <x v="7"/>
    <s v="Nagoya"/>
    <s v="Corporate"/>
    <x v="2"/>
    <x v="4"/>
    <x v="3"/>
    <x v="177"/>
    <n v="400.39"/>
    <n v="712.75"/>
    <x v="68"/>
    <b v="0"/>
    <n v="19"/>
    <n v="11984.891250000001"/>
    <n v="7607.41"/>
    <n v="4377.4812500000007"/>
    <n v="0.36524997671547504"/>
    <s v="Low"/>
    <x v="0"/>
    <s v="Low Discount"/>
    <n v="0.115"/>
    <n v="420.40949999999998"/>
    <n v="20.900000000000002"/>
    <n v="13183.380375000002"/>
    <n v="4396.8218250000027"/>
  </r>
  <r>
    <x v="179"/>
    <x v="162"/>
    <x v="13"/>
    <s v="Q1-2023"/>
    <d v="2023-01-30T00:00:00"/>
    <d v="2023-01-30T00:00:00"/>
    <n v="23"/>
    <x v="1"/>
    <x v="4"/>
    <s v="Cape Town"/>
    <s v="Consumer"/>
    <x v="4"/>
    <x v="13"/>
    <x v="6"/>
    <x v="178"/>
    <n v="299.02"/>
    <n v="724.7"/>
    <x v="65"/>
    <b v="0"/>
    <n v="5"/>
    <n v="3116.2100000000005"/>
    <n v="1495.1"/>
    <n v="1621.1100000000006"/>
    <n v="0.5202184705138615"/>
    <s v="Low"/>
    <x v="0"/>
    <s v="Low Discount"/>
    <n v="0.14000000000000001"/>
    <n v="313.971"/>
    <n v="5.5"/>
    <n v="3427.8310000000006"/>
    <n v="1700.9905000000006"/>
  </r>
  <r>
    <x v="180"/>
    <x v="163"/>
    <x v="12"/>
    <s v="Q1-2025"/>
    <d v="2025-02-08T00:00:00"/>
    <d v="2025-02-08T00:00:00"/>
    <n v="4"/>
    <x v="0"/>
    <x v="0"/>
    <s v="Manchester"/>
    <s v="Enterprise"/>
    <x v="1"/>
    <x v="5"/>
    <x v="1"/>
    <x v="179"/>
    <n v="586.21"/>
    <n v="727.22"/>
    <x v="116"/>
    <b v="0"/>
    <n v="15"/>
    <n v="10166.535600000001"/>
    <n v="8793.1500000000015"/>
    <n v="1373.3855999999996"/>
    <n v="0.13508884973559721"/>
    <s v="Low"/>
    <x v="1"/>
    <s v="Low Discount"/>
    <n v="6.8000000000000005E-2"/>
    <n v="615.52050000000008"/>
    <n v="16.5"/>
    <n v="11183.18916"/>
    <n v="1027.1009099999992"/>
  </r>
  <r>
    <x v="181"/>
    <x v="164"/>
    <x v="5"/>
    <s v="Q3-2025"/>
    <d v="2025-09-28T00:00:00"/>
    <d v="2025-09-28T00:00:00"/>
    <n v="17"/>
    <x v="1"/>
    <x v="1"/>
    <s v="Nairobi"/>
    <s v="Non-Profit"/>
    <x v="3"/>
    <x v="3"/>
    <x v="5"/>
    <x v="180"/>
    <n v="891.46"/>
    <n v="728.61"/>
    <x v="117"/>
    <b v="0"/>
    <n v="6"/>
    <n v="3562.9029"/>
    <n v="5348.76"/>
    <n v="-1785.8571000000002"/>
    <n v="-0.50123653383874145"/>
    <s v="Low"/>
    <x v="0"/>
    <s v="Low Discount"/>
    <n v="0.185"/>
    <n v="936.03300000000013"/>
    <n v="6.6000000000000005"/>
    <n v="3919.19319"/>
    <n v="-2258.6246100000017"/>
  </r>
  <r>
    <x v="182"/>
    <x v="165"/>
    <x v="17"/>
    <s v="Q2-2023"/>
    <d v="2023-07-21T00:00:00"/>
    <d v="2023-07-21T00:00:00"/>
    <n v="27"/>
    <x v="3"/>
    <x v="7"/>
    <s v="Nagoya"/>
    <s v="Consumer"/>
    <x v="1"/>
    <x v="3"/>
    <x v="3"/>
    <x v="181"/>
    <n v="554.76"/>
    <n v="728.69"/>
    <x v="110"/>
    <b v="0"/>
    <n v="7"/>
    <n v="3978.6474000000007"/>
    <n v="3883.3199999999997"/>
    <n v="95.327400000001035"/>
    <n v="2.3959750743431301E-2"/>
    <s v="Low"/>
    <x v="0"/>
    <s v="High Discount"/>
    <n v="0.2"/>
    <n v="582.49800000000005"/>
    <n v="7.7000000000000011"/>
    <n v="4488.7304000000013"/>
    <n v="3.4958000000005995"/>
  </r>
  <r>
    <x v="183"/>
    <x v="166"/>
    <x v="32"/>
    <s v="Q4-2023"/>
    <d v="2024-01-03T00:00:00"/>
    <d v="2024-01-03T00:00:00"/>
    <n v="8"/>
    <x v="0"/>
    <x v="2"/>
    <s v="Lyon"/>
    <s v="Small Business"/>
    <x v="0"/>
    <x v="7"/>
    <x v="5"/>
    <x v="182"/>
    <n v="492.75"/>
    <n v="731.29"/>
    <x v="118"/>
    <b v="0"/>
    <n v="6"/>
    <n v="4133.2510799999991"/>
    <n v="2956.5"/>
    <n v="1176.7510799999991"/>
    <n v="0.28470350753528367"/>
    <s v="Low"/>
    <x v="0"/>
    <s v="Low Discount"/>
    <n v="5.8000000000000003E-2"/>
    <n v="517.38750000000005"/>
    <n v="6.6000000000000005"/>
    <n v="4546.576188"/>
    <n v="1131.8186879999994"/>
  </r>
  <r>
    <x v="184"/>
    <x v="167"/>
    <x v="28"/>
    <s v="Q3-2023"/>
    <d v="2023-09-16T00:00:00"/>
    <d v="2023-09-16T00:00:00"/>
    <n v="2"/>
    <x v="0"/>
    <x v="2"/>
    <s v="Lyon"/>
    <s v="Non-Profit"/>
    <x v="2"/>
    <x v="4"/>
    <x v="6"/>
    <x v="183"/>
    <n v="376.83"/>
    <n v="732.88"/>
    <x v="83"/>
    <b v="0"/>
    <n v="25"/>
    <n v="14877.464"/>
    <n v="9420.75"/>
    <n v="5456.7139999999999"/>
    <n v="0.36677716040852121"/>
    <s v="Low"/>
    <x v="1"/>
    <s v="Low Discount"/>
    <n v="0.188"/>
    <n v="395.67149999999998"/>
    <n v="27.500000000000004"/>
    <n v="16365.210400000004"/>
    <n v="5484.2441500000023"/>
  </r>
  <r>
    <x v="185"/>
    <x v="168"/>
    <x v="4"/>
    <s v="Q2-2024"/>
    <d v="2024-06-24T00:00:00"/>
    <d v="2024-06-24T00:00:00"/>
    <n v="16"/>
    <x v="1"/>
    <x v="4"/>
    <s v="Durban"/>
    <s v="Education"/>
    <x v="3"/>
    <x v="2"/>
    <x v="0"/>
    <x v="184"/>
    <n v="597.85"/>
    <n v="741.92"/>
    <x v="119"/>
    <b v="0"/>
    <n v="7"/>
    <n v="5032.4433599999993"/>
    <n v="4184.95"/>
    <n v="847.49335999999948"/>
    <n v="0.16840594108544515"/>
    <s v="Low"/>
    <x v="0"/>
    <s v="Low Discount"/>
    <n v="3.1E-2"/>
    <n v="627.74250000000006"/>
    <n v="7.7000000000000011"/>
    <n v="5535.687696"/>
    <n v="702.07044599999881"/>
  </r>
  <r>
    <x v="186"/>
    <x v="169"/>
    <x v="2"/>
    <s v="Q2-2025"/>
    <d v="2025-06-06T00:00:00"/>
    <d v="2025-06-06T00:00:00"/>
    <n v="5"/>
    <x v="0"/>
    <x v="2"/>
    <s v="Paris"/>
    <s v="Consumer"/>
    <x v="3"/>
    <x v="14"/>
    <x v="4"/>
    <x v="185"/>
    <n v="379.45"/>
    <n v="742.23"/>
    <x v="120"/>
    <b v="0"/>
    <n v="13"/>
    <n v="8780.5809000000008"/>
    <n v="4932.8499999999995"/>
    <n v="3847.7309000000014"/>
    <n v="0.43820915083192286"/>
    <s v="Low"/>
    <x v="1"/>
    <s v="Low Discount"/>
    <n v="0.09"/>
    <n v="398.42250000000001"/>
    <n v="14.3"/>
    <n v="9658.6389900000013"/>
    <n v="3961.1972400000004"/>
  </r>
  <r>
    <x v="187"/>
    <x v="170"/>
    <x v="18"/>
    <s v="Q3-2025"/>
    <d v="2025-08-19T00:00:00"/>
    <d v="2025-08-19T00:00:00"/>
    <n v="27"/>
    <x v="3"/>
    <x v="7"/>
    <s v="Nagoya"/>
    <s v="Consumer"/>
    <x v="1"/>
    <x v="4"/>
    <x v="2"/>
    <x v="186"/>
    <n v="896.09"/>
    <n v="744.27"/>
    <x v="121"/>
    <b v="0"/>
    <n v="11"/>
    <n v="7507.4514899999995"/>
    <n v="9856.99"/>
    <n v="-2349.5385100000003"/>
    <n v="-0.31296086469950679"/>
    <s v="Low"/>
    <x v="0"/>
    <s v="Low Discount"/>
    <n v="8.3000000000000004E-2"/>
    <n v="940.89450000000011"/>
    <n v="12.100000000000001"/>
    <n v="8258.1966390000016"/>
    <n v="-3126.6268110000019"/>
  </r>
  <r>
    <x v="188"/>
    <x v="171"/>
    <x v="16"/>
    <s v="Q2-2023"/>
    <d v="2023-05-07T00:00:00"/>
    <d v="2023-05-07T00:00:00"/>
    <n v="18"/>
    <x v="0"/>
    <x v="0"/>
    <s v="London"/>
    <s v="Non-Profit"/>
    <x v="2"/>
    <x v="2"/>
    <x v="1"/>
    <x v="187"/>
    <n v="516.96"/>
    <n v="745.38"/>
    <x v="43"/>
    <b v="0"/>
    <n v="4"/>
    <n v="2394.1605599999998"/>
    <n v="2067.84"/>
    <n v="326.32055999999966"/>
    <n v="0.13629852794835101"/>
    <s v="Low"/>
    <x v="0"/>
    <s v="Low Discount"/>
    <n v="0.19700000000000001"/>
    <n v="542.80800000000011"/>
    <n v="4.4000000000000004"/>
    <n v="2633.5766159999998"/>
    <n v="245.22141599999895"/>
  </r>
  <r>
    <x v="189"/>
    <x v="172"/>
    <x v="25"/>
    <s v="Q3-2024"/>
    <d v="2024-08-17T00:00:00"/>
    <d v="2024-08-17T00:00:00"/>
    <n v="13"/>
    <x v="2"/>
    <x v="3"/>
    <s v="Austin"/>
    <s v="Consumer"/>
    <x v="0"/>
    <x v="0"/>
    <x v="0"/>
    <x v="188"/>
    <n v="352.79"/>
    <n v="754.22"/>
    <x v="61"/>
    <b v="0"/>
    <n v="7"/>
    <n v="4682.9519799999998"/>
    <n v="2469.5300000000002"/>
    <n v="2213.4219799999996"/>
    <n v="0.47265528014233443"/>
    <s v="Low"/>
    <x v="0"/>
    <s v="Low Discount"/>
    <n v="0.113"/>
    <n v="370.42950000000002"/>
    <n v="7.7000000000000011"/>
    <n v="5151.2471780000014"/>
    <n v="2298.9400280000009"/>
  </r>
  <r>
    <x v="190"/>
    <x v="100"/>
    <x v="21"/>
    <s v="Q1-2024"/>
    <d v="2024-01-02T00:00:00"/>
    <d v="2024-01-02T00:00:00"/>
    <n v="0"/>
    <x v="2"/>
    <x v="11"/>
    <s v="Vancouver"/>
    <s v="Education"/>
    <x v="2"/>
    <x v="13"/>
    <x v="5"/>
    <x v="189"/>
    <n v="444.41"/>
    <n v="754.24"/>
    <x v="122"/>
    <b v="0"/>
    <n v="32"/>
    <n v="19139.594240000002"/>
    <n v="14221.12"/>
    <n v="4918.4742400000014"/>
    <n v="0.25697902360546598"/>
    <s v="Low"/>
    <x v="1"/>
    <s v="High Discount"/>
    <n v="0.2"/>
    <n v="466.63050000000004"/>
    <n v="35.200000000000003"/>
    <n v="21239.398400000002"/>
    <n v="4814.0047999999988"/>
  </r>
  <r>
    <x v="191"/>
    <x v="173"/>
    <x v="1"/>
    <s v="Q1-2023"/>
    <d v="2023-02-26T00:00:00"/>
    <d v="2023-02-26T00:00:00"/>
    <n v="11"/>
    <x v="1"/>
    <x v="4"/>
    <s v="Johannesburg"/>
    <s v="Non-Profit"/>
    <x v="0"/>
    <x v="12"/>
    <x v="5"/>
    <x v="190"/>
    <n v="498.5"/>
    <n v="755.87"/>
    <x v="58"/>
    <b v="0"/>
    <n v="40"/>
    <n v="26304.275999999998"/>
    <n v="19940"/>
    <n v="6364.275999999998"/>
    <n v="0.24194834330357537"/>
    <s v="Low"/>
    <x v="0"/>
    <s v="Low Discount"/>
    <n v="0.13"/>
    <n v="523.42500000000007"/>
    <n v="44"/>
    <n v="28934.703600000001"/>
    <n v="5904.0035999999964"/>
  </r>
  <r>
    <x v="192"/>
    <x v="174"/>
    <x v="7"/>
    <s v="Q2-2023"/>
    <d v="2023-05-19T00:00:00"/>
    <d v="2023-05-19T00:00:00"/>
    <n v="17"/>
    <x v="3"/>
    <x v="10"/>
    <s v="Shanghai"/>
    <s v="Non-Profit"/>
    <x v="2"/>
    <x v="3"/>
    <x v="0"/>
    <x v="191"/>
    <n v="714.28"/>
    <n v="757.59"/>
    <x v="123"/>
    <b v="0"/>
    <n v="12"/>
    <n v="7854.6931199999999"/>
    <n v="8571.36"/>
    <n v="-716.66688000000067"/>
    <n v="-9.1240595787910383E-2"/>
    <s v="Low"/>
    <x v="0"/>
    <s v="Low Discount"/>
    <n v="0.13600000000000001"/>
    <n v="749.99400000000003"/>
    <n v="13.200000000000001"/>
    <n v="8640.162432000001"/>
    <n v="-1259.7583680000007"/>
  </r>
  <r>
    <x v="193"/>
    <x v="175"/>
    <x v="29"/>
    <s v="Q3-2024"/>
    <d v="2024-07-19T00:00:00"/>
    <d v="2024-07-19T00:00:00"/>
    <n v="0"/>
    <x v="1"/>
    <x v="1"/>
    <s v="Kisumu"/>
    <s v="Small Business"/>
    <x v="0"/>
    <x v="13"/>
    <x v="3"/>
    <x v="192"/>
    <n v="857.24"/>
    <n v="758.23"/>
    <x v="80"/>
    <b v="0"/>
    <n v="6"/>
    <n v="3980.7075000000004"/>
    <n v="5143.4400000000005"/>
    <n v="-1162.7325000000001"/>
    <n v="-0.29209192084572905"/>
    <s v="Low"/>
    <x v="1"/>
    <s v="Low Discount"/>
    <n v="0.125"/>
    <n v="900.10200000000009"/>
    <n v="6.6000000000000005"/>
    <n v="4378.7782500000012"/>
    <n v="-1561.8949499999999"/>
  </r>
  <r>
    <x v="194"/>
    <x v="176"/>
    <x v="20"/>
    <s v="Q4-2024"/>
    <d v="2024-11-20T00:00:00"/>
    <d v="2024-11-20T00:00:00"/>
    <n v="24"/>
    <x v="3"/>
    <x v="7"/>
    <s v="Nagoya"/>
    <s v="Non-Profit"/>
    <x v="4"/>
    <x v="2"/>
    <x v="0"/>
    <x v="193"/>
    <n v="317.25"/>
    <n v="758.92"/>
    <x v="88"/>
    <b v="0"/>
    <n v="9"/>
    <n v="6468.2751599999992"/>
    <n v="2855.25"/>
    <n v="3613.0251599999992"/>
    <n v="0.5585762928489888"/>
    <s v="Low"/>
    <x v="0"/>
    <s v="Low Discount"/>
    <n v="5.2999999999999999E-2"/>
    <n v="333.11250000000001"/>
    <n v="9.9"/>
    <n v="7115.1026759999995"/>
    <n v="3817.2889259999993"/>
  </r>
  <r>
    <x v="195"/>
    <x v="177"/>
    <x v="20"/>
    <s v="Q4-2024"/>
    <d v="2024-10-22T00:00:00"/>
    <d v="2024-11-06T00:00:00"/>
    <n v="14"/>
    <x v="1"/>
    <x v="8"/>
    <s v="Port Harcourt"/>
    <s v="Education"/>
    <x v="4"/>
    <x v="3"/>
    <x v="6"/>
    <x v="194"/>
    <n v="1084.3900000000001"/>
    <n v="759.33"/>
    <x v="124"/>
    <b v="0"/>
    <n v="31"/>
    <n v="17960.432489999999"/>
    <n v="33616.090000000004"/>
    <n v="-15655.657510000005"/>
    <n v="-0.87167486187856302"/>
    <s v="Low"/>
    <x v="0"/>
    <s v="High Discount"/>
    <n v="0.2"/>
    <n v="1138.6095000000003"/>
    <n v="34.1"/>
    <n v="20714.522400000002"/>
    <n v="-18112.061550000006"/>
  </r>
  <r>
    <x v="196"/>
    <x v="178"/>
    <x v="17"/>
    <s v="Q2-2023"/>
    <d v="2023-06-28T00:00:00"/>
    <d v="2023-06-28T00:00:00"/>
    <n v="23"/>
    <x v="0"/>
    <x v="0"/>
    <s v="Birmingham"/>
    <s v="Corporate"/>
    <x v="2"/>
    <x v="12"/>
    <x v="6"/>
    <x v="195"/>
    <n v="605.82000000000005"/>
    <n v="771.12"/>
    <x v="8"/>
    <b v="0"/>
    <n v="19"/>
    <n v="12717.311040000001"/>
    <n v="11510.580000000002"/>
    <n v="1206.7310399999988"/>
    <n v="9.4888851597986767E-2"/>
    <s v="Low"/>
    <x v="0"/>
    <s v="Low Discount"/>
    <n v="0.13200000000000001"/>
    <n v="636.1110000000001"/>
    <n v="20.900000000000002"/>
    <n v="13989.042144000003"/>
    <n v="694.32224399999905"/>
  </r>
  <r>
    <x v="197"/>
    <x v="179"/>
    <x v="13"/>
    <s v="Q1-2023"/>
    <d v="2023-01-29T00:00:00"/>
    <d v="2023-01-29T00:00:00"/>
    <n v="19"/>
    <x v="0"/>
    <x v="2"/>
    <s v="Lyon"/>
    <s v="Non-Profit"/>
    <x v="2"/>
    <x v="0"/>
    <x v="5"/>
    <x v="196"/>
    <n v="401.66"/>
    <n v="772.09"/>
    <x v="47"/>
    <b v="0"/>
    <n v="14"/>
    <n v="9847.2358600000007"/>
    <n v="5623.2400000000007"/>
    <n v="4223.99586"/>
    <n v="0.42895244107619046"/>
    <s v="Low"/>
    <x v="0"/>
    <s v="Low Discount"/>
    <n v="8.8999999999999996E-2"/>
    <n v="421.74300000000005"/>
    <n v="15.400000000000002"/>
    <n v="10831.959446000003"/>
    <n v="4337.1172460000007"/>
  </r>
  <r>
    <x v="198"/>
    <x v="180"/>
    <x v="30"/>
    <s v="Q4-2023"/>
    <d v="2023-11-28T00:00:00"/>
    <d v="2023-11-28T00:00:00"/>
    <n v="18"/>
    <x v="2"/>
    <x v="5"/>
    <s v="Brasília"/>
    <s v="Education"/>
    <x v="1"/>
    <x v="5"/>
    <x v="2"/>
    <x v="197"/>
    <n v="388.51"/>
    <n v="776.46"/>
    <x v="20"/>
    <b v="0"/>
    <n v="12"/>
    <n v="7854.6693599999999"/>
    <n v="4662.12"/>
    <n v="3192.54936"/>
    <n v="0.40645241876864946"/>
    <s v="Low"/>
    <x v="0"/>
    <s v="Low Discount"/>
    <n v="0.157"/>
    <n v="407.93549999999999"/>
    <n v="13.200000000000001"/>
    <n v="8640.1362960000006"/>
    <n v="3255.3876960000007"/>
  </r>
  <r>
    <x v="199"/>
    <x v="181"/>
    <x v="10"/>
    <s v="Q4-2023"/>
    <d v="2023-11-13T00:00:00"/>
    <d v="2023-11-13T00:00:00"/>
    <n v="29"/>
    <x v="3"/>
    <x v="10"/>
    <s v="Shenzhen"/>
    <s v="Non-Profit"/>
    <x v="3"/>
    <x v="3"/>
    <x v="6"/>
    <x v="198"/>
    <n v="986.44"/>
    <n v="790.61"/>
    <x v="13"/>
    <b v="0"/>
    <n v="6"/>
    <n v="4402.1164800000006"/>
    <n v="5918.64"/>
    <n v="-1516.5235199999997"/>
    <n v="-0.34449872621271471"/>
    <s v="Low"/>
    <x v="0"/>
    <s v="Low Discount"/>
    <n v="7.1999999999999995E-2"/>
    <n v="1035.7620000000002"/>
    <n v="6.6000000000000005"/>
    <n v="4842.328128000001"/>
    <n v="-1993.7010720000007"/>
  </r>
  <r>
    <x v="200"/>
    <x v="182"/>
    <x v="2"/>
    <s v="Q2-2025"/>
    <d v="2025-06-14T00:00:00"/>
    <d v="2025-06-14T00:00:00"/>
    <n v="9"/>
    <x v="3"/>
    <x v="9"/>
    <s v="Delhi"/>
    <s v="Non-Profit"/>
    <x v="0"/>
    <x v="13"/>
    <x v="2"/>
    <x v="199"/>
    <n v="618.69000000000005"/>
    <n v="796.15"/>
    <x v="120"/>
    <b v="0"/>
    <n v="11"/>
    <n v="7969.4614999999994"/>
    <n v="6805.59"/>
    <n v="1163.8714999999993"/>
    <n v="0.14604142325049183"/>
    <s v="Low"/>
    <x v="0"/>
    <s v="Low Discount"/>
    <n v="0.09"/>
    <n v="649.62450000000013"/>
    <n v="12.100000000000001"/>
    <n v="8766.407650000001"/>
    <n v="905.95119999999861"/>
  </r>
  <r>
    <x v="201"/>
    <x v="183"/>
    <x v="32"/>
    <s v="Q4-2023"/>
    <d v="2023-12-31T00:00:00"/>
    <d v="2023-12-31T00:00:00"/>
    <n v="25"/>
    <x v="3"/>
    <x v="7"/>
    <s v="Osaka"/>
    <s v="Consumer"/>
    <x v="0"/>
    <x v="5"/>
    <x v="6"/>
    <x v="200"/>
    <n v="663.03"/>
    <n v="813.51"/>
    <x v="0"/>
    <b v="0"/>
    <n v="15"/>
    <n v="10957.9797"/>
    <n v="9945.4499999999989"/>
    <n v="1012.529700000001"/>
    <n v="9.2401129379715952E-2"/>
    <s v="Low"/>
    <x v="0"/>
    <s v="Low Discount"/>
    <n v="0.10199999999999999"/>
    <n v="696.18150000000003"/>
    <n v="16.5"/>
    <n v="12053.777669999999"/>
    <n v="566.78291999999965"/>
  </r>
  <r>
    <x v="202"/>
    <x v="184"/>
    <x v="22"/>
    <s v="Q4-2024"/>
    <d v="2024-12-07T00:00:00"/>
    <d v="2024-12-07T00:00:00"/>
    <n v="12"/>
    <x v="3"/>
    <x v="10"/>
    <s v="Shanghai"/>
    <s v="Corporate"/>
    <x v="3"/>
    <x v="13"/>
    <x v="2"/>
    <x v="201"/>
    <n v="769.9"/>
    <n v="814.36"/>
    <x v="33"/>
    <b v="0"/>
    <n v="5"/>
    <n v="4071.8"/>
    <n v="3849.5"/>
    <n v="222.30000000000018"/>
    <n v="5.4595019401738831E-2"/>
    <s v="Low"/>
    <x v="0"/>
    <s v="Low Discount"/>
    <n v="0"/>
    <n v="808.39499999999998"/>
    <n v="5.5"/>
    <n v="4478.9800000000005"/>
    <n v="32.8075000000008"/>
  </r>
  <r>
    <x v="203"/>
    <x v="185"/>
    <x v="3"/>
    <s v="Q1-2024"/>
    <d v="2024-04-09T00:00:00"/>
    <d v="2024-04-09T00:00:00"/>
    <n v="25"/>
    <x v="2"/>
    <x v="11"/>
    <s v="Vancouver"/>
    <s v="Consumer"/>
    <x v="4"/>
    <x v="6"/>
    <x v="0"/>
    <x v="202"/>
    <n v="648.64"/>
    <n v="815.19"/>
    <x v="125"/>
    <b v="0"/>
    <n v="28"/>
    <n v="17689.623000000003"/>
    <n v="18161.919999999998"/>
    <n v="-472.29699999999502"/>
    <n v="-2.669909924027182E-2"/>
    <s v="Medium"/>
    <x v="0"/>
    <s v="High Discount"/>
    <n v="0.2"/>
    <n v="681.072"/>
    <n v="30.800000000000004"/>
    <n v="20086.281600000006"/>
    <n v="-890.73599999999715"/>
  </r>
  <r>
    <x v="204"/>
    <x v="186"/>
    <x v="21"/>
    <s v="Q1-2024"/>
    <d v="2024-02-11T00:00:00"/>
    <d v="2024-02-11T00:00:00"/>
    <n v="26"/>
    <x v="0"/>
    <x v="6"/>
    <s v="Frankfurt"/>
    <s v="Non-Profit"/>
    <x v="3"/>
    <x v="10"/>
    <x v="0"/>
    <x v="203"/>
    <n v="504.93"/>
    <n v="819.06"/>
    <x v="28"/>
    <b v="0"/>
    <n v="15"/>
    <n v="9509.2865999999995"/>
    <n v="7573.95"/>
    <n v="1935.3365999999996"/>
    <n v="0.20352069312959814"/>
    <s v="Medium"/>
    <x v="0"/>
    <s v="High Discount"/>
    <n v="0.2"/>
    <n v="530.17650000000003"/>
    <n v="16.5"/>
    <n v="10811.592000000001"/>
    <n v="2063.6797499999993"/>
  </r>
  <r>
    <x v="205"/>
    <x v="187"/>
    <x v="15"/>
    <s v="Q2-2024"/>
    <d v="2024-05-21T00:00:00"/>
    <d v="2024-05-21T00:00:00"/>
    <n v="3"/>
    <x v="0"/>
    <x v="2"/>
    <s v="Marseille"/>
    <s v="Non-Profit"/>
    <x v="1"/>
    <x v="0"/>
    <x v="6"/>
    <x v="204"/>
    <n v="663.66"/>
    <n v="824.26"/>
    <x v="126"/>
    <b v="0"/>
    <n v="11"/>
    <n v="6899.8804599999994"/>
    <n v="7300.2599999999993"/>
    <n v="-400.37953999999991"/>
    <n v="-5.8027025587049072E-2"/>
    <s v="Medium"/>
    <x v="1"/>
    <s v="High Discount"/>
    <n v="0.2"/>
    <n v="696.84299999999996"/>
    <n v="12.100000000000001"/>
    <n v="7978.8368000000009"/>
    <n v="-452.96349999999984"/>
  </r>
  <r>
    <x v="206"/>
    <x v="165"/>
    <x v="17"/>
    <s v="Q2-2023"/>
    <d v="2023-06-22T00:00:00"/>
    <d v="2023-07-08T00:00:00"/>
    <n v="14"/>
    <x v="2"/>
    <x v="11"/>
    <s v="Toronto"/>
    <s v="Non-Profit"/>
    <x v="0"/>
    <x v="7"/>
    <x v="2"/>
    <x v="205"/>
    <n v="471.42"/>
    <n v="824.81"/>
    <x v="127"/>
    <b v="0"/>
    <n v="15"/>
    <n v="11283.400799999999"/>
    <n v="7071.3"/>
    <n v="4212.1007999999993"/>
    <n v="0.37330064531608231"/>
    <s v="Medium"/>
    <x v="0"/>
    <s v="Low Discount"/>
    <n v="8.7999999999999995E-2"/>
    <n v="494.99100000000004"/>
    <n v="16.5"/>
    <n v="12411.740879999999"/>
    <n v="4244.3893799999987"/>
  </r>
  <r>
    <x v="207"/>
    <x v="188"/>
    <x v="31"/>
    <s v="Q2-2024"/>
    <d v="2024-04-27T00:00:00"/>
    <d v="2024-04-27T00:00:00"/>
    <n v="11"/>
    <x v="1"/>
    <x v="1"/>
    <s v="Nakuru"/>
    <s v="Enterprise"/>
    <x v="4"/>
    <x v="0"/>
    <x v="6"/>
    <x v="206"/>
    <n v="401.3"/>
    <n v="826.47"/>
    <x v="125"/>
    <b v="0"/>
    <n v="13"/>
    <n v="8326.6852500000005"/>
    <n v="5216.9000000000005"/>
    <n v="3109.7852499999999"/>
    <n v="0.37347217489696755"/>
    <s v="Medium"/>
    <x v="0"/>
    <s v="High Discount"/>
    <n v="0.2"/>
    <n v="421.36500000000001"/>
    <n v="14.3"/>
    <n v="9454.8168000000005"/>
    <n v="3429.2973000000002"/>
  </r>
  <r>
    <x v="208"/>
    <x v="189"/>
    <x v="7"/>
    <s v="Q2-2023"/>
    <d v="2023-05-14T00:00:00"/>
    <d v="2023-05-14T00:00:00"/>
    <n v="4"/>
    <x v="3"/>
    <x v="9"/>
    <s v="Delhi"/>
    <s v="Non-Profit"/>
    <x v="3"/>
    <x v="8"/>
    <x v="0"/>
    <x v="207"/>
    <n v="622.6"/>
    <n v="833.69"/>
    <x v="128"/>
    <b v="0"/>
    <n v="14"/>
    <n v="9232.2830599999998"/>
    <n v="8716.4"/>
    <n v="515.88306000000011"/>
    <n v="5.5878167582959715E-2"/>
    <s v="Medium"/>
    <x v="1"/>
    <s v="High Discount"/>
    <n v="0.2"/>
    <n v="653.73"/>
    <n v="15.400000000000002"/>
    <n v="10271.060800000003"/>
    <n v="203.61880000000201"/>
  </r>
  <r>
    <x v="209"/>
    <x v="190"/>
    <x v="1"/>
    <s v="Q1-2023"/>
    <d v="2023-02-12T00:00:00"/>
    <d v="2023-02-12T00:00:00"/>
    <n v="1"/>
    <x v="1"/>
    <x v="8"/>
    <s v="Port Harcourt"/>
    <s v="Non-Profit"/>
    <x v="2"/>
    <x v="0"/>
    <x v="2"/>
    <x v="208"/>
    <n v="944.61"/>
    <n v="839.04"/>
    <x v="93"/>
    <b v="0"/>
    <n v="6"/>
    <n v="4737.2198399999997"/>
    <n v="5667.66"/>
    <n v="-930.44016000000011"/>
    <n v="-0.19641059343363726"/>
    <s v="Medium"/>
    <x v="1"/>
    <s v="Low Discount"/>
    <n v="5.8999999999999997E-2"/>
    <n v="991.84050000000002"/>
    <n v="6.6000000000000005"/>
    <n v="5210.9418240000005"/>
    <n v="-1335.2054760000001"/>
  </r>
  <r>
    <x v="210"/>
    <x v="191"/>
    <x v="23"/>
    <s v="Q2-2025"/>
    <d v="2025-06-08T00:00:00"/>
    <d v="2025-06-08T00:00:00"/>
    <n v="12"/>
    <x v="3"/>
    <x v="7"/>
    <s v="Osaka"/>
    <s v="Corporate"/>
    <x v="0"/>
    <x v="2"/>
    <x v="2"/>
    <x v="209"/>
    <n v="653.6"/>
    <n v="842.09"/>
    <x v="81"/>
    <b v="0"/>
    <n v="19"/>
    <n v="14431.738420000001"/>
    <n v="12418.4"/>
    <n v="2013.3384200000019"/>
    <n v="0.13950768517324622"/>
    <s v="Medium"/>
    <x v="0"/>
    <s v="Low Discount"/>
    <n v="9.8000000000000004E-2"/>
    <n v="686.28000000000009"/>
    <n v="20.900000000000002"/>
    <n v="15874.912262000003"/>
    <n v="1531.6602619999994"/>
  </r>
  <r>
    <x v="211"/>
    <x v="192"/>
    <x v="32"/>
    <s v="Q4-2023"/>
    <d v="2023-12-05T00:00:00"/>
    <d v="2023-12-21T00:00:00"/>
    <n v="14"/>
    <x v="3"/>
    <x v="7"/>
    <s v="Tokyo"/>
    <s v="Non-Profit"/>
    <x v="1"/>
    <x v="2"/>
    <x v="6"/>
    <x v="210"/>
    <n v="1097.5899999999999"/>
    <n v="845.55"/>
    <x v="129"/>
    <b v="0"/>
    <n v="6"/>
    <n v="4139.8127999999997"/>
    <n v="6585.5399999999991"/>
    <n v="-2445.7271999999994"/>
    <n v="-0.59078207594314402"/>
    <s v="Medium"/>
    <x v="0"/>
    <s v="Low Discount"/>
    <n v="0.184"/>
    <n v="1152.4694999999999"/>
    <n v="6.6000000000000005"/>
    <n v="4553.7940800000006"/>
    <n v="-3052.5046199999997"/>
  </r>
  <r>
    <x v="212"/>
    <x v="150"/>
    <x v="0"/>
    <s v="Q4-2024"/>
    <d v="2025-01-14T00:00:00"/>
    <d v="2025-01-14T00:00:00"/>
    <n v="18"/>
    <x v="3"/>
    <x v="9"/>
    <s v="Bengaluru"/>
    <s v="Small Business"/>
    <x v="1"/>
    <x v="10"/>
    <x v="0"/>
    <x v="211"/>
    <n v="586.07000000000005"/>
    <n v="845.97"/>
    <x v="115"/>
    <b v="0"/>
    <n v="4"/>
    <n v="2886.4496399999998"/>
    <n v="2344.2800000000002"/>
    <n v="542.16963999999962"/>
    <n v="0.18783270370862928"/>
    <s v="Medium"/>
    <x v="0"/>
    <s v="Low Discount"/>
    <n v="0.14699999999999999"/>
    <n v="615.37350000000004"/>
    <n v="4.4000000000000004"/>
    <n v="3175.0946039999999"/>
    <n v="467.45120399999951"/>
  </r>
  <r>
    <x v="213"/>
    <x v="193"/>
    <x v="16"/>
    <s v="Q2-2023"/>
    <d v="2023-04-22T00:00:00"/>
    <d v="2023-05-07T00:00:00"/>
    <n v="14"/>
    <x v="1"/>
    <x v="1"/>
    <s v="Nairobi"/>
    <s v="Small Business"/>
    <x v="2"/>
    <x v="10"/>
    <x v="5"/>
    <x v="212"/>
    <n v="756.51"/>
    <n v="850.8"/>
    <x v="130"/>
    <b v="0"/>
    <n v="9"/>
    <n v="7090.5671999999995"/>
    <n v="6808.59"/>
    <n v="281.97719999999936"/>
    <n v="3.9767932810791128E-2"/>
    <s v="Medium"/>
    <x v="0"/>
    <s v="Low Discount"/>
    <n v="7.3999999999999996E-2"/>
    <n v="794.33550000000002"/>
    <n v="9.9"/>
    <n v="7799.62392"/>
    <n v="-64.297530000000734"/>
  </r>
  <r>
    <x v="214"/>
    <x v="194"/>
    <x v="8"/>
    <s v="Q1-2024"/>
    <d v="2024-03-03T00:00:00"/>
    <d v="2024-03-03T00:00:00"/>
    <n v="21"/>
    <x v="1"/>
    <x v="1"/>
    <s v="Kisumu"/>
    <s v="Enterprise"/>
    <x v="4"/>
    <x v="4"/>
    <x v="3"/>
    <x v="213"/>
    <n v="516.86"/>
    <n v="852.54"/>
    <x v="131"/>
    <b v="0"/>
    <n v="14"/>
    <n v="11326.846439999999"/>
    <n v="7236.04"/>
    <n v="4090.8064399999994"/>
    <n v="0.36116022775355994"/>
    <s v="Medium"/>
    <x v="0"/>
    <s v="Low Discount"/>
    <n v="5.0999999999999997E-2"/>
    <n v="542.70300000000009"/>
    <n v="15.400000000000002"/>
    <n v="12459.531084"/>
    <n v="4101.9048839999978"/>
  </r>
  <r>
    <x v="215"/>
    <x v="195"/>
    <x v="18"/>
    <s v="Q3-2025"/>
    <d v="2025-07-31T00:00:00"/>
    <d v="2025-07-31T00:00:00"/>
    <n v="12"/>
    <x v="1"/>
    <x v="1"/>
    <s v="Nairobi"/>
    <s v="Small Business"/>
    <x v="1"/>
    <x v="11"/>
    <x v="2"/>
    <x v="214"/>
    <n v="619.64"/>
    <n v="861.16"/>
    <x v="61"/>
    <b v="0"/>
    <n v="14"/>
    <n v="10693.88488"/>
    <n v="8674.9599999999991"/>
    <n v="2018.9248800000005"/>
    <n v="0.18879246435276761"/>
    <s v="Medium"/>
    <x v="0"/>
    <s v="Low Discount"/>
    <n v="0.113"/>
    <n v="650.62199999999996"/>
    <n v="15.400000000000002"/>
    <n v="11763.273368000002"/>
    <n v="1743.6945680000008"/>
  </r>
  <r>
    <x v="216"/>
    <x v="196"/>
    <x v="11"/>
    <s v="Q3-2025"/>
    <d v="2025-08-16T00:00:00"/>
    <d v="2025-08-16T00:00:00"/>
    <n v="13"/>
    <x v="2"/>
    <x v="11"/>
    <s v="Montreal"/>
    <s v="Enterprise"/>
    <x v="3"/>
    <x v="11"/>
    <x v="1"/>
    <x v="215"/>
    <n v="698.66"/>
    <n v="868.62"/>
    <x v="13"/>
    <b v="0"/>
    <n v="15"/>
    <n v="12091.190400000001"/>
    <n v="10479.9"/>
    <n v="1611.2904000000017"/>
    <n v="0.13326151906432648"/>
    <s v="Medium"/>
    <x v="0"/>
    <s v="Low Discount"/>
    <n v="7.1999999999999995E-2"/>
    <n v="733.59299999999996"/>
    <n v="16.5"/>
    <n v="13300.309440000001"/>
    <n v="1196.0249400000012"/>
  </r>
  <r>
    <x v="217"/>
    <x v="197"/>
    <x v="30"/>
    <s v="Q4-2023"/>
    <d v="2023-12-07T00:00:00"/>
    <d v="2023-12-07T00:00:00"/>
    <n v="9"/>
    <x v="3"/>
    <x v="9"/>
    <s v="Delhi"/>
    <s v="Enterprise"/>
    <x v="1"/>
    <x v="5"/>
    <x v="3"/>
    <x v="216"/>
    <n v="699.33"/>
    <n v="873.75"/>
    <x v="132"/>
    <b v="0"/>
    <n v="10"/>
    <n v="6684.1875"/>
    <n v="6993.3"/>
    <n v="-309.11250000000018"/>
    <n v="-4.6245336475076469E-2"/>
    <s v="Medium"/>
    <x v="0"/>
    <s v="High Discount"/>
    <n v="0.2"/>
    <n v="734.29650000000004"/>
    <n v="11"/>
    <n v="7689"/>
    <n v="-388.26150000000052"/>
  </r>
  <r>
    <x v="218"/>
    <x v="198"/>
    <x v="25"/>
    <s v="Q3-2024"/>
    <d v="2024-09-05T00:00:00"/>
    <d v="2024-09-05T00:00:00"/>
    <n v="6"/>
    <x v="3"/>
    <x v="7"/>
    <s v="Nagoya"/>
    <s v="Education"/>
    <x v="4"/>
    <x v="9"/>
    <x v="5"/>
    <x v="217"/>
    <n v="466.16"/>
    <n v="876.81"/>
    <x v="133"/>
    <b v="0"/>
    <n v="8"/>
    <n v="5323.9903199999999"/>
    <n v="3729.28"/>
    <n v="1594.7103199999997"/>
    <n v="0.29953291124691594"/>
    <s v="Medium"/>
    <x v="1"/>
    <s v="High Discount"/>
    <n v="0.2"/>
    <n v="489.46800000000007"/>
    <n v="8.8000000000000007"/>
    <n v="6172.7424000000001"/>
    <n v="1865.4239999999991"/>
  </r>
  <r>
    <x v="219"/>
    <x v="199"/>
    <x v="7"/>
    <s v="Q2-2023"/>
    <d v="2023-06-19T00:00:00"/>
    <d v="2023-06-19T00:00:00"/>
    <n v="30"/>
    <x v="3"/>
    <x v="9"/>
    <s v="Delhi"/>
    <s v="Non-Profit"/>
    <x v="1"/>
    <x v="2"/>
    <x v="5"/>
    <x v="218"/>
    <n v="1161.2"/>
    <n v="878.73"/>
    <x v="134"/>
    <b v="0"/>
    <n v="31"/>
    <n v="22064.910300000003"/>
    <n v="35997.200000000004"/>
    <n v="-13932.289700000001"/>
    <n v="-0.63142290227212028"/>
    <s v="Medium"/>
    <x v="0"/>
    <s v="Low Discount"/>
    <n v="0.19"/>
    <n v="1219.26"/>
    <n v="34.1"/>
    <n v="24271.401330000004"/>
    <n v="-17305.364669999999"/>
  </r>
  <r>
    <x v="220"/>
    <x v="200"/>
    <x v="27"/>
    <s v="Q1-2025"/>
    <d v="2025-02-03T00:00:00"/>
    <d v="2025-02-03T00:00:00"/>
    <n v="14"/>
    <x v="2"/>
    <x v="5"/>
    <s v="Brasília"/>
    <s v="Enterprise"/>
    <x v="1"/>
    <x v="6"/>
    <x v="4"/>
    <x v="219"/>
    <n v="974.11"/>
    <n v="880.99"/>
    <x v="94"/>
    <b v="0"/>
    <n v="10"/>
    <n v="7832.0010999999995"/>
    <n v="9741.1"/>
    <n v="-1909.0989000000009"/>
    <n v="-0.2437562093805121"/>
    <s v="Medium"/>
    <x v="0"/>
    <s v="Low Discount"/>
    <n v="0.111"/>
    <n v="1022.8155"/>
    <n v="11"/>
    <n v="8615.2012099999993"/>
    <n v="-2635.769290000002"/>
  </r>
  <r>
    <x v="221"/>
    <x v="201"/>
    <x v="13"/>
    <s v="Q1-2023"/>
    <d v="2023-01-19T00:00:00"/>
    <d v="2023-01-19T00:00:00"/>
    <n v="6"/>
    <x v="2"/>
    <x v="3"/>
    <s v="Chicago"/>
    <s v="Corporate"/>
    <x v="2"/>
    <x v="2"/>
    <x v="3"/>
    <x v="220"/>
    <n v="833.57"/>
    <n v="881.57"/>
    <x v="31"/>
    <b v="0"/>
    <n v="18"/>
    <n v="14963.769179999999"/>
    <n v="15004.26"/>
    <n v="-40.490820000000895"/>
    <n v="-2.7059238560107821E-3"/>
    <s v="Medium"/>
    <x v="1"/>
    <s v="Low Discount"/>
    <n v="5.7000000000000002E-2"/>
    <n v="875.24850000000004"/>
    <n v="19.8"/>
    <n v="16460.146098000001"/>
    <n v="-869.77420200000051"/>
  </r>
  <r>
    <x v="222"/>
    <x v="202"/>
    <x v="5"/>
    <s v="Q3-2025"/>
    <d v="2025-09-26T00:00:00"/>
    <d v="2025-09-26T00:00:00"/>
    <n v="12"/>
    <x v="0"/>
    <x v="0"/>
    <s v="London"/>
    <s v="Small Business"/>
    <x v="2"/>
    <x v="9"/>
    <x v="1"/>
    <x v="221"/>
    <n v="425.15"/>
    <n v="885.92"/>
    <x v="126"/>
    <b v="0"/>
    <n v="13"/>
    <n v="8764.4065599999994"/>
    <n v="5526.95"/>
    <n v="3237.4565599999996"/>
    <n v="0.3693868532725848"/>
    <s v="Medium"/>
    <x v="0"/>
    <s v="High Discount"/>
    <n v="0.2"/>
    <n v="446.40749999999997"/>
    <n v="14.3"/>
    <n v="10134.924800000001"/>
    <n v="3751.2975500000011"/>
  </r>
  <r>
    <x v="223"/>
    <x v="203"/>
    <x v="25"/>
    <s v="Q3-2024"/>
    <d v="2024-09-03T00:00:00"/>
    <d v="2024-09-03T00:00:00"/>
    <n v="22"/>
    <x v="2"/>
    <x v="3"/>
    <s v="Austin"/>
    <s v="Consumer"/>
    <x v="3"/>
    <x v="1"/>
    <x v="5"/>
    <x v="222"/>
    <n v="797.8"/>
    <n v="886.22"/>
    <x v="135"/>
    <b v="0"/>
    <n v="36"/>
    <n v="24374.594880000001"/>
    <n v="28720.799999999999"/>
    <n v="-4346.2051199999987"/>
    <n v="-0.17830881462428633"/>
    <s v="Medium"/>
    <x v="0"/>
    <s v="High Discount"/>
    <n v="0.2"/>
    <n v="837.68999999999994"/>
    <n v="39.6"/>
    <n v="28075.449600000007"/>
    <n v="-5097.0743999999904"/>
  </r>
  <r>
    <x v="224"/>
    <x v="204"/>
    <x v="17"/>
    <s v="Q2-2023"/>
    <d v="2023-07-21T00:00:00"/>
    <d v="2023-07-21T00:00:00"/>
    <n v="29"/>
    <x v="0"/>
    <x v="2"/>
    <s v="Lyon"/>
    <s v="Corporate"/>
    <x v="0"/>
    <x v="3"/>
    <x v="2"/>
    <x v="223"/>
    <n v="734.34"/>
    <n v="887.9"/>
    <x v="136"/>
    <b v="0"/>
    <n v="12"/>
    <n v="10388.43"/>
    <n v="8812.08"/>
    <n v="1576.3500000000004"/>
    <n v="0.1517409271660877"/>
    <s v="Medium"/>
    <x v="0"/>
    <s v="Low Discount"/>
    <n v="2.5000000000000001E-2"/>
    <n v="771.05700000000002"/>
    <n v="13.200000000000001"/>
    <n v="11427.273000000001"/>
    <n v="1249.3205999999991"/>
  </r>
  <r>
    <x v="225"/>
    <x v="205"/>
    <x v="31"/>
    <s v="Q2-2024"/>
    <d v="2024-04-24T00:00:00"/>
    <d v="2024-05-10T00:00:00"/>
    <n v="14"/>
    <x v="0"/>
    <x v="0"/>
    <s v="London"/>
    <s v="Non-Profit"/>
    <x v="3"/>
    <x v="9"/>
    <x v="3"/>
    <x v="224"/>
    <n v="1232.77"/>
    <n v="891.73"/>
    <x v="42"/>
    <b v="0"/>
    <n v="10"/>
    <n v="7428.1109000000006"/>
    <n v="12327.7"/>
    <n v="-4899.5891000000001"/>
    <n v="-0.65960096260813761"/>
    <s v="Medium"/>
    <x v="0"/>
    <s v="Low Discount"/>
    <n v="0.16700000000000001"/>
    <n v="1294.4085"/>
    <n v="11"/>
    <n v="8170.9219900000007"/>
    <n v="-6067.5715099999998"/>
  </r>
  <r>
    <x v="226"/>
    <x v="78"/>
    <x v="2"/>
    <s v="Q2-2025"/>
    <d v="2025-07-14T00:00:00"/>
    <d v="2025-07-14T00:00:00"/>
    <n v="20"/>
    <x v="0"/>
    <x v="6"/>
    <s v="Berlin"/>
    <s v="Corporate"/>
    <x v="2"/>
    <x v="11"/>
    <x v="2"/>
    <x v="225"/>
    <n v="385.08"/>
    <n v="893.19"/>
    <x v="11"/>
    <b v="0"/>
    <n v="8"/>
    <n v="6066.54648"/>
    <n v="3080.64"/>
    <n v="2985.9064800000001"/>
    <n v="0.49219213762621666"/>
    <s v="Medium"/>
    <x v="0"/>
    <s v="Low Discount"/>
    <n v="0.151"/>
    <n v="404.334"/>
    <n v="8.8000000000000007"/>
    <n v="6673.2011280000006"/>
    <n v="3115.0619280000001"/>
  </r>
  <r>
    <x v="227"/>
    <x v="206"/>
    <x v="29"/>
    <s v="Q3-2024"/>
    <d v="2024-08-07T00:00:00"/>
    <d v="2024-08-07T00:00:00"/>
    <n v="20"/>
    <x v="0"/>
    <x v="2"/>
    <s v="Marseille"/>
    <s v="Corporate"/>
    <x v="0"/>
    <x v="6"/>
    <x v="0"/>
    <x v="226"/>
    <n v="941.35"/>
    <n v="899.83"/>
    <x v="118"/>
    <b v="0"/>
    <n v="18"/>
    <n v="15257.51748"/>
    <n v="16944.3"/>
    <n v="-1686.7825199999988"/>
    <n v="-0.11055419220139073"/>
    <s v="Medium"/>
    <x v="0"/>
    <s v="Low Discount"/>
    <n v="5.8000000000000003E-2"/>
    <n v="988.41750000000002"/>
    <n v="19.8"/>
    <n v="16783.269228000001"/>
    <n v="-2787.3972719999983"/>
  </r>
  <r>
    <x v="228"/>
    <x v="207"/>
    <x v="32"/>
    <s v="Q4-2023"/>
    <d v="2024-01-01T00:00:00"/>
    <d v="2024-01-01T00:00:00"/>
    <n v="13"/>
    <x v="2"/>
    <x v="11"/>
    <s v="Toronto"/>
    <s v="Enterprise"/>
    <x v="0"/>
    <x v="12"/>
    <x v="0"/>
    <x v="227"/>
    <n v="856.1"/>
    <n v="901.48"/>
    <x v="60"/>
    <b v="0"/>
    <n v="17"/>
    <n v="14466.95104"/>
    <n v="14553.7"/>
    <n v="-86.748960000000807"/>
    <n v="-5.9963540182134192E-3"/>
    <s v="Medium"/>
    <x v="0"/>
    <s v="Low Discount"/>
    <n v="5.6000000000000001E-2"/>
    <n v="898.90500000000009"/>
    <n v="18.700000000000003"/>
    <n v="15913.646144000002"/>
    <n v="-895.87735600000087"/>
  </r>
  <r>
    <x v="229"/>
    <x v="47"/>
    <x v="22"/>
    <s v="Q4-2024"/>
    <d v="2024-12-10T00:00:00"/>
    <d v="2024-12-10T00:00:00"/>
    <n v="10"/>
    <x v="3"/>
    <x v="9"/>
    <s v="Hyderabad"/>
    <s v="Small Business"/>
    <x v="0"/>
    <x v="6"/>
    <x v="2"/>
    <x v="228"/>
    <n v="851.49"/>
    <n v="901.79"/>
    <x v="137"/>
    <b v="0"/>
    <n v="16"/>
    <n v="10893.6232"/>
    <n v="13623.84"/>
    <n v="-2730.2168000000001"/>
    <n v="-0.25062522816100341"/>
    <s v="Medium"/>
    <x v="0"/>
    <s v="High Discount"/>
    <n v="0.2"/>
    <n v="894.06450000000007"/>
    <n v="17.600000000000001"/>
    <n v="12697.203200000002"/>
    <n v="-3038.3320000000003"/>
  </r>
  <r>
    <x v="230"/>
    <x v="208"/>
    <x v="10"/>
    <s v="Q4-2023"/>
    <d v="2023-10-11T00:00:00"/>
    <d v="2023-10-11T00:00:00"/>
    <n v="2"/>
    <x v="1"/>
    <x v="8"/>
    <s v="Port Harcourt"/>
    <s v="Education"/>
    <x v="1"/>
    <x v="12"/>
    <x v="1"/>
    <x v="229"/>
    <n v="391.16"/>
    <n v="902.47"/>
    <x v="91"/>
    <b v="0"/>
    <n v="12"/>
    <n v="10786.32144"/>
    <n v="4693.92"/>
    <n v="6092.4014399999996"/>
    <n v="0.56482661618139207"/>
    <s v="Medium"/>
    <x v="1"/>
    <s v="Low Discount"/>
    <n v="4.0000000000000001E-3"/>
    <n v="410.71800000000002"/>
    <n v="13.200000000000001"/>
    <n v="11864.953584000001"/>
    <n v="6443.4759839999997"/>
  </r>
  <r>
    <x v="231"/>
    <x v="209"/>
    <x v="21"/>
    <s v="Q1-2024"/>
    <d v="2024-01-23T00:00:00"/>
    <d v="2024-01-23T00:00:00"/>
    <n v="13"/>
    <x v="0"/>
    <x v="2"/>
    <s v="Marseille"/>
    <s v="Corporate"/>
    <x v="2"/>
    <x v="13"/>
    <x v="6"/>
    <x v="230"/>
    <n v="720"/>
    <n v="907.59"/>
    <x v="138"/>
    <b v="0"/>
    <n v="10"/>
    <n v="7678.2114000000001"/>
    <n v="7200"/>
    <n v="478.21140000000014"/>
    <n v="6.2281614179052189E-2"/>
    <s v="Medium"/>
    <x v="0"/>
    <s v="Low Discount"/>
    <n v="0.154"/>
    <n v="756"/>
    <n v="11"/>
    <n v="8446.0325400000002"/>
    <n v="130.03254000000015"/>
  </r>
  <r>
    <x v="232"/>
    <x v="210"/>
    <x v="10"/>
    <s v="Q4-2023"/>
    <d v="2023-10-20T00:00:00"/>
    <d v="2023-10-20T00:00:00"/>
    <n v="2"/>
    <x v="1"/>
    <x v="1"/>
    <s v="Kisumu"/>
    <s v="Consumer"/>
    <x v="0"/>
    <x v="3"/>
    <x v="3"/>
    <x v="231"/>
    <n v="774.12"/>
    <n v="908.3"/>
    <x v="33"/>
    <b v="0"/>
    <n v="30"/>
    <n v="27249"/>
    <n v="23223.599999999999"/>
    <n v="4025.4000000000015"/>
    <n v="0.14772652207420461"/>
    <s v="Medium"/>
    <x v="1"/>
    <s v="Low Discount"/>
    <n v="0"/>
    <n v="812.82600000000002"/>
    <n v="33"/>
    <n v="29973.899999999998"/>
    <n v="3150.6419999999962"/>
  </r>
  <r>
    <x v="233"/>
    <x v="2"/>
    <x v="2"/>
    <s v="Q2-2025"/>
    <d v="2025-06-25T00:00:00"/>
    <d v="2025-06-25T00:00:00"/>
    <n v="16"/>
    <x v="3"/>
    <x v="9"/>
    <s v="Hyderabad"/>
    <s v="Enterprise"/>
    <x v="3"/>
    <x v="7"/>
    <x v="3"/>
    <x v="232"/>
    <n v="527.33000000000004"/>
    <n v="911.72"/>
    <x v="12"/>
    <b v="0"/>
    <n v="25"/>
    <n v="19510.808000000001"/>
    <n v="13183.250000000002"/>
    <n v="6327.5579999999991"/>
    <n v="0.32431040272652978"/>
    <s v="Medium"/>
    <x v="0"/>
    <s v="Low Discount"/>
    <n v="0.14399999999999999"/>
    <n v="553.69650000000001"/>
    <n v="27.500000000000004"/>
    <n v="21461.888800000004"/>
    <n v="6235.2350500000011"/>
  </r>
  <r>
    <x v="234"/>
    <x v="211"/>
    <x v="26"/>
    <s v="Q1-2023"/>
    <d v="2023-03-24T00:00:00"/>
    <d v="2023-03-24T00:00:00"/>
    <n v="20"/>
    <x v="2"/>
    <x v="11"/>
    <s v="Montreal"/>
    <s v="Consumer"/>
    <x v="3"/>
    <x v="1"/>
    <x v="5"/>
    <x v="233"/>
    <n v="481.71"/>
    <n v="912.45"/>
    <x v="139"/>
    <b v="0"/>
    <n v="24"/>
    <n v="17453.3436"/>
    <n v="11561.039999999999"/>
    <n v="5892.3036000000011"/>
    <n v="0.33760313983619739"/>
    <s v="Medium"/>
    <x v="0"/>
    <s v="High Discount"/>
    <n v="0.2"/>
    <n v="505.7955"/>
    <n v="26.400000000000002"/>
    <n v="19270.944000000003"/>
    <n v="5917.9428000000025"/>
  </r>
  <r>
    <x v="235"/>
    <x v="212"/>
    <x v="7"/>
    <s v="Q2-2023"/>
    <d v="2023-05-22T00:00:00"/>
    <d v="2023-05-22T00:00:00"/>
    <n v="8"/>
    <x v="1"/>
    <x v="1"/>
    <s v="Mombasa"/>
    <s v="Small Business"/>
    <x v="3"/>
    <x v="6"/>
    <x v="6"/>
    <x v="234"/>
    <n v="432.01"/>
    <n v="913.78"/>
    <x v="64"/>
    <b v="0"/>
    <n v="12"/>
    <n v="10428.057359999999"/>
    <n v="5184.12"/>
    <n v="5243.937359999999"/>
    <n v="0.50286809699711887"/>
    <s v="Medium"/>
    <x v="0"/>
    <s v="Low Discount"/>
    <n v="4.9000000000000002E-2"/>
    <n v="453.6105"/>
    <n v="13.200000000000001"/>
    <n v="11470.863096000001"/>
    <n v="5483.2044960000003"/>
  </r>
  <r>
    <x v="236"/>
    <x v="213"/>
    <x v="26"/>
    <s v="Q1-2023"/>
    <d v="2023-04-01T00:00:00"/>
    <d v="2023-04-01T00:00:00"/>
    <n v="25"/>
    <x v="1"/>
    <x v="1"/>
    <s v="Nairobi"/>
    <s v="Consumer"/>
    <x v="1"/>
    <x v="0"/>
    <x v="6"/>
    <x v="235"/>
    <n v="1024.0999999999999"/>
    <n v="918.19"/>
    <x v="140"/>
    <b v="0"/>
    <n v="10"/>
    <n v="7446.5209000000004"/>
    <n v="10241"/>
    <n v="-2794.4790999999996"/>
    <n v="-0.37527311579827827"/>
    <s v="Medium"/>
    <x v="0"/>
    <s v="Low Discount"/>
    <n v="0.189"/>
    <n v="1075.3049999999998"/>
    <n v="11"/>
    <n v="8191.1729900000009"/>
    <n v="-3637.1820099999968"/>
  </r>
  <r>
    <x v="237"/>
    <x v="214"/>
    <x v="0"/>
    <s v="Q4-2024"/>
    <d v="2025-01-11T00:00:00"/>
    <d v="2025-01-11T00:00:00"/>
    <n v="19"/>
    <x v="0"/>
    <x v="6"/>
    <s v="Berlin"/>
    <s v="Education"/>
    <x v="0"/>
    <x v="12"/>
    <x v="3"/>
    <x v="236"/>
    <n v="501.81"/>
    <n v="921.62"/>
    <x v="141"/>
    <b v="0"/>
    <n v="9"/>
    <n v="8211.6342000000004"/>
    <n v="4516.29"/>
    <n v="3695.3442000000005"/>
    <n v="0.45001325071202031"/>
    <s v="Medium"/>
    <x v="0"/>
    <s v="Low Discount"/>
    <n v="0.01"/>
    <n v="526.90050000000008"/>
    <n v="9.9"/>
    <n v="9032.7976200000012"/>
    <n v="3816.4826700000003"/>
  </r>
  <r>
    <x v="238"/>
    <x v="215"/>
    <x v="5"/>
    <s v="Q3-2025"/>
    <d v="2025-09-11T00:00:00"/>
    <d v="2025-09-11T00:00:00"/>
    <n v="9"/>
    <x v="2"/>
    <x v="11"/>
    <s v="Toronto"/>
    <s v="Corporate"/>
    <x v="3"/>
    <x v="7"/>
    <x v="6"/>
    <x v="237"/>
    <n v="1207.6300000000001"/>
    <n v="921.68"/>
    <x v="71"/>
    <b v="0"/>
    <n v="17"/>
    <n v="12597.52224"/>
    <n v="20529.710000000003"/>
    <n v="-7932.1877600000025"/>
    <n v="-0.62966253274897988"/>
    <s v="Medium"/>
    <x v="0"/>
    <s v="Low Discount"/>
    <n v="0.19600000000000001"/>
    <n v="1268.0115000000001"/>
    <n v="18.700000000000003"/>
    <n v="13857.274464000002"/>
    <n v="-9854.5405860000028"/>
  </r>
  <r>
    <x v="239"/>
    <x v="216"/>
    <x v="3"/>
    <s v="Q1-2024"/>
    <d v="2024-03-25T00:00:00"/>
    <d v="2024-03-25T00:00:00"/>
    <n v="18"/>
    <x v="0"/>
    <x v="6"/>
    <s v="Munich"/>
    <s v="Corporate"/>
    <x v="4"/>
    <x v="4"/>
    <x v="4"/>
    <x v="238"/>
    <n v="712.84"/>
    <n v="927.51"/>
    <x v="142"/>
    <b v="0"/>
    <n v="27"/>
    <n v="18957.37689"/>
    <n v="19246.68"/>
    <n v="-289.30311000000074"/>
    <n v="-1.5260714163076427E-2"/>
    <s v="Medium"/>
    <x v="0"/>
    <s v="High Discount"/>
    <n v="0.2"/>
    <n v="748.48200000000008"/>
    <n v="29.700000000000003"/>
    <n v="22037.637600000002"/>
    <n v="-192.27780000000348"/>
  </r>
  <r>
    <x v="240"/>
    <x v="171"/>
    <x v="16"/>
    <s v="Q2-2023"/>
    <d v="2023-04-28T00:00:00"/>
    <d v="2023-04-28T00:00:00"/>
    <n v="9"/>
    <x v="2"/>
    <x v="5"/>
    <s v="Rio de Janeiro"/>
    <s v="Corporate"/>
    <x v="3"/>
    <x v="7"/>
    <x v="3"/>
    <x v="239"/>
    <n v="1013.54"/>
    <n v="927.93"/>
    <x v="143"/>
    <b v="0"/>
    <n v="16"/>
    <n v="12248.675999999999"/>
    <n v="16216.64"/>
    <n v="-3967.9639999999999"/>
    <n v="-0.32395044166406234"/>
    <s v="Medium"/>
    <x v="0"/>
    <s v="Low Discount"/>
    <n v="0.17499999999999999"/>
    <n v="1064.2170000000001"/>
    <n v="17.600000000000001"/>
    <n v="13473.543600000001"/>
    <n v="-5256.6756000000023"/>
  </r>
  <r>
    <x v="241"/>
    <x v="217"/>
    <x v="7"/>
    <s v="Q2-2023"/>
    <d v="2023-05-29T00:00:00"/>
    <d v="2023-05-29T00:00:00"/>
    <n v="22"/>
    <x v="1"/>
    <x v="4"/>
    <s v="Durban"/>
    <s v="Education"/>
    <x v="3"/>
    <x v="12"/>
    <x v="2"/>
    <x v="240"/>
    <n v="653.86"/>
    <n v="931.84"/>
    <x v="34"/>
    <b v="0"/>
    <n v="12"/>
    <n v="9829.0483199999999"/>
    <n v="7846.32"/>
    <n v="1982.7283200000002"/>
    <n v="0.20172129136506273"/>
    <s v="Medium"/>
    <x v="0"/>
    <s v="Low Discount"/>
    <n v="0.121"/>
    <n v="686.553"/>
    <n v="13.200000000000001"/>
    <n v="10811.953152"/>
    <n v="1749.453551999999"/>
  </r>
  <r>
    <x v="242"/>
    <x v="218"/>
    <x v="6"/>
    <s v="Q2-2025"/>
    <d v="2025-05-06T00:00:00"/>
    <d v="2025-05-06T00:00:00"/>
    <n v="12"/>
    <x v="2"/>
    <x v="5"/>
    <s v="Brasília"/>
    <s v="Consumer"/>
    <x v="4"/>
    <x v="8"/>
    <x v="3"/>
    <x v="241"/>
    <n v="394.13"/>
    <n v="932.29"/>
    <x v="144"/>
    <b v="0"/>
    <n v="7"/>
    <n v="5814.6927299999998"/>
    <n v="2758.91"/>
    <n v="3055.7827299999999"/>
    <n v="0.5255278089303268"/>
    <s v="Medium"/>
    <x v="0"/>
    <s v="Low Discount"/>
    <n v="0.109"/>
    <n v="413.8365"/>
    <n v="7.7000000000000011"/>
    <n v="6396.1620030000013"/>
    <n v="3209.620953000001"/>
  </r>
  <r>
    <x v="243"/>
    <x v="219"/>
    <x v="19"/>
    <s v="Q3-2024"/>
    <d v="2024-10-14T00:00:00"/>
    <d v="2024-10-14T00:00:00"/>
    <n v="25"/>
    <x v="2"/>
    <x v="5"/>
    <s v="Rio de Janeiro"/>
    <s v="Small Business"/>
    <x v="0"/>
    <x v="12"/>
    <x v="6"/>
    <x v="242"/>
    <n v="386.96"/>
    <n v="937.46"/>
    <x v="145"/>
    <b v="0"/>
    <n v="41"/>
    <n v="28211.92124"/>
    <n v="15865.359999999999"/>
    <n v="12346.561240000001"/>
    <n v="0.43763631462626335"/>
    <s v="Medium"/>
    <x v="0"/>
    <s v="High Discount"/>
    <n v="0.2"/>
    <n v="406.30799999999999"/>
    <n v="45.1"/>
    <n v="33823.556800000006"/>
    <n v="15499.066000000006"/>
  </r>
  <r>
    <x v="244"/>
    <x v="220"/>
    <x v="11"/>
    <s v="Q3-2025"/>
    <d v="2025-09-22T00:00:00"/>
    <d v="2025-09-22T00:00:00"/>
    <n v="23"/>
    <x v="0"/>
    <x v="2"/>
    <s v="Marseille"/>
    <s v="Corporate"/>
    <x v="2"/>
    <x v="10"/>
    <x v="4"/>
    <x v="243"/>
    <n v="663.9"/>
    <n v="947.77"/>
    <x v="98"/>
    <b v="0"/>
    <n v="15"/>
    <n v="11742.8703"/>
    <n v="9958.5"/>
    <n v="1784.3703000000005"/>
    <n v="0.1519535049280073"/>
    <s v="Medium"/>
    <x v="0"/>
    <s v="Low Discount"/>
    <n v="0.17399999999999999"/>
    <n v="697.09500000000003"/>
    <n v="16.5"/>
    <n v="12917.15733"/>
    <n v="1415.089829999999"/>
  </r>
  <r>
    <x v="245"/>
    <x v="221"/>
    <x v="31"/>
    <s v="Q2-2024"/>
    <d v="2024-04-24T00:00:00"/>
    <d v="2024-04-24T00:00:00"/>
    <n v="20"/>
    <x v="0"/>
    <x v="6"/>
    <s v="Frankfurt"/>
    <s v="Non-Profit"/>
    <x v="2"/>
    <x v="11"/>
    <x v="2"/>
    <x v="244"/>
    <n v="683.42"/>
    <n v="951.51"/>
    <x v="33"/>
    <b v="0"/>
    <n v="14"/>
    <n v="13321.14"/>
    <n v="9567.8799999999992"/>
    <n v="3753.26"/>
    <n v="0.28175216235247136"/>
    <s v="Medium"/>
    <x v="0"/>
    <s v="Low Discount"/>
    <n v="0"/>
    <n v="717.59100000000001"/>
    <n v="15.400000000000002"/>
    <n v="14653.254000000003"/>
    <n v="3602.3526000000002"/>
  </r>
  <r>
    <x v="246"/>
    <x v="222"/>
    <x v="23"/>
    <s v="Q2-2025"/>
    <d v="2025-05-17T00:00:00"/>
    <d v="2025-06-02T00:00:00"/>
    <n v="14"/>
    <x v="2"/>
    <x v="5"/>
    <s v="São Paulo"/>
    <s v="Small Business"/>
    <x v="3"/>
    <x v="5"/>
    <x v="0"/>
    <x v="245"/>
    <n v="383.77"/>
    <n v="952.56"/>
    <x v="33"/>
    <b v="0"/>
    <n v="10"/>
    <n v="9525.5999999999985"/>
    <n v="3837.7"/>
    <n v="5687.8999999999987"/>
    <n v="0.59711724195851179"/>
    <s v="Medium"/>
    <x v="0"/>
    <s v="Low Discount"/>
    <n v="0"/>
    <n v="402.95850000000002"/>
    <n v="11"/>
    <n v="10478.16"/>
    <n v="6045.6165000000001"/>
  </r>
  <r>
    <x v="247"/>
    <x v="216"/>
    <x v="3"/>
    <s v="Q1-2024"/>
    <d v="2024-04-03T00:00:00"/>
    <d v="2024-04-03T00:00:00"/>
    <n v="27"/>
    <x v="0"/>
    <x v="6"/>
    <s v="Frankfurt"/>
    <s v="Corporate"/>
    <x v="2"/>
    <x v="7"/>
    <x v="6"/>
    <x v="246"/>
    <n v="738.16"/>
    <n v="956.49"/>
    <x v="146"/>
    <b v="0"/>
    <n v="5"/>
    <n v="4055.5176000000001"/>
    <n v="3690.7999999999997"/>
    <n v="364.7176000000004"/>
    <n v="8.9931208780847205E-2"/>
    <s v="Medium"/>
    <x v="0"/>
    <s v="Low Discount"/>
    <n v="0.152"/>
    <n v="775.06799999999998"/>
    <n v="5.5"/>
    <n v="4461.0693600000004"/>
    <n v="198.19536000000062"/>
  </r>
  <r>
    <x v="248"/>
    <x v="223"/>
    <x v="12"/>
    <s v="Q1-2025"/>
    <d v="2025-03-17T00:00:00"/>
    <d v="2025-03-17T00:00:00"/>
    <n v="29"/>
    <x v="0"/>
    <x v="6"/>
    <s v="Munich"/>
    <s v="Consumer"/>
    <x v="0"/>
    <x v="5"/>
    <x v="2"/>
    <x v="247"/>
    <n v="730.42"/>
    <n v="956.7"/>
    <x v="106"/>
    <b v="0"/>
    <n v="22"/>
    <n v="20163.409199999998"/>
    <n v="16069.24"/>
    <n v="4094.1691999999985"/>
    <n v="0.20304945256975684"/>
    <s v="Medium"/>
    <x v="0"/>
    <s v="Low Discount"/>
    <n v="4.2000000000000003E-2"/>
    <n v="766.94100000000003"/>
    <n v="24.200000000000003"/>
    <n v="22179.750120000001"/>
    <n v="3619.7779199999968"/>
  </r>
  <r>
    <x v="249"/>
    <x v="224"/>
    <x v="16"/>
    <s v="Q2-2023"/>
    <d v="2023-04-25T00:00:00"/>
    <d v="2023-04-25T00:00:00"/>
    <n v="15"/>
    <x v="0"/>
    <x v="0"/>
    <s v="London"/>
    <s v="Small Business"/>
    <x v="0"/>
    <x v="0"/>
    <x v="6"/>
    <x v="248"/>
    <n v="405.66"/>
    <n v="962.51"/>
    <x v="134"/>
    <b v="0"/>
    <n v="7"/>
    <n v="5457.4317000000001"/>
    <n v="2839.6200000000003"/>
    <n v="2617.8116999999997"/>
    <n v="0.47967832561239376"/>
    <s v="Medium"/>
    <x v="0"/>
    <s v="Low Discount"/>
    <n v="0.19"/>
    <n v="425.94300000000004"/>
    <n v="7.7000000000000011"/>
    <n v="6003.1748700000007"/>
    <n v="2723.4137700000001"/>
  </r>
  <r>
    <x v="250"/>
    <x v="174"/>
    <x v="7"/>
    <s v="Q2-2023"/>
    <d v="2023-05-16T00:00:00"/>
    <d v="2023-05-16T00:00:00"/>
    <n v="14"/>
    <x v="3"/>
    <x v="9"/>
    <s v="Bengaluru"/>
    <s v="Non-Profit"/>
    <x v="0"/>
    <x v="5"/>
    <x v="0"/>
    <x v="249"/>
    <n v="475.37"/>
    <n v="963.73"/>
    <x v="87"/>
    <b v="0"/>
    <n v="22"/>
    <n v="20332.775540000002"/>
    <n v="10458.14"/>
    <n v="9874.6355400000029"/>
    <n v="0.48565113604750892"/>
    <s v="Medium"/>
    <x v="0"/>
    <s v="Low Discount"/>
    <n v="4.1000000000000002E-2"/>
    <n v="499.13850000000002"/>
    <n v="24.200000000000003"/>
    <n v="22366.053094000003"/>
    <n v="10286.901394"/>
  </r>
  <r>
    <x v="251"/>
    <x v="225"/>
    <x v="9"/>
    <s v="Q3-2023"/>
    <d v="2023-08-22T00:00:00"/>
    <d v="2023-08-22T00:00:00"/>
    <n v="14"/>
    <x v="0"/>
    <x v="0"/>
    <s v="Birmingham"/>
    <s v="Non-Profit"/>
    <x v="2"/>
    <x v="9"/>
    <x v="0"/>
    <x v="250"/>
    <n v="446.69"/>
    <n v="967.25"/>
    <x v="75"/>
    <b v="0"/>
    <n v="10"/>
    <n v="8763.2849999999999"/>
    <n v="4466.8999999999996"/>
    <n v="4296.3850000000002"/>
    <n v="0.49027105702941309"/>
    <s v="Medium"/>
    <x v="0"/>
    <s v="Low Discount"/>
    <n v="9.4E-2"/>
    <n v="469.02449999999999"/>
    <n v="11"/>
    <n v="9639.6135000000013"/>
    <n v="4480.344000000001"/>
  </r>
  <r>
    <x v="252"/>
    <x v="226"/>
    <x v="20"/>
    <s v="Q4-2024"/>
    <d v="2024-11-02T00:00:00"/>
    <d v="2024-11-02T00:00:00"/>
    <n v="29"/>
    <x v="1"/>
    <x v="8"/>
    <s v="Abuja"/>
    <s v="Corporate"/>
    <x v="3"/>
    <x v="6"/>
    <x v="2"/>
    <x v="251"/>
    <n v="412.09"/>
    <n v="968.94"/>
    <x v="147"/>
    <b v="0"/>
    <n v="23"/>
    <n v="20079.34362"/>
    <n v="9478.07"/>
    <n v="10601.27362"/>
    <n v="0.52796913189137407"/>
    <s v="Medium"/>
    <x v="0"/>
    <s v="Low Discount"/>
    <n v="9.9000000000000005E-2"/>
    <n v="432.69450000000001"/>
    <n v="25.3"/>
    <n v="22087.277982"/>
    <n v="11140.107131999999"/>
  </r>
  <r>
    <x v="253"/>
    <x v="227"/>
    <x v="31"/>
    <s v="Q2-2024"/>
    <d v="2024-04-09T00:00:00"/>
    <d v="2024-04-09T00:00:00"/>
    <n v="4"/>
    <x v="1"/>
    <x v="8"/>
    <s v="Lagos"/>
    <s v="Non-Profit"/>
    <x v="2"/>
    <x v="12"/>
    <x v="4"/>
    <x v="252"/>
    <n v="395.07"/>
    <n v="970.27"/>
    <x v="148"/>
    <b v="0"/>
    <n v="38"/>
    <n v="32335.21802"/>
    <n v="15012.66"/>
    <n v="17322.55802"/>
    <n v="0.53571799049833657"/>
    <s v="Medium"/>
    <x v="1"/>
    <s v="Low Discount"/>
    <n v="0.123"/>
    <n v="414.82350000000002"/>
    <n v="41.800000000000004"/>
    <n v="35568.739822000003"/>
    <n v="18229.117522"/>
  </r>
  <r>
    <x v="254"/>
    <x v="228"/>
    <x v="28"/>
    <s v="Q3-2023"/>
    <d v="2023-10-03T00:00:00"/>
    <d v="2023-10-03T00:00:00"/>
    <n v="3"/>
    <x v="3"/>
    <x v="10"/>
    <s v="Beijing"/>
    <s v="Non-Profit"/>
    <x v="0"/>
    <x v="3"/>
    <x v="5"/>
    <x v="253"/>
    <n v="1019.36"/>
    <n v="972.91"/>
    <x v="115"/>
    <b v="0"/>
    <n v="17"/>
    <n v="14108.167909999998"/>
    <n v="17329.12"/>
    <n v="-3220.9520900000007"/>
    <n v="-0.22830406545678836"/>
    <s v="Medium"/>
    <x v="1"/>
    <s v="Low Discount"/>
    <n v="0.14699999999999999"/>
    <n v="1070.328"/>
    <n v="18.700000000000003"/>
    <n v="15518.984701000001"/>
    <n v="-4496.1488989999998"/>
  </r>
  <r>
    <x v="255"/>
    <x v="32"/>
    <x v="9"/>
    <s v="Q3-2023"/>
    <d v="2023-09-07T00:00:00"/>
    <d v="2023-09-07T00:00:00"/>
    <n v="23"/>
    <x v="2"/>
    <x v="3"/>
    <s v="New York"/>
    <s v="Enterprise"/>
    <x v="4"/>
    <x v="12"/>
    <x v="3"/>
    <x v="254"/>
    <n v="590.33000000000004"/>
    <n v="973.04"/>
    <x v="33"/>
    <b v="0"/>
    <n v="26"/>
    <n v="25299.040000000001"/>
    <n v="15348.580000000002"/>
    <n v="9950.4599999999991"/>
    <n v="0.39331373838691108"/>
    <s v="Medium"/>
    <x v="0"/>
    <s v="Low Discount"/>
    <n v="0"/>
    <n v="619.84650000000011"/>
    <n v="28.6"/>
    <n v="27828.944"/>
    <n v="10101.334099999996"/>
  </r>
  <r>
    <x v="256"/>
    <x v="228"/>
    <x v="28"/>
    <s v="Q3-2023"/>
    <d v="2023-10-30T00:00:00"/>
    <d v="2023-10-30T00:00:00"/>
    <n v="30"/>
    <x v="3"/>
    <x v="7"/>
    <s v="Tokyo"/>
    <s v="Enterprise"/>
    <x v="4"/>
    <x v="0"/>
    <x v="6"/>
    <x v="255"/>
    <n v="649.13"/>
    <n v="975.43"/>
    <x v="20"/>
    <b v="0"/>
    <n v="27"/>
    <n v="22201.762229999997"/>
    <n v="17526.509999999998"/>
    <n v="4675.2522299999982"/>
    <n v="0.21058023149543473"/>
    <s v="Medium"/>
    <x v="0"/>
    <s v="Low Discount"/>
    <n v="0.157"/>
    <n v="681.5865"/>
    <n v="29.700000000000003"/>
    <n v="24421.938452999999"/>
    <n v="4178.8194029999977"/>
  </r>
  <r>
    <x v="257"/>
    <x v="229"/>
    <x v="19"/>
    <s v="Q3-2024"/>
    <d v="2024-09-13T00:00:00"/>
    <d v="2024-09-13T00:00:00"/>
    <n v="4"/>
    <x v="0"/>
    <x v="0"/>
    <s v="London"/>
    <s v="Consumer"/>
    <x v="1"/>
    <x v="6"/>
    <x v="1"/>
    <x v="256"/>
    <n v="1133.08"/>
    <n v="976.17"/>
    <x v="106"/>
    <b v="0"/>
    <n v="27"/>
    <n v="25249.613219999999"/>
    <n v="30593.159999999996"/>
    <n v="-5343.5467799999969"/>
    <n v="-0.21162885678452373"/>
    <s v="Medium"/>
    <x v="1"/>
    <s v="Low Discount"/>
    <n v="4.2000000000000003E-2"/>
    <n v="1189.7339999999999"/>
    <n v="29.700000000000003"/>
    <n v="27774.574542000002"/>
    <n v="-7560.5252580000015"/>
  </r>
  <r>
    <x v="258"/>
    <x v="230"/>
    <x v="6"/>
    <s v="Q2-2025"/>
    <d v="2025-04-30T00:00:00"/>
    <d v="2025-04-30T00:00:00"/>
    <n v="24"/>
    <x v="2"/>
    <x v="5"/>
    <s v="Brasília"/>
    <s v="Education"/>
    <x v="4"/>
    <x v="12"/>
    <x v="0"/>
    <x v="257"/>
    <n v="855.78"/>
    <n v="977.38"/>
    <x v="115"/>
    <b v="0"/>
    <n v="38"/>
    <n v="31680.795320000001"/>
    <n v="32519.64"/>
    <n v="-838.84467999999833"/>
    <n v="-2.6478018355506307E-2"/>
    <s v="Medium"/>
    <x v="0"/>
    <s v="Low Discount"/>
    <n v="0.14699999999999999"/>
    <n v="898.56899999999996"/>
    <n v="41.800000000000004"/>
    <n v="34848.874852000008"/>
    <n v="-2711.3093479999952"/>
  </r>
  <r>
    <x v="259"/>
    <x v="231"/>
    <x v="32"/>
    <s v="Q4-2023"/>
    <d v="2024-01-16T00:00:00"/>
    <d v="2024-01-16T00:00:00"/>
    <n v="25"/>
    <x v="3"/>
    <x v="9"/>
    <s v="Hyderabad"/>
    <s v="Small Business"/>
    <x v="0"/>
    <x v="13"/>
    <x v="4"/>
    <x v="258"/>
    <n v="1346.81"/>
    <n v="978.09"/>
    <x v="149"/>
    <b v="0"/>
    <n v="17"/>
    <n v="13983.752729999998"/>
    <n v="22895.77"/>
    <n v="-8912.0172700000021"/>
    <n v="-0.6373122753293996"/>
    <s v="Medium"/>
    <x v="0"/>
    <s v="Low Discount"/>
    <n v="0.159"/>
    <n v="1414.1505"/>
    <n v="18.700000000000003"/>
    <n v="15382.128003000002"/>
    <n v="-11062.486347000002"/>
  </r>
  <r>
    <x v="260"/>
    <x v="232"/>
    <x v="29"/>
    <s v="Q3-2024"/>
    <d v="2024-07-12T00:00:00"/>
    <d v="2024-07-12T00:00:00"/>
    <n v="3"/>
    <x v="3"/>
    <x v="10"/>
    <s v="Shanghai"/>
    <s v="Small Business"/>
    <x v="0"/>
    <x v="0"/>
    <x v="2"/>
    <x v="259"/>
    <n v="748.39"/>
    <n v="979.42"/>
    <x v="33"/>
    <b v="0"/>
    <n v="23"/>
    <n v="22526.66"/>
    <n v="17212.97"/>
    <n v="5313.6899999999987"/>
    <n v="0.23588450307324738"/>
    <s v="Medium"/>
    <x v="1"/>
    <s v="Low Discount"/>
    <n v="0"/>
    <n v="785.80950000000007"/>
    <n v="25.3"/>
    <n v="24779.326000000001"/>
    <n v="4898.3456499999993"/>
  </r>
  <r>
    <x v="261"/>
    <x v="233"/>
    <x v="2"/>
    <s v="Q2-2025"/>
    <d v="2025-07-08T00:00:00"/>
    <d v="2025-07-08T00:00:00"/>
    <n v="16"/>
    <x v="0"/>
    <x v="0"/>
    <s v="London"/>
    <s v="Education"/>
    <x v="2"/>
    <x v="13"/>
    <x v="3"/>
    <x v="260"/>
    <n v="892.73"/>
    <n v="979.84"/>
    <x v="98"/>
    <b v="0"/>
    <n v="10"/>
    <n v="8093.4784000000018"/>
    <n v="8927.2999999999993"/>
    <n v="-833.82159999999749"/>
    <n v="-0.10302388649112813"/>
    <s v="Medium"/>
    <x v="0"/>
    <s v="Low Discount"/>
    <n v="0.17399999999999999"/>
    <n v="937.36650000000009"/>
    <n v="11"/>
    <n v="8902.8262400000021"/>
    <n v="-1408.2052599999988"/>
  </r>
  <r>
    <x v="262"/>
    <x v="234"/>
    <x v="0"/>
    <s v="Q4-2024"/>
    <d v="2024-12-19T00:00:00"/>
    <d v="2024-12-19T00:00:00"/>
    <n v="9"/>
    <x v="1"/>
    <x v="8"/>
    <s v="Lagos"/>
    <s v="Corporate"/>
    <x v="0"/>
    <x v="11"/>
    <x v="0"/>
    <x v="261"/>
    <n v="488.68"/>
    <n v="984.36"/>
    <x v="93"/>
    <b v="0"/>
    <n v="14"/>
    <n v="12967.958640000001"/>
    <n v="6841.52"/>
    <n v="6126.4386400000003"/>
    <n v="0.47242891576649876"/>
    <s v="Medium"/>
    <x v="0"/>
    <s v="Low Discount"/>
    <n v="5.8999999999999997E-2"/>
    <n v="513.11400000000003"/>
    <n v="15.400000000000002"/>
    <n v="14264.754504000002"/>
    <n v="6362.7989040000002"/>
  </r>
  <r>
    <x v="263"/>
    <x v="15"/>
    <x v="11"/>
    <s v="Q3-2025"/>
    <d v="2025-08-28T00:00:00"/>
    <d v="2025-08-28T00:00:00"/>
    <n v="23"/>
    <x v="3"/>
    <x v="9"/>
    <s v="Mumbai"/>
    <s v="Non-Profit"/>
    <x v="3"/>
    <x v="9"/>
    <x v="5"/>
    <x v="262"/>
    <n v="638.54"/>
    <n v="987.24"/>
    <x v="33"/>
    <b v="0"/>
    <n v="11"/>
    <n v="10859.64"/>
    <n v="7023.94"/>
    <n v="3835.7"/>
    <n v="0.35320692030306716"/>
    <s v="Medium"/>
    <x v="0"/>
    <s v="Low Discount"/>
    <n v="0"/>
    <n v="670.46699999999998"/>
    <n v="12.100000000000001"/>
    <n v="11945.604000000001"/>
    <n v="3832.9533000000001"/>
  </r>
  <r>
    <x v="264"/>
    <x v="235"/>
    <x v="24"/>
    <s v="Q3-2023"/>
    <d v="2023-08-10T00:00:00"/>
    <d v="2023-08-10T00:00:00"/>
    <n v="23"/>
    <x v="1"/>
    <x v="4"/>
    <s v="Johannesburg"/>
    <s v="Small Business"/>
    <x v="0"/>
    <x v="5"/>
    <x v="4"/>
    <x v="263"/>
    <n v="1271.56"/>
    <n v="995.47"/>
    <x v="100"/>
    <b v="0"/>
    <n v="13"/>
    <n v="10456.416880000001"/>
    <n v="16530.28"/>
    <n v="-6073.8631199999982"/>
    <n v="-0.58087423155607754"/>
    <s v="Medium"/>
    <x v="0"/>
    <s v="Low Discount"/>
    <n v="0.192"/>
    <n v="1335.1379999999999"/>
    <n v="14.3"/>
    <n v="11502.058568000002"/>
    <n v="-7590.4148319999967"/>
  </r>
  <r>
    <x v="265"/>
    <x v="236"/>
    <x v="15"/>
    <s v="Q2-2024"/>
    <d v="2024-06-02T00:00:00"/>
    <d v="2024-06-02T00:00:00"/>
    <n v="13"/>
    <x v="2"/>
    <x v="11"/>
    <s v="Vancouver"/>
    <s v="Enterprise"/>
    <x v="1"/>
    <x v="12"/>
    <x v="4"/>
    <x v="264"/>
    <n v="675.43"/>
    <n v="996.36"/>
    <x v="53"/>
    <b v="0"/>
    <n v="22"/>
    <n v="17930.494560000003"/>
    <n v="14859.46"/>
    <n v="3071.0345600000037"/>
    <n v="0.17127439233332575"/>
    <s v="Medium"/>
    <x v="0"/>
    <s v="Low Discount"/>
    <n v="0.182"/>
    <n v="709.20150000000001"/>
    <n v="24.200000000000003"/>
    <n v="19723.544016000003"/>
    <n v="2560.8677160000007"/>
  </r>
  <r>
    <x v="266"/>
    <x v="237"/>
    <x v="17"/>
    <s v="Q2-2023"/>
    <d v="2023-06-01T00:00:00"/>
    <d v="2023-06-01T00:00:00"/>
    <n v="0"/>
    <x v="3"/>
    <x v="9"/>
    <s v="Bengaluru"/>
    <s v="Corporate"/>
    <x v="0"/>
    <x v="10"/>
    <x v="2"/>
    <x v="265"/>
    <n v="669.37"/>
    <n v="997.2"/>
    <x v="150"/>
    <b v="0"/>
    <n v="5"/>
    <n v="4577.1480000000001"/>
    <n v="3346.85"/>
    <n v="1230.2980000000002"/>
    <n v="0.26879139586484863"/>
    <s v="Medium"/>
    <x v="1"/>
    <s v="Low Discount"/>
    <n v="8.2000000000000003E-2"/>
    <n v="702.83850000000007"/>
    <n v="5.5"/>
    <n v="5034.8627999999999"/>
    <n v="1169.2510499999994"/>
  </r>
  <r>
    <x v="267"/>
    <x v="238"/>
    <x v="24"/>
    <s v="Q3-2023"/>
    <d v="2023-07-14T00:00:00"/>
    <d v="2023-07-14T00:00:00"/>
    <n v="9"/>
    <x v="2"/>
    <x v="5"/>
    <s v="Brasília"/>
    <s v="Enterprise"/>
    <x v="2"/>
    <x v="4"/>
    <x v="1"/>
    <x v="266"/>
    <n v="578.85"/>
    <n v="998.76"/>
    <x v="150"/>
    <b v="0"/>
    <n v="28"/>
    <n v="25672.127039999999"/>
    <n v="16207.800000000001"/>
    <n v="9464.3270399999983"/>
    <n v="0.36866158480960831"/>
    <s v="Medium"/>
    <x v="0"/>
    <s v="Low Discount"/>
    <n v="8.2000000000000003E-2"/>
    <n v="607.79250000000002"/>
    <n v="30.800000000000004"/>
    <n v="28239.339744000004"/>
    <n v="9519.3307440000026"/>
  </r>
  <r>
    <x v="268"/>
    <x v="239"/>
    <x v="14"/>
    <s v="Q1-2025"/>
    <d v="2025-04-02T00:00:00"/>
    <d v="2025-04-02T00:00:00"/>
    <n v="10"/>
    <x v="0"/>
    <x v="6"/>
    <s v="Berlin"/>
    <s v="Enterprise"/>
    <x v="4"/>
    <x v="10"/>
    <x v="6"/>
    <x v="267"/>
    <n v="663.61"/>
    <n v="1002.11"/>
    <x v="151"/>
    <b v="0"/>
    <n v="17"/>
    <n v="16252.21998"/>
    <n v="11281.37"/>
    <n v="4970.8499799999991"/>
    <n v="0.30585667595670823"/>
    <s v="Medium"/>
    <x v="0"/>
    <s v="Low Discount"/>
    <n v="4.5999999999999999E-2"/>
    <n v="696.79050000000007"/>
    <n v="18.700000000000003"/>
    <n v="17877.441978000003"/>
    <n v="4847.4596279999987"/>
  </r>
  <r>
    <x v="269"/>
    <x v="83"/>
    <x v="13"/>
    <s v="Q1-2023"/>
    <d v="2023-01-30T00:00:00"/>
    <d v="2023-01-30T00:00:00"/>
    <n v="8"/>
    <x v="2"/>
    <x v="3"/>
    <s v="San Francisco"/>
    <s v="Small Business"/>
    <x v="4"/>
    <x v="13"/>
    <x v="1"/>
    <x v="268"/>
    <n v="413.52"/>
    <n v="1004.34"/>
    <x v="94"/>
    <b v="0"/>
    <n v="18"/>
    <n v="16071.448680000001"/>
    <n v="7443.36"/>
    <n v="8628.0886800000007"/>
    <n v="0.53685817948304582"/>
    <s v="Medium"/>
    <x v="0"/>
    <s v="Low Discount"/>
    <n v="0.111"/>
    <n v="434.19600000000003"/>
    <n v="19.8"/>
    <n v="17678.593548000001"/>
    <n v="9081.5127479999992"/>
  </r>
  <r>
    <x v="270"/>
    <x v="240"/>
    <x v="22"/>
    <s v="Q4-2024"/>
    <d v="2024-11-08T00:00:00"/>
    <d v="2024-11-08T00:00:00"/>
    <n v="0"/>
    <x v="1"/>
    <x v="1"/>
    <s v="Nakuru"/>
    <s v="Enterprise"/>
    <x v="1"/>
    <x v="7"/>
    <x v="1"/>
    <x v="269"/>
    <n v="803.28"/>
    <n v="1009"/>
    <x v="152"/>
    <b v="0"/>
    <n v="4"/>
    <n v="3592.04"/>
    <n v="3213.12"/>
    <n v="378.92000000000007"/>
    <n v="0.10548880302001093"/>
    <s v="Medium"/>
    <x v="1"/>
    <s v="Low Discount"/>
    <n v="0.11"/>
    <n v="843.44399999999996"/>
    <n v="4.4000000000000004"/>
    <n v="3951.2440000000001"/>
    <n v="240.09040000000005"/>
  </r>
  <r>
    <x v="271"/>
    <x v="241"/>
    <x v="20"/>
    <s v="Q4-2024"/>
    <d v="2024-10-24T00:00:00"/>
    <d v="2024-10-24T00:00:00"/>
    <n v="11"/>
    <x v="0"/>
    <x v="2"/>
    <s v="Paris"/>
    <s v="Education"/>
    <x v="3"/>
    <x v="6"/>
    <x v="4"/>
    <x v="270"/>
    <n v="816.7"/>
    <n v="1010.75"/>
    <x v="7"/>
    <b v="0"/>
    <n v="43"/>
    <n v="41419.524249999995"/>
    <n v="35118.1"/>
    <n v="6301.4242499999964"/>
    <n v="0.15213656757537472"/>
    <s v="Medium"/>
    <x v="0"/>
    <s v="Low Discount"/>
    <n v="4.7E-2"/>
    <n v="857.53500000000008"/>
    <n v="47.300000000000004"/>
    <n v="45561.476675000005"/>
    <n v="5000.0711749999973"/>
  </r>
  <r>
    <x v="272"/>
    <x v="242"/>
    <x v="19"/>
    <s v="Q3-2024"/>
    <d v="2024-09-08T00:00:00"/>
    <d v="2024-09-08T00:00:00"/>
    <n v="6"/>
    <x v="2"/>
    <x v="3"/>
    <s v="Austin"/>
    <s v="Consumer"/>
    <x v="2"/>
    <x v="2"/>
    <x v="4"/>
    <x v="271"/>
    <n v="462.94"/>
    <n v="1015.7"/>
    <x v="153"/>
    <b v="0"/>
    <n v="14"/>
    <n v="12186.368600000002"/>
    <n v="6481.16"/>
    <n v="5705.2086000000018"/>
    <n v="0.46816314090483041"/>
    <s v="Medium"/>
    <x v="1"/>
    <s v="Low Discount"/>
    <n v="0.14299999999999999"/>
    <n v="486.08700000000005"/>
    <n v="15.400000000000002"/>
    <n v="13405.005460000002"/>
    <n v="5919.26566"/>
  </r>
  <r>
    <x v="273"/>
    <x v="243"/>
    <x v="4"/>
    <s v="Q2-2024"/>
    <d v="2024-07-07T00:00:00"/>
    <d v="2024-07-07T00:00:00"/>
    <n v="28"/>
    <x v="3"/>
    <x v="10"/>
    <s v="Shenzhen"/>
    <s v="Corporate"/>
    <x v="4"/>
    <x v="3"/>
    <x v="4"/>
    <x v="272"/>
    <n v="550.22"/>
    <n v="1025.05"/>
    <x v="33"/>
    <b v="0"/>
    <n v="27"/>
    <n v="27676.35"/>
    <n v="14855.94"/>
    <n v="12820.409999999998"/>
    <n v="0.46322618408858102"/>
    <s v="Medium"/>
    <x v="0"/>
    <s v="Low Discount"/>
    <n v="0"/>
    <n v="577.73100000000011"/>
    <n v="29.700000000000003"/>
    <n v="30443.985000000001"/>
    <n v="13285.374299999996"/>
  </r>
  <r>
    <x v="274"/>
    <x v="244"/>
    <x v="12"/>
    <s v="Q1-2025"/>
    <d v="2025-02-28T00:00:00"/>
    <d v="2025-02-28T00:00:00"/>
    <n v="16"/>
    <x v="2"/>
    <x v="5"/>
    <s v="São Paulo"/>
    <s v="Non-Profit"/>
    <x v="2"/>
    <x v="4"/>
    <x v="0"/>
    <x v="273"/>
    <n v="414.95"/>
    <n v="1027.73"/>
    <x v="154"/>
    <b v="0"/>
    <n v="8"/>
    <n v="7703.8640800000003"/>
    <n v="3319.6"/>
    <n v="4384.2640800000008"/>
    <n v="0.56909935513815568"/>
    <s v="Medium"/>
    <x v="0"/>
    <s v="Low Discount"/>
    <n v="6.3E-2"/>
    <n v="435.69749999999999"/>
    <n v="8.8000000000000007"/>
    <n v="8474.2504880000015"/>
    <n v="4640.1124880000007"/>
  </r>
  <r>
    <x v="275"/>
    <x v="245"/>
    <x v="19"/>
    <s v="Q3-2024"/>
    <d v="2024-10-03T00:00:00"/>
    <d v="2024-10-03T00:00:00"/>
    <n v="8"/>
    <x v="2"/>
    <x v="11"/>
    <s v="Toronto"/>
    <s v="Consumer"/>
    <x v="4"/>
    <x v="10"/>
    <x v="6"/>
    <x v="274"/>
    <n v="558.19000000000005"/>
    <n v="1031.6400000000001"/>
    <x v="33"/>
    <b v="0"/>
    <n v="21"/>
    <n v="21664.440000000002"/>
    <n v="11721.990000000002"/>
    <n v="9942.4500000000007"/>
    <n v="0.45892947152107322"/>
    <s v="Medium"/>
    <x v="0"/>
    <s v="Low Discount"/>
    <n v="0"/>
    <n v="586.09950000000003"/>
    <n v="23.1"/>
    <n v="23830.884000000005"/>
    <n v="10291.985550000003"/>
  </r>
  <r>
    <x v="276"/>
    <x v="246"/>
    <x v="27"/>
    <s v="Q1-2025"/>
    <d v="2025-01-20T00:00:00"/>
    <d v="2025-01-20T00:00:00"/>
    <n v="13"/>
    <x v="1"/>
    <x v="4"/>
    <s v="Cape Town"/>
    <s v="Corporate"/>
    <x v="2"/>
    <x v="12"/>
    <x v="1"/>
    <x v="275"/>
    <n v="432.13"/>
    <n v="1034.6600000000001"/>
    <x v="63"/>
    <b v="0"/>
    <n v="7"/>
    <n v="6576.298960000001"/>
    <n v="3024.91"/>
    <n v="3551.3889600000011"/>
    <n v="0.54002851476204794"/>
    <s v="Medium"/>
    <x v="0"/>
    <s v="Low Discount"/>
    <n v="9.1999999999999998E-2"/>
    <n v="453.73650000000004"/>
    <n v="7.7000000000000011"/>
    <n v="7233.9288560000014"/>
    <n v="3740.1578060000006"/>
  </r>
  <r>
    <x v="277"/>
    <x v="234"/>
    <x v="0"/>
    <s v="Q4-2024"/>
    <d v="2025-01-08T00:00:00"/>
    <d v="2025-01-08T00:00:00"/>
    <n v="29"/>
    <x v="0"/>
    <x v="2"/>
    <s v="Marseille"/>
    <s v="Small Business"/>
    <x v="0"/>
    <x v="12"/>
    <x v="6"/>
    <x v="276"/>
    <n v="891.08"/>
    <n v="1040.0999999999999"/>
    <x v="144"/>
    <b v="0"/>
    <n v="28"/>
    <n v="25948.414799999999"/>
    <n v="24950.240000000002"/>
    <n v="998.17479999999705"/>
    <n v="3.8467660074556737E-2"/>
    <s v="Medium"/>
    <x v="0"/>
    <s v="Low Discount"/>
    <n v="0.109"/>
    <n v="935.63400000000013"/>
    <n v="30.800000000000004"/>
    <n v="28543.256280000001"/>
    <n v="-274.2709200000063"/>
  </r>
  <r>
    <x v="278"/>
    <x v="247"/>
    <x v="4"/>
    <s v="Q2-2024"/>
    <d v="2024-07-09T00:00:00"/>
    <d v="2024-07-09T00:00:00"/>
    <n v="28"/>
    <x v="1"/>
    <x v="8"/>
    <s v="Port Harcourt"/>
    <s v="Corporate"/>
    <x v="1"/>
    <x v="1"/>
    <x v="3"/>
    <x v="277"/>
    <n v="895.54"/>
    <n v="1045"/>
    <x v="155"/>
    <b v="0"/>
    <n v="15"/>
    <n v="12289.2"/>
    <n v="13433.099999999999"/>
    <n v="-1143.8999999999978"/>
    <n v="-9.3081730299775234E-2"/>
    <s v="Medium"/>
    <x v="0"/>
    <s v="High Discount"/>
    <n v="0.2"/>
    <n v="940.31700000000001"/>
    <n v="16.5"/>
    <n v="13794"/>
    <n v="-1721.2304999999997"/>
  </r>
  <r>
    <x v="279"/>
    <x v="248"/>
    <x v="3"/>
    <s v="Q1-2024"/>
    <d v="2024-03-16T00:00:00"/>
    <d v="2024-03-16T00:00:00"/>
    <n v="12"/>
    <x v="1"/>
    <x v="4"/>
    <s v="Johannesburg"/>
    <s v="Enterprise"/>
    <x v="3"/>
    <x v="7"/>
    <x v="0"/>
    <x v="278"/>
    <n v="441.08"/>
    <n v="1054.29"/>
    <x v="124"/>
    <b v="0"/>
    <n v="6"/>
    <n v="4826.5396199999996"/>
    <n v="2646.48"/>
    <n v="2180.0596199999995"/>
    <n v="0.45168169985932899"/>
    <s v="Medium"/>
    <x v="0"/>
    <s v="High Discount"/>
    <n v="0.2"/>
    <n v="463.13400000000001"/>
    <n v="6.6000000000000005"/>
    <n v="5566.6512000000002"/>
    <n v="2509.9667999999997"/>
  </r>
  <r>
    <x v="280"/>
    <x v="249"/>
    <x v="21"/>
    <s v="Q1-2024"/>
    <d v="2024-02-08T00:00:00"/>
    <d v="2024-02-08T00:00:00"/>
    <n v="14"/>
    <x v="3"/>
    <x v="7"/>
    <s v="Osaka"/>
    <s v="Consumer"/>
    <x v="1"/>
    <x v="1"/>
    <x v="1"/>
    <x v="279"/>
    <n v="937.16"/>
    <n v="1069.77"/>
    <x v="44"/>
    <b v="0"/>
    <n v="9"/>
    <n v="9262.068659999999"/>
    <n v="8434.44"/>
    <n v="827.62865999999849"/>
    <n v="8.9356783066645781E-2"/>
    <s v="Medium"/>
    <x v="0"/>
    <s v="Low Discount"/>
    <n v="3.7999999999999999E-2"/>
    <n v="984.01800000000003"/>
    <n v="9.9"/>
    <n v="10188.275525999999"/>
    <n v="446.49732599999879"/>
  </r>
  <r>
    <x v="281"/>
    <x v="237"/>
    <x v="17"/>
    <s v="Q2-2023"/>
    <d v="2023-06-08T00:00:00"/>
    <d v="2023-06-08T00:00:00"/>
    <n v="7"/>
    <x v="0"/>
    <x v="6"/>
    <s v="Frankfurt"/>
    <s v="Consumer"/>
    <x v="4"/>
    <x v="13"/>
    <x v="3"/>
    <x v="280"/>
    <n v="804.17"/>
    <n v="1072.29"/>
    <x v="156"/>
    <b v="0"/>
    <n v="5"/>
    <n v="5189.8835999999992"/>
    <n v="4020.85"/>
    <n v="1169.0335999999993"/>
    <n v="0.22525237367558676"/>
    <s v="Medium"/>
    <x v="1"/>
    <s v="Low Discount"/>
    <n v="3.2000000000000001E-2"/>
    <n v="844.37850000000003"/>
    <n v="5.5"/>
    <n v="5708.8719599999995"/>
    <n v="1064.7902099999992"/>
  </r>
  <r>
    <x v="282"/>
    <x v="250"/>
    <x v="6"/>
    <s v="Q2-2025"/>
    <d v="2025-05-04T00:00:00"/>
    <d v="2025-05-04T00:00:00"/>
    <n v="23"/>
    <x v="3"/>
    <x v="7"/>
    <s v="Osaka"/>
    <s v="Small Business"/>
    <x v="4"/>
    <x v="7"/>
    <x v="4"/>
    <x v="281"/>
    <n v="786.2"/>
    <n v="1075.3"/>
    <x v="96"/>
    <b v="0"/>
    <n v="9"/>
    <n v="8903.4840000000004"/>
    <n v="7075.8"/>
    <n v="1827.6840000000002"/>
    <n v="0.20527739478163831"/>
    <s v="Medium"/>
    <x v="0"/>
    <s v="Low Discount"/>
    <n v="0.08"/>
    <n v="825.5100000000001"/>
    <n v="9.9"/>
    <n v="9793.8323999999993"/>
    <n v="1621.2833999999984"/>
  </r>
  <r>
    <x v="283"/>
    <x v="108"/>
    <x v="18"/>
    <s v="Q3-2025"/>
    <d v="2025-07-16T00:00:00"/>
    <d v="2025-07-16T00:00:00"/>
    <n v="5"/>
    <x v="0"/>
    <x v="0"/>
    <s v="London"/>
    <s v="Enterprise"/>
    <x v="4"/>
    <x v="12"/>
    <x v="6"/>
    <x v="282"/>
    <n v="930.03"/>
    <n v="1086.68"/>
    <x v="144"/>
    <b v="0"/>
    <n v="26"/>
    <n v="25174.028880000002"/>
    <n v="24180.78"/>
    <n v="993.24888000000283"/>
    <n v="3.9455300728168656E-2"/>
    <s v="Medium"/>
    <x v="1"/>
    <s v="Low Discount"/>
    <n v="0.109"/>
    <n v="976.53150000000005"/>
    <n v="28.6"/>
    <n v="27691.431768000002"/>
    <n v="-237.36913199999981"/>
  </r>
  <r>
    <x v="284"/>
    <x v="171"/>
    <x v="16"/>
    <s v="Q2-2023"/>
    <d v="2023-05-07T00:00:00"/>
    <d v="2023-05-07T00:00:00"/>
    <n v="18"/>
    <x v="0"/>
    <x v="0"/>
    <s v="Birmingham"/>
    <s v="Enterprise"/>
    <x v="0"/>
    <x v="9"/>
    <x v="5"/>
    <x v="283"/>
    <n v="1089.1500000000001"/>
    <n v="1088.2"/>
    <x v="131"/>
    <b v="0"/>
    <n v="15"/>
    <n v="15490.527"/>
    <n v="16337.250000000002"/>
    <n v="-846.72300000000178"/>
    <n v="-5.4660696824582002E-2"/>
    <s v="Medium"/>
    <x v="0"/>
    <s v="Low Discount"/>
    <n v="5.0999999999999997E-2"/>
    <n v="1143.6075000000001"/>
    <n v="16.5"/>
    <n v="17039.579700000002"/>
    <n v="-1829.9440499999982"/>
  </r>
  <r>
    <x v="285"/>
    <x v="251"/>
    <x v="5"/>
    <s v="Q3-2025"/>
    <d v="2025-09-30T00:00:00"/>
    <d v="2025-09-30T00:00:00"/>
    <n v="20"/>
    <x v="1"/>
    <x v="1"/>
    <s v="Mombasa"/>
    <s v="Corporate"/>
    <x v="2"/>
    <x v="5"/>
    <x v="3"/>
    <x v="284"/>
    <n v="1009.48"/>
    <n v="1088.81"/>
    <x v="157"/>
    <b v="0"/>
    <n v="6"/>
    <n v="5487.6023999999998"/>
    <n v="6056.88"/>
    <n v="-569.27760000000035"/>
    <n v="-0.10373885688219693"/>
    <s v="Medium"/>
    <x v="0"/>
    <s v="Low Discount"/>
    <n v="0.16"/>
    <n v="1059.954"/>
    <n v="6.6000000000000005"/>
    <n v="6036.3626400000003"/>
    <n v="-959.33375999999953"/>
  </r>
  <r>
    <x v="286"/>
    <x v="252"/>
    <x v="32"/>
    <s v="Q4-2023"/>
    <d v="2023-12-16T00:00:00"/>
    <d v="2023-12-16T00:00:00"/>
    <n v="14"/>
    <x v="0"/>
    <x v="6"/>
    <s v="Frankfurt"/>
    <s v="Education"/>
    <x v="2"/>
    <x v="9"/>
    <x v="0"/>
    <x v="285"/>
    <n v="879.08"/>
    <n v="1093.3900000000001"/>
    <x v="61"/>
    <b v="0"/>
    <n v="17"/>
    <n v="16487.22781"/>
    <n v="14944.36"/>
    <n v="1542.8678099999997"/>
    <n v="9.3579577341935186E-2"/>
    <s v="Medium"/>
    <x v="0"/>
    <s v="Low Discount"/>
    <n v="0.113"/>
    <n v="923.03400000000011"/>
    <n v="18.700000000000003"/>
    <n v="18135.950591000004"/>
    <n v="875.21479099999851"/>
  </r>
  <r>
    <x v="287"/>
    <x v="42"/>
    <x v="23"/>
    <s v="Q2-2025"/>
    <d v="2025-05-28T00:00:00"/>
    <d v="2025-05-28T00:00:00"/>
    <n v="11"/>
    <x v="3"/>
    <x v="9"/>
    <s v="Bengaluru"/>
    <s v="Corporate"/>
    <x v="3"/>
    <x v="4"/>
    <x v="5"/>
    <x v="286"/>
    <n v="623.4"/>
    <n v="1100.0899999999999"/>
    <x v="24"/>
    <b v="0"/>
    <n v="12"/>
    <n v="11696.156879999999"/>
    <n v="7480.7999999999993"/>
    <n v="4215.3568799999994"/>
    <n v="0.36040529579490388"/>
    <s v="Medium"/>
    <x v="0"/>
    <s v="Low Discount"/>
    <n v="0.114"/>
    <n v="654.57000000000005"/>
    <n v="13.200000000000001"/>
    <n v="12865.772568"/>
    <n v="4225.4485679999998"/>
  </r>
  <r>
    <x v="288"/>
    <x v="64"/>
    <x v="29"/>
    <s v="Q3-2024"/>
    <d v="2024-08-03T00:00:00"/>
    <d v="2024-08-03T00:00:00"/>
    <n v="21"/>
    <x v="2"/>
    <x v="5"/>
    <s v="Rio de Janeiro"/>
    <s v="Corporate"/>
    <x v="1"/>
    <x v="7"/>
    <x v="0"/>
    <x v="287"/>
    <n v="702.98"/>
    <n v="1104.8"/>
    <x v="143"/>
    <b v="0"/>
    <n v="12"/>
    <n v="10937.519999999999"/>
    <n v="8435.76"/>
    <n v="2501.7599999999984"/>
    <n v="0.22873192460448061"/>
    <s v="Medium"/>
    <x v="0"/>
    <s v="Low Discount"/>
    <n v="0.17499999999999999"/>
    <n v="738.12900000000002"/>
    <n v="13.200000000000001"/>
    <n v="12031.272000000001"/>
    <n v="2287.9691999999995"/>
  </r>
  <r>
    <x v="289"/>
    <x v="253"/>
    <x v="28"/>
    <s v="Q3-2023"/>
    <d v="2023-10-08T00:00:00"/>
    <d v="2023-10-08T00:00:00"/>
    <n v="20"/>
    <x v="3"/>
    <x v="9"/>
    <s v="Delhi"/>
    <s v="Small Business"/>
    <x v="2"/>
    <x v="4"/>
    <x v="4"/>
    <x v="288"/>
    <n v="825.64"/>
    <n v="1108.43"/>
    <x v="24"/>
    <b v="0"/>
    <n v="7"/>
    <n v="6874.4828600000001"/>
    <n v="5779.48"/>
    <n v="1095.0028600000005"/>
    <n v="0.15928512475773349"/>
    <s v="Medium"/>
    <x v="0"/>
    <s v="Low Discount"/>
    <n v="0.114"/>
    <n v="866.92200000000003"/>
    <n v="7.7000000000000011"/>
    <n v="7561.9311460000008"/>
    <n v="886.63174600000002"/>
  </r>
  <r>
    <x v="290"/>
    <x v="254"/>
    <x v="21"/>
    <s v="Q1-2024"/>
    <d v="2024-01-25T00:00:00"/>
    <d v="2024-01-25T00:00:00"/>
    <n v="4"/>
    <x v="3"/>
    <x v="9"/>
    <s v="Delhi"/>
    <s v="Consumer"/>
    <x v="2"/>
    <x v="8"/>
    <x v="0"/>
    <x v="289"/>
    <n v="523.70000000000005"/>
    <n v="1109.92"/>
    <x v="158"/>
    <b v="0"/>
    <n v="11"/>
    <n v="11842.8464"/>
    <n v="5760.7000000000007"/>
    <n v="6082.1463999999996"/>
    <n v="0.51357133197302973"/>
    <s v="Medium"/>
    <x v="1"/>
    <s v="Low Discount"/>
    <n v="0.03"/>
    <n v="549.8850000000001"/>
    <n v="12.100000000000001"/>
    <n v="13027.131040000002"/>
    <n v="6373.5225399999999"/>
  </r>
  <r>
    <x v="291"/>
    <x v="255"/>
    <x v="17"/>
    <s v="Q2-2023"/>
    <d v="2023-07-12T00:00:00"/>
    <d v="2023-07-12T00:00:00"/>
    <n v="27"/>
    <x v="0"/>
    <x v="0"/>
    <s v="Manchester"/>
    <s v="Consumer"/>
    <x v="2"/>
    <x v="1"/>
    <x v="2"/>
    <x v="290"/>
    <n v="751.28"/>
    <n v="1111.8800000000001"/>
    <x v="35"/>
    <b v="0"/>
    <n v="7"/>
    <n v="6732.4334000000008"/>
    <n v="5258.96"/>
    <n v="1473.4734000000008"/>
    <n v="0.21886193482433863"/>
    <s v="Medium"/>
    <x v="0"/>
    <s v="Low Discount"/>
    <n v="0.13500000000000001"/>
    <n v="788.84400000000005"/>
    <n v="7.7000000000000011"/>
    <n v="7405.6767400000017"/>
    <n v="1331.5779400000001"/>
  </r>
  <r>
    <x v="292"/>
    <x v="256"/>
    <x v="25"/>
    <s v="Q3-2024"/>
    <d v="2024-08-09T00:00:00"/>
    <d v="2024-08-09T00:00:00"/>
    <n v="6"/>
    <x v="1"/>
    <x v="1"/>
    <s v="Mombasa"/>
    <s v="Consumer"/>
    <x v="1"/>
    <x v="2"/>
    <x v="5"/>
    <x v="291"/>
    <n v="643.21"/>
    <n v="1112.81"/>
    <x v="86"/>
    <b v="0"/>
    <n v="4"/>
    <n v="3823.6151599999998"/>
    <n v="2572.84"/>
    <n v="1250.7751599999997"/>
    <n v="0.32711847496702562"/>
    <s v="Medium"/>
    <x v="1"/>
    <s v="Low Discount"/>
    <n v="0.14099999999999999"/>
    <n v="675.37050000000011"/>
    <n v="4.4000000000000004"/>
    <n v="4205.9766760000002"/>
    <n v="1234.3464759999997"/>
  </r>
  <r>
    <x v="293"/>
    <x v="257"/>
    <x v="11"/>
    <s v="Q3-2025"/>
    <d v="2025-09-06T00:00:00"/>
    <d v="2025-09-06T00:00:00"/>
    <n v="30"/>
    <x v="2"/>
    <x v="11"/>
    <s v="Montreal"/>
    <s v="Education"/>
    <x v="2"/>
    <x v="7"/>
    <x v="1"/>
    <x v="292"/>
    <n v="833.73"/>
    <n v="1116.5999999999999"/>
    <x v="23"/>
    <b v="0"/>
    <n v="14"/>
    <n v="12881.097599999999"/>
    <n v="11672.220000000001"/>
    <n v="1208.877599999998"/>
    <n v="9.3848958958279924E-2"/>
    <s v="Medium"/>
    <x v="0"/>
    <s v="Low Discount"/>
    <n v="0.17599999999999999"/>
    <n v="875.41650000000004"/>
    <n v="15.400000000000002"/>
    <n v="14169.207360000002"/>
    <n v="687.79326000000037"/>
  </r>
  <r>
    <x v="294"/>
    <x v="258"/>
    <x v="3"/>
    <s v="Q1-2024"/>
    <d v="2024-03-26T00:00:00"/>
    <d v="2024-03-26T00:00:00"/>
    <n v="17"/>
    <x v="3"/>
    <x v="10"/>
    <s v="Shenzhen"/>
    <s v="Enterprise"/>
    <x v="4"/>
    <x v="12"/>
    <x v="0"/>
    <x v="293"/>
    <n v="1029.67"/>
    <n v="1118.43"/>
    <x v="159"/>
    <b v="0"/>
    <n v="9"/>
    <n v="7327.9533599999995"/>
    <n v="9267.0300000000007"/>
    <n v="-1939.0766400000011"/>
    <n v="-0.26461367106736078"/>
    <s v="Medium"/>
    <x v="0"/>
    <s v="High Discount"/>
    <n v="0.2"/>
    <n v="1081.1535000000001"/>
    <n v="9.9"/>
    <n v="8857.9656000000014"/>
    <n v="-1845.4540500000003"/>
  </r>
  <r>
    <x v="295"/>
    <x v="203"/>
    <x v="25"/>
    <s v="Q3-2024"/>
    <d v="2024-08-15T00:00:00"/>
    <d v="2024-08-15T00:00:00"/>
    <n v="3"/>
    <x v="2"/>
    <x v="3"/>
    <s v="Chicago"/>
    <s v="Corporate"/>
    <x v="1"/>
    <x v="0"/>
    <x v="6"/>
    <x v="294"/>
    <n v="850.7"/>
    <n v="1118.56"/>
    <x v="54"/>
    <b v="0"/>
    <n v="19"/>
    <n v="17427.164799999999"/>
    <n v="16163.300000000001"/>
    <n v="1263.8647999999976"/>
    <n v="7.2522685962090494E-2"/>
    <s v="Medium"/>
    <x v="1"/>
    <s v="Low Discount"/>
    <n v="0.18"/>
    <n v="893.23500000000013"/>
    <n v="20.900000000000002"/>
    <n v="19169.881280000001"/>
    <n v="501.26977999999508"/>
  </r>
  <r>
    <x v="296"/>
    <x v="97"/>
    <x v="6"/>
    <s v="Q2-2025"/>
    <d v="2025-04-17T00:00:00"/>
    <d v="2025-04-17T00:00:00"/>
    <n v="0"/>
    <x v="2"/>
    <x v="5"/>
    <s v="São Paulo"/>
    <s v="Corporate"/>
    <x v="3"/>
    <x v="5"/>
    <x v="3"/>
    <x v="295"/>
    <n v="719.41"/>
    <n v="1125.99"/>
    <x v="87"/>
    <b v="0"/>
    <n v="21"/>
    <n v="22676.312609999997"/>
    <n v="15107.609999999999"/>
    <n v="7568.7026099999985"/>
    <n v="0.33377131194876392"/>
    <s v="Medium"/>
    <x v="1"/>
    <s v="Low Discount"/>
    <n v="4.1000000000000002E-2"/>
    <n v="755.38049999999998"/>
    <n v="23.1"/>
    <n v="24943.943870999999"/>
    <n v="7494.6543209999982"/>
  </r>
  <r>
    <x v="297"/>
    <x v="259"/>
    <x v="23"/>
    <s v="Q2-2025"/>
    <d v="2025-06-20T00:00:00"/>
    <d v="2025-06-20T00:00:00"/>
    <n v="22"/>
    <x v="0"/>
    <x v="6"/>
    <s v="Berlin"/>
    <s v="Corporate"/>
    <x v="2"/>
    <x v="13"/>
    <x v="6"/>
    <x v="296"/>
    <n v="483.47"/>
    <n v="1135.43"/>
    <x v="160"/>
    <b v="0"/>
    <n v="11"/>
    <n v="10666.22942"/>
    <n v="5318.17"/>
    <n v="5348.0594199999996"/>
    <n v="0.50140112399719972"/>
    <s v="Medium"/>
    <x v="0"/>
    <s v="Low Discount"/>
    <n v="0.14599999999999999"/>
    <n v="507.64350000000007"/>
    <n v="12.100000000000001"/>
    <n v="11732.852362000001"/>
    <n v="5590.3660119999995"/>
  </r>
  <r>
    <x v="298"/>
    <x v="152"/>
    <x v="24"/>
    <s v="Q3-2023"/>
    <d v="2023-07-08T00:00:00"/>
    <d v="2023-07-08T00:00:00"/>
    <n v="7"/>
    <x v="0"/>
    <x v="6"/>
    <s v="Frankfurt"/>
    <s v="Small Business"/>
    <x v="3"/>
    <x v="9"/>
    <x v="5"/>
    <x v="297"/>
    <n v="460.21"/>
    <n v="1139.1500000000001"/>
    <x v="68"/>
    <b v="0"/>
    <n v="14"/>
    <n v="14114.068500000001"/>
    <n v="6442.94"/>
    <n v="7671.1285000000016"/>
    <n v="0.54350937151821255"/>
    <s v="Medium"/>
    <x v="1"/>
    <s v="Low Discount"/>
    <n v="0.115"/>
    <n v="483.22050000000002"/>
    <n v="15.400000000000002"/>
    <n v="15525.475350000004"/>
    <n v="8083.8796500000026"/>
  </r>
  <r>
    <x v="299"/>
    <x v="260"/>
    <x v="32"/>
    <s v="Q4-2023"/>
    <d v="2023-12-26T00:00:00"/>
    <d v="2023-12-26T00:00:00"/>
    <n v="23"/>
    <x v="2"/>
    <x v="5"/>
    <s v="Rio de Janeiro"/>
    <s v="Education"/>
    <x v="0"/>
    <x v="11"/>
    <x v="3"/>
    <x v="298"/>
    <n v="1303.1099999999999"/>
    <n v="1145.67"/>
    <x v="129"/>
    <b v="0"/>
    <n v="13"/>
    <n v="12153.267360000002"/>
    <n v="16940.43"/>
    <n v="-4787.1626399999986"/>
    <n v="-0.39389922875851208"/>
    <s v="Medium"/>
    <x v="0"/>
    <s v="Low Discount"/>
    <n v="0.184"/>
    <n v="1368.2655"/>
    <n v="14.3"/>
    <n v="13368.594096000003"/>
    <n v="-6197.6025539999991"/>
  </r>
  <r>
    <x v="300"/>
    <x v="141"/>
    <x v="10"/>
    <s v="Q4-2023"/>
    <d v="2023-10-28T00:00:00"/>
    <d v="2023-10-28T00:00:00"/>
    <n v="3"/>
    <x v="2"/>
    <x v="5"/>
    <s v="Brasília"/>
    <s v="Corporate"/>
    <x v="3"/>
    <x v="5"/>
    <x v="2"/>
    <x v="299"/>
    <n v="509.31"/>
    <n v="1145.9000000000001"/>
    <x v="31"/>
    <b v="0"/>
    <n v="8"/>
    <n v="8644.6696000000011"/>
    <n v="4074.48"/>
    <n v="4570.1896000000015"/>
    <n v="0.52867140231709964"/>
    <s v="Medium"/>
    <x v="1"/>
    <s v="Low Discount"/>
    <n v="5.7000000000000002E-2"/>
    <n v="534.77550000000008"/>
    <n v="8.8000000000000007"/>
    <n v="9509.1365600000026"/>
    <n v="4803.1121600000015"/>
  </r>
  <r>
    <x v="301"/>
    <x v="261"/>
    <x v="30"/>
    <s v="Q4-2023"/>
    <d v="2023-12-06T00:00:00"/>
    <d v="2023-12-06T00:00:00"/>
    <n v="21"/>
    <x v="0"/>
    <x v="0"/>
    <s v="Manchester"/>
    <s v="Education"/>
    <x v="2"/>
    <x v="2"/>
    <x v="2"/>
    <x v="300"/>
    <n v="1184.99"/>
    <n v="1154.3399999999999"/>
    <x v="89"/>
    <b v="0"/>
    <n v="5"/>
    <n v="5610.0923999999995"/>
    <n v="5924.95"/>
    <n v="-314.85760000000028"/>
    <n v="-5.6123424990290764E-2"/>
    <s v="Medium"/>
    <x v="0"/>
    <s v="Low Discount"/>
    <n v="2.8000000000000001E-2"/>
    <n v="1244.2395000000001"/>
    <n v="5.5"/>
    <n v="6171.1016399999999"/>
    <n v="-672.21561000000111"/>
  </r>
  <r>
    <x v="302"/>
    <x v="262"/>
    <x v="26"/>
    <s v="Q1-2023"/>
    <d v="2023-04-06T00:00:00"/>
    <d v="2023-04-06T00:00:00"/>
    <n v="20"/>
    <x v="0"/>
    <x v="6"/>
    <s v="Munich"/>
    <s v="Consumer"/>
    <x v="0"/>
    <x v="11"/>
    <x v="3"/>
    <x v="301"/>
    <n v="692.18"/>
    <n v="1159.3499999999999"/>
    <x v="105"/>
    <b v="0"/>
    <n v="2"/>
    <n v="2059.0056"/>
    <n v="1384.36"/>
    <n v="674.64560000000006"/>
    <n v="0.32765602968734037"/>
    <s v="Medium"/>
    <x v="0"/>
    <s v="Low Discount"/>
    <n v="0.112"/>
    <n v="726.78899999999999"/>
    <n v="2.2000000000000002"/>
    <n v="2264.90616"/>
    <n v="665.9703599999998"/>
  </r>
  <r>
    <x v="303"/>
    <x v="263"/>
    <x v="30"/>
    <s v="Q4-2023"/>
    <d v="2023-11-30T00:00:00"/>
    <d v="2023-11-30T00:00:00"/>
    <n v="16"/>
    <x v="2"/>
    <x v="5"/>
    <s v="São Paulo"/>
    <s v="Enterprise"/>
    <x v="2"/>
    <x v="12"/>
    <x v="1"/>
    <x v="302"/>
    <n v="1017.92"/>
    <n v="1175.25"/>
    <x v="2"/>
    <b v="0"/>
    <n v="15"/>
    <n v="16306.59375"/>
    <n v="15268.8"/>
    <n v="1037.7937500000007"/>
    <n v="6.3642583234159542E-2"/>
    <s v="Medium"/>
    <x v="0"/>
    <s v="Low Discount"/>
    <n v="7.4999999999999997E-2"/>
    <n v="1068.816"/>
    <n v="16.5"/>
    <n v="17937.253124999999"/>
    <n v="301.78912499999933"/>
  </r>
  <r>
    <x v="304"/>
    <x v="264"/>
    <x v="26"/>
    <s v="Q1-2023"/>
    <d v="2023-04-15T00:00:00"/>
    <d v="2023-04-15T00:00:00"/>
    <n v="23"/>
    <x v="1"/>
    <x v="1"/>
    <s v="Mombasa"/>
    <s v="Small Business"/>
    <x v="0"/>
    <x v="8"/>
    <x v="2"/>
    <x v="303"/>
    <n v="875.36"/>
    <n v="1178.6199999999999"/>
    <x v="11"/>
    <b v="0"/>
    <n v="53"/>
    <n v="53034.364139999991"/>
    <n v="46394.080000000002"/>
    <n v="6640.2841399999888"/>
    <n v="0.12520719815685888"/>
    <s v="Medium"/>
    <x v="0"/>
    <s v="Low Discount"/>
    <n v="0.151"/>
    <n v="919.12800000000004"/>
    <n v="58.300000000000004"/>
    <n v="58337.800553999994"/>
    <n v="4752.6381539999857"/>
  </r>
  <r>
    <x v="305"/>
    <x v="265"/>
    <x v="22"/>
    <s v="Q4-2024"/>
    <d v="2024-11-08T00:00:00"/>
    <d v="2024-11-08T00:00:00"/>
    <n v="3"/>
    <x v="2"/>
    <x v="11"/>
    <s v="Toronto"/>
    <s v="Education"/>
    <x v="1"/>
    <x v="11"/>
    <x v="4"/>
    <x v="304"/>
    <n v="1020.4"/>
    <n v="1184.71"/>
    <x v="161"/>
    <b v="0"/>
    <n v="16"/>
    <n v="16946.091840000001"/>
    <n v="16326.4"/>
    <n v="619.69184000000132"/>
    <n v="3.6568422138328345E-2"/>
    <s v="Medium"/>
    <x v="1"/>
    <s v="Low Discount"/>
    <n v="0.106"/>
    <n v="1071.42"/>
    <n v="17.600000000000001"/>
    <n v="18640.701024000002"/>
    <n v="-216.29097600000023"/>
  </r>
  <r>
    <x v="306"/>
    <x v="266"/>
    <x v="31"/>
    <s v="Q2-2024"/>
    <d v="2024-05-10T00:00:00"/>
    <d v="2024-05-10T00:00:00"/>
    <n v="16"/>
    <x v="1"/>
    <x v="1"/>
    <s v="Kisumu"/>
    <s v="Non-Profit"/>
    <x v="4"/>
    <x v="9"/>
    <x v="0"/>
    <x v="305"/>
    <n v="513.30999999999995"/>
    <n v="1186.26"/>
    <x v="75"/>
    <b v="0"/>
    <n v="15"/>
    <n v="16121.273399999998"/>
    <n v="7699.65"/>
    <n v="8421.6233999999986"/>
    <n v="0.52239194702820435"/>
    <s v="Medium"/>
    <x v="0"/>
    <s v="Low Discount"/>
    <n v="9.4E-2"/>
    <n v="538.97550000000001"/>
    <n v="16.5"/>
    <n v="17733.400739999997"/>
    <n v="8840.3049899999969"/>
  </r>
  <r>
    <x v="307"/>
    <x v="267"/>
    <x v="29"/>
    <s v="Q3-2024"/>
    <d v="2024-08-08T00:00:00"/>
    <d v="2024-08-08T00:00:00"/>
    <n v="15"/>
    <x v="0"/>
    <x v="2"/>
    <s v="Marseille"/>
    <s v="Enterprise"/>
    <x v="1"/>
    <x v="2"/>
    <x v="5"/>
    <x v="306"/>
    <n v="501.5"/>
    <n v="1201.47"/>
    <x v="162"/>
    <b v="0"/>
    <n v="5"/>
    <n v="5250.4238999999998"/>
    <n v="2507.5"/>
    <n v="2742.9238999999998"/>
    <n v="0.52241951359394045"/>
    <s v="Medium"/>
    <x v="0"/>
    <s v="Low Discount"/>
    <n v="0.126"/>
    <n v="526.57500000000005"/>
    <n v="5.5"/>
    <n v="5775.4662899999994"/>
    <n v="2879.303789999999"/>
  </r>
  <r>
    <x v="308"/>
    <x v="268"/>
    <x v="3"/>
    <s v="Q1-2024"/>
    <d v="2024-03-19T00:00:00"/>
    <d v="2024-03-19T00:00:00"/>
    <n v="16"/>
    <x v="3"/>
    <x v="10"/>
    <s v="Beijing"/>
    <s v="Consumer"/>
    <x v="3"/>
    <x v="14"/>
    <x v="3"/>
    <x v="307"/>
    <n v="988.83"/>
    <n v="1206.04"/>
    <x v="154"/>
    <b v="0"/>
    <n v="34"/>
    <n v="38422.022320000004"/>
    <n v="33620.22"/>
    <n v="4801.8023200000025"/>
    <n v="0.12497526236406606"/>
    <s v="Medium"/>
    <x v="0"/>
    <s v="Low Discount"/>
    <n v="6.3E-2"/>
    <n v="1038.2715000000001"/>
    <n v="37.400000000000006"/>
    <n v="42264.224552000014"/>
    <n v="3432.8704520000028"/>
  </r>
  <r>
    <x v="309"/>
    <x v="269"/>
    <x v="14"/>
    <s v="Q1-2025"/>
    <d v="2025-04-09T00:00:00"/>
    <d v="2025-04-09T00:00:00"/>
    <n v="19"/>
    <x v="3"/>
    <x v="7"/>
    <s v="Tokyo"/>
    <s v="Small Business"/>
    <x v="3"/>
    <x v="10"/>
    <x v="4"/>
    <x v="308"/>
    <n v="1055.45"/>
    <n v="1210.04"/>
    <x v="163"/>
    <b v="0"/>
    <n v="18"/>
    <n v="21584.693519999997"/>
    <n v="18998.100000000002"/>
    <n v="2586.5935199999949"/>
    <n v="0.11983461880537256"/>
    <s v="Medium"/>
    <x v="0"/>
    <s v="Low Discount"/>
    <n v="8.9999999999999993E-3"/>
    <n v="1108.2225000000001"/>
    <n v="19.8"/>
    <n v="23743.162871999997"/>
    <n v="1800.3573719999949"/>
  </r>
  <r>
    <x v="310"/>
    <x v="270"/>
    <x v="14"/>
    <s v="Q1-2025"/>
    <d v="2025-03-27T00:00:00"/>
    <d v="2025-03-27T00:00:00"/>
    <n v="17"/>
    <x v="2"/>
    <x v="5"/>
    <s v="Rio de Janeiro"/>
    <s v="Enterprise"/>
    <x v="2"/>
    <x v="6"/>
    <x v="1"/>
    <x v="309"/>
    <n v="996.73"/>
    <n v="1217.43"/>
    <x v="164"/>
    <b v="0"/>
    <n v="9"/>
    <n v="10189.8891"/>
    <n v="8970.57"/>
    <n v="1219.3191000000006"/>
    <n v="0.11965970267527255"/>
    <s v="Medium"/>
    <x v="0"/>
    <s v="Low Discount"/>
    <n v="7.0000000000000007E-2"/>
    <n v="1046.5665000000001"/>
    <n v="9.9"/>
    <n v="11208.87801"/>
    <n v="847.86965999999848"/>
  </r>
  <r>
    <x v="311"/>
    <x v="271"/>
    <x v="20"/>
    <s v="Q4-2024"/>
    <d v="2024-11-24T00:00:00"/>
    <d v="2024-11-24T00:00:00"/>
    <n v="25"/>
    <x v="3"/>
    <x v="10"/>
    <s v="Shenzhen"/>
    <s v="Small Business"/>
    <x v="4"/>
    <x v="10"/>
    <x v="4"/>
    <x v="310"/>
    <n v="811.05"/>
    <n v="1217.71"/>
    <x v="13"/>
    <b v="0"/>
    <n v="5"/>
    <n v="5650.1744000000008"/>
    <n v="4055.25"/>
    <n v="1594.9244000000008"/>
    <n v="0.28227879125288602"/>
    <s v="Medium"/>
    <x v="0"/>
    <s v="Low Discount"/>
    <n v="7.1999999999999995E-2"/>
    <n v="851.60249999999996"/>
    <n v="5.5"/>
    <n v="6215.1918400000013"/>
    <n v="1531.378090000002"/>
  </r>
  <r>
    <x v="312"/>
    <x v="272"/>
    <x v="29"/>
    <s v="Q3-2024"/>
    <d v="2024-07-15T00:00:00"/>
    <d v="2024-07-15T00:00:00"/>
    <n v="0"/>
    <x v="3"/>
    <x v="7"/>
    <s v="Tokyo"/>
    <s v="Small Business"/>
    <x v="1"/>
    <x v="14"/>
    <x v="2"/>
    <x v="311"/>
    <n v="801.77"/>
    <n v="1218.92"/>
    <x v="165"/>
    <b v="0"/>
    <n v="16"/>
    <n v="14549.029120000001"/>
    <n v="12828.32"/>
    <n v="1720.7091200000013"/>
    <n v="0.11826968698788344"/>
    <s v="Medium"/>
    <x v="1"/>
    <s v="High Discount"/>
    <n v="0.2"/>
    <n v="841.85850000000005"/>
    <n v="17.600000000000001"/>
    <n v="17162.393600000003"/>
    <n v="2345.6840000000011"/>
  </r>
  <r>
    <x v="313"/>
    <x v="273"/>
    <x v="32"/>
    <s v="Q4-2023"/>
    <d v="2024-01-08T00:00:00"/>
    <d v="2024-01-08T00:00:00"/>
    <n v="9"/>
    <x v="0"/>
    <x v="2"/>
    <s v="Marseille"/>
    <s v="Consumer"/>
    <x v="1"/>
    <x v="5"/>
    <x v="2"/>
    <x v="312"/>
    <n v="861.1"/>
    <n v="1224.72"/>
    <x v="98"/>
    <b v="0"/>
    <n v="24"/>
    <n v="24278.849280000002"/>
    <n v="20666.400000000001"/>
    <n v="3612.4492800000007"/>
    <n v="0.14878997098827909"/>
    <s v="Medium"/>
    <x v="0"/>
    <s v="Low Discount"/>
    <n v="0.17399999999999999"/>
    <n v="904.15500000000009"/>
    <n v="26.400000000000002"/>
    <n v="26706.734208000005"/>
    <n v="2837.0422080000026"/>
  </r>
  <r>
    <x v="314"/>
    <x v="274"/>
    <x v="15"/>
    <s v="Q2-2024"/>
    <d v="2024-06-06T00:00:00"/>
    <d v="2024-06-06T00:00:00"/>
    <n v="15"/>
    <x v="3"/>
    <x v="7"/>
    <s v="Nagoya"/>
    <s v="Corporate"/>
    <x v="3"/>
    <x v="8"/>
    <x v="0"/>
    <x v="313"/>
    <n v="673.88"/>
    <n v="1228.01"/>
    <x v="99"/>
    <b v="0"/>
    <n v="13"/>
    <n v="14287.896350000001"/>
    <n v="8760.44"/>
    <n v="5527.4563500000004"/>
    <n v="0.38686285332690001"/>
    <s v="Medium"/>
    <x v="0"/>
    <s v="Low Discount"/>
    <n v="0.105"/>
    <n v="707.57400000000007"/>
    <n v="14.3"/>
    <n v="15716.685985000002"/>
    <n v="5598.3777850000006"/>
  </r>
  <r>
    <x v="315"/>
    <x v="275"/>
    <x v="16"/>
    <s v="Q2-2023"/>
    <d v="2023-04-19T00:00:00"/>
    <d v="2023-05-05T00:00:00"/>
    <n v="14"/>
    <x v="3"/>
    <x v="7"/>
    <s v="Nagoya"/>
    <s v="Small Business"/>
    <x v="2"/>
    <x v="7"/>
    <x v="4"/>
    <x v="314"/>
    <n v="607.04"/>
    <n v="1229.3399999999999"/>
    <x v="115"/>
    <b v="0"/>
    <n v="7"/>
    <n v="7340.3891399999993"/>
    <n v="4249.28"/>
    <n v="3091.1091399999996"/>
    <n v="0.42110970972310058"/>
    <s v="Medium"/>
    <x v="0"/>
    <s v="Low Discount"/>
    <n v="0.14699999999999999"/>
    <n v="637.39199999999994"/>
    <n v="7.7000000000000011"/>
    <n v="8074.428054"/>
    <n v="3166.5096539999995"/>
  </r>
  <r>
    <x v="316"/>
    <x v="276"/>
    <x v="21"/>
    <s v="Q1-2024"/>
    <d v="2024-02-04T00:00:00"/>
    <d v="2024-02-04T00:00:00"/>
    <n v="11"/>
    <x v="0"/>
    <x v="0"/>
    <s v="Manchester"/>
    <s v="Consumer"/>
    <x v="0"/>
    <x v="4"/>
    <x v="5"/>
    <x v="315"/>
    <n v="525.34"/>
    <n v="1233.79"/>
    <x v="153"/>
    <b v="0"/>
    <n v="4"/>
    <n v="4229.4321199999995"/>
    <n v="2101.36"/>
    <n v="2128.0721199999994"/>
    <n v="0.50315788494082736"/>
    <s v="Medium"/>
    <x v="0"/>
    <s v="Low Discount"/>
    <n v="0.14299999999999999"/>
    <n v="551.60700000000008"/>
    <n v="4.4000000000000004"/>
    <n v="4652.3753319999996"/>
    <n v="2225.3045319999992"/>
  </r>
  <r>
    <x v="317"/>
    <x v="277"/>
    <x v="26"/>
    <s v="Q1-2023"/>
    <d v="2023-04-09T00:00:00"/>
    <d v="2023-04-09T00:00:00"/>
    <n v="21"/>
    <x v="0"/>
    <x v="0"/>
    <s v="Manchester"/>
    <s v="Consumer"/>
    <x v="0"/>
    <x v="5"/>
    <x v="2"/>
    <x v="316"/>
    <n v="1082.17"/>
    <n v="1234.0999999999999"/>
    <x v="140"/>
    <b v="0"/>
    <n v="16"/>
    <n v="16013.681599999998"/>
    <n v="17314.72"/>
    <n v="-1301.0384000000031"/>
    <n v="-8.124542703534228E-2"/>
    <s v="Medium"/>
    <x v="0"/>
    <s v="Low Discount"/>
    <n v="0.189"/>
    <n v="1136.2785000000001"/>
    <n v="17.600000000000001"/>
    <n v="17615.049759999998"/>
    <n v="-2383.4518400000052"/>
  </r>
  <r>
    <x v="318"/>
    <x v="278"/>
    <x v="11"/>
    <s v="Q3-2025"/>
    <d v="2025-08-26T00:00:00"/>
    <d v="2025-09-11T00:00:00"/>
    <n v="14"/>
    <x v="1"/>
    <x v="8"/>
    <s v="Port Harcourt"/>
    <s v="Small Business"/>
    <x v="0"/>
    <x v="13"/>
    <x v="2"/>
    <x v="317"/>
    <n v="521.05999999999995"/>
    <n v="1240.31"/>
    <x v="160"/>
    <b v="0"/>
    <n v="18"/>
    <n v="19066.045319999997"/>
    <n v="9379.0799999999981"/>
    <n v="9686.9653199999993"/>
    <n v="0.50807417885650974"/>
    <s v="Medium"/>
    <x v="0"/>
    <s v="Low Discount"/>
    <n v="0.14599999999999999"/>
    <n v="547.11299999999994"/>
    <n v="19.8"/>
    <n v="20972.649851999999"/>
    <n v="10139.812452"/>
  </r>
  <r>
    <x v="319"/>
    <x v="279"/>
    <x v="15"/>
    <s v="Q2-2024"/>
    <d v="2024-06-08T00:00:00"/>
    <d v="2024-06-08T00:00:00"/>
    <n v="20"/>
    <x v="2"/>
    <x v="5"/>
    <s v="Brasília"/>
    <s v="Small Business"/>
    <x v="0"/>
    <x v="10"/>
    <x v="0"/>
    <x v="318"/>
    <n v="1075.9000000000001"/>
    <n v="1242.1500000000001"/>
    <x v="166"/>
    <b v="0"/>
    <n v="7"/>
    <n v="8590.7093999999997"/>
    <n v="7531.3000000000011"/>
    <n v="1059.4093999999986"/>
    <n v="0.12332036280961833"/>
    <s v="Medium"/>
    <x v="0"/>
    <s v="Low Discount"/>
    <n v="1.2E-2"/>
    <n v="1129.6950000000002"/>
    <n v="7.7000000000000011"/>
    <n v="9449.7803400000012"/>
    <n v="751.1288399999994"/>
  </r>
  <r>
    <x v="320"/>
    <x v="280"/>
    <x v="2"/>
    <s v="Q2-2025"/>
    <d v="2025-06-29T00:00:00"/>
    <d v="2025-06-29T00:00:00"/>
    <n v="15"/>
    <x v="1"/>
    <x v="8"/>
    <s v="Port Harcourt"/>
    <s v="Consumer"/>
    <x v="1"/>
    <x v="7"/>
    <x v="2"/>
    <x v="319"/>
    <n v="730.99"/>
    <n v="1242.8399999999999"/>
    <x v="38"/>
    <b v="0"/>
    <n v="10"/>
    <n v="10936.992"/>
    <n v="7309.9"/>
    <n v="3627.0920000000006"/>
    <n v="0.33163524303574515"/>
    <s v="Medium"/>
    <x v="0"/>
    <s v="Low Discount"/>
    <n v="0.12"/>
    <n v="767.53950000000009"/>
    <n v="11"/>
    <n v="12030.691200000001"/>
    <n v="3587.7566999999999"/>
  </r>
  <r>
    <x v="321"/>
    <x v="281"/>
    <x v="6"/>
    <s v="Q2-2025"/>
    <d v="2025-05-25T00:00:00"/>
    <d v="2025-05-25T00:00:00"/>
    <n v="28"/>
    <x v="0"/>
    <x v="2"/>
    <s v="Paris"/>
    <s v="Small Business"/>
    <x v="1"/>
    <x v="1"/>
    <x v="3"/>
    <x v="320"/>
    <n v="603.45000000000005"/>
    <n v="1244.08"/>
    <x v="167"/>
    <b v="0"/>
    <n v="11"/>
    <n v="10947.904"/>
    <n v="6637.9500000000007"/>
    <n v="4309.9539999999997"/>
    <n v="0.39367846119220623"/>
    <s v="Medium"/>
    <x v="0"/>
    <s v="Low Discount"/>
    <n v="0.2"/>
    <n v="633.62250000000006"/>
    <n v="12.100000000000001"/>
    <n v="12042.694400000002"/>
    <n v="4375.8621500000008"/>
  </r>
  <r>
    <x v="322"/>
    <x v="282"/>
    <x v="32"/>
    <s v="Q4-2023"/>
    <d v="2024-01-14T00:00:00"/>
    <d v="2024-01-14T00:00:00"/>
    <n v="25"/>
    <x v="3"/>
    <x v="9"/>
    <s v="Mumbai"/>
    <s v="Non-Profit"/>
    <x v="1"/>
    <x v="5"/>
    <x v="0"/>
    <x v="321"/>
    <n v="1085.6099999999999"/>
    <n v="1246.4100000000001"/>
    <x v="61"/>
    <b v="0"/>
    <n v="7"/>
    <n v="7738.9596900000015"/>
    <n v="7599.2699999999995"/>
    <n v="139.68969000000197"/>
    <n v="1.8050189637310535E-2"/>
    <s v="Medium"/>
    <x v="0"/>
    <s v="Low Discount"/>
    <n v="0.113"/>
    <n v="1139.8905"/>
    <n v="7.7000000000000011"/>
    <n v="8512.8556590000026"/>
    <n v="-264.30119099999865"/>
  </r>
  <r>
    <x v="323"/>
    <x v="1"/>
    <x v="1"/>
    <s v="Q1-2023"/>
    <d v="2023-03-06T00:00:00"/>
    <d v="2023-03-06T00:00:00"/>
    <n v="6"/>
    <x v="0"/>
    <x v="6"/>
    <s v="Frankfurt"/>
    <s v="Small Business"/>
    <x v="1"/>
    <x v="0"/>
    <x v="6"/>
    <x v="322"/>
    <n v="880.02"/>
    <n v="1251.21"/>
    <x v="148"/>
    <b v="0"/>
    <n v="29"/>
    <n v="31822.023929999999"/>
    <n v="25520.579999999998"/>
    <n v="6301.4439300000013"/>
    <n v="0.19802146915172664"/>
    <s v="Medium"/>
    <x v="1"/>
    <s v="Low Discount"/>
    <n v="0.123"/>
    <n v="924.02100000000007"/>
    <n v="31.900000000000002"/>
    <n v="35004.226323000003"/>
    <n v="5527.9564229999996"/>
  </r>
  <r>
    <x v="324"/>
    <x v="283"/>
    <x v="24"/>
    <s v="Q3-2023"/>
    <d v="2023-07-23T00:00:00"/>
    <d v="2023-07-23T00:00:00"/>
    <n v="20"/>
    <x v="1"/>
    <x v="4"/>
    <s v="Johannesburg"/>
    <s v="Small Business"/>
    <x v="3"/>
    <x v="6"/>
    <x v="5"/>
    <x v="323"/>
    <n v="1001.96"/>
    <n v="1254.95"/>
    <x v="21"/>
    <b v="0"/>
    <n v="18"/>
    <n v="21572.590499999998"/>
    <n v="18035.28"/>
    <n v="3537.3104999999996"/>
    <n v="0.16397244920585685"/>
    <s v="Medium"/>
    <x v="0"/>
    <s v="Low Discount"/>
    <n v="4.4999999999999998E-2"/>
    <n v="1052.058"/>
    <n v="19.8"/>
    <n v="23729.849549999999"/>
    <n v="2899.1011499999986"/>
  </r>
  <r>
    <x v="325"/>
    <x v="284"/>
    <x v="3"/>
    <s v="Q1-2024"/>
    <d v="2024-03-21T00:00:00"/>
    <d v="2024-03-21T00:00:00"/>
    <n v="3"/>
    <x v="0"/>
    <x v="6"/>
    <s v="Munich"/>
    <s v="Small Business"/>
    <x v="4"/>
    <x v="7"/>
    <x v="2"/>
    <x v="324"/>
    <n v="910.63"/>
    <n v="1269.4000000000001"/>
    <x v="116"/>
    <b v="0"/>
    <n v="9"/>
    <n v="10647.727199999999"/>
    <n v="8195.67"/>
    <n v="2452.0571999999993"/>
    <n v="0.23028925834989455"/>
    <s v="Medium"/>
    <x v="1"/>
    <s v="Low Discount"/>
    <n v="6.8000000000000005E-2"/>
    <n v="956.16150000000005"/>
    <n v="9.9"/>
    <n v="11712.49992"/>
    <n v="2246.5010700000003"/>
  </r>
  <r>
    <x v="326"/>
    <x v="153"/>
    <x v="25"/>
    <s v="Q3-2024"/>
    <d v="2024-09-02T00:00:00"/>
    <d v="2024-09-02T00:00:00"/>
    <n v="14"/>
    <x v="2"/>
    <x v="11"/>
    <s v="Toronto"/>
    <s v="Consumer"/>
    <x v="3"/>
    <x v="8"/>
    <x v="6"/>
    <x v="325"/>
    <n v="1337.01"/>
    <n v="1269.78"/>
    <x v="157"/>
    <b v="0"/>
    <n v="7"/>
    <n v="7466.3063999999995"/>
    <n v="9359.07"/>
    <n v="-1892.7636000000002"/>
    <n v="-0.25350735672996227"/>
    <s v="Medium"/>
    <x v="0"/>
    <s v="Low Discount"/>
    <n v="0.16"/>
    <n v="1403.8605"/>
    <n v="7.7000000000000011"/>
    <n v="8212.9370400000007"/>
    <n v="-2596.78881"/>
  </r>
  <r>
    <x v="327"/>
    <x v="285"/>
    <x v="9"/>
    <s v="Q3-2023"/>
    <d v="2023-09-03T00:00:00"/>
    <d v="2023-09-03T00:00:00"/>
    <n v="17"/>
    <x v="1"/>
    <x v="4"/>
    <s v="Durban"/>
    <s v="Enterprise"/>
    <x v="0"/>
    <x v="13"/>
    <x v="3"/>
    <x v="326"/>
    <n v="676.37"/>
    <n v="1276.67"/>
    <x v="26"/>
    <b v="0"/>
    <n v="10"/>
    <n v="11924.0978"/>
    <n v="6763.7"/>
    <n v="5160.3977999999997"/>
    <n v="0.4327705027712872"/>
    <s v="Medium"/>
    <x v="0"/>
    <s v="Low Discount"/>
    <n v="6.6000000000000003E-2"/>
    <n v="710.18850000000009"/>
    <n v="11"/>
    <n v="13116.50758"/>
    <n v="5304.4340799999982"/>
  </r>
  <r>
    <x v="328"/>
    <x v="116"/>
    <x v="17"/>
    <s v="Q2-2023"/>
    <d v="2023-07-08T00:00:00"/>
    <d v="2023-07-08T00:00:00"/>
    <n v="18"/>
    <x v="2"/>
    <x v="3"/>
    <s v="New York"/>
    <s v="Consumer"/>
    <x v="1"/>
    <x v="11"/>
    <x v="1"/>
    <x v="327"/>
    <n v="1145.53"/>
    <n v="1278.3"/>
    <x v="120"/>
    <b v="0"/>
    <n v="41"/>
    <n v="47693.373"/>
    <n v="46966.729999999996"/>
    <n v="726.64300000000367"/>
    <n v="1.5235722581416158E-2"/>
    <s v="Medium"/>
    <x v="0"/>
    <s v="Low Discount"/>
    <n v="0.09"/>
    <n v="1202.8064999999999"/>
    <n v="45.1"/>
    <n v="52462.710299999999"/>
    <n v="-1783.8628499999977"/>
  </r>
  <r>
    <x v="329"/>
    <x v="109"/>
    <x v="6"/>
    <s v="Q2-2025"/>
    <d v="2025-05-15T00:00:00"/>
    <d v="2025-05-15T00:00:00"/>
    <n v="17"/>
    <x v="3"/>
    <x v="7"/>
    <s v="Nagoya"/>
    <s v="Education"/>
    <x v="2"/>
    <x v="9"/>
    <x v="1"/>
    <x v="328"/>
    <n v="691.19"/>
    <n v="1284.3"/>
    <x v="130"/>
    <b v="0"/>
    <n v="7"/>
    <n v="8324.8325999999997"/>
    <n v="4838.33"/>
    <n v="3486.5025999999998"/>
    <n v="0.41880753253825187"/>
    <s v="Medium"/>
    <x v="0"/>
    <s v="Low Discount"/>
    <n v="7.3999999999999996E-2"/>
    <n v="725.74950000000013"/>
    <n v="7.7000000000000011"/>
    <n v="9157.3158600000006"/>
    <n v="3569.0447099999992"/>
  </r>
  <r>
    <x v="330"/>
    <x v="231"/>
    <x v="32"/>
    <s v="Q4-2023"/>
    <d v="2023-12-23T00:00:00"/>
    <d v="2023-12-23T00:00:00"/>
    <n v="1"/>
    <x v="1"/>
    <x v="4"/>
    <s v="Cape Town"/>
    <s v="Non-Profit"/>
    <x v="1"/>
    <x v="0"/>
    <x v="4"/>
    <x v="329"/>
    <n v="1186.18"/>
    <n v="1285.0899999999999"/>
    <x v="164"/>
    <b v="0"/>
    <n v="11"/>
    <n v="13146.470699999998"/>
    <n v="13047.980000000001"/>
    <n v="98.49069999999665"/>
    <n v="7.4917977796121861E-3"/>
    <s v="Medium"/>
    <x v="1"/>
    <s v="Low Discount"/>
    <n v="7.0000000000000007E-2"/>
    <n v="1245.489"/>
    <n v="12.100000000000001"/>
    <n v="14461.117770000001"/>
    <n v="-609.29913000000124"/>
  </r>
  <r>
    <x v="331"/>
    <x v="19"/>
    <x v="7"/>
    <s v="Q2-2023"/>
    <d v="2023-05-25T00:00:00"/>
    <d v="2023-05-25T00:00:00"/>
    <n v="2"/>
    <x v="2"/>
    <x v="5"/>
    <s v="Rio de Janeiro"/>
    <s v="Enterprise"/>
    <x v="0"/>
    <x v="7"/>
    <x v="6"/>
    <x v="330"/>
    <n v="690.49"/>
    <n v="1290.29"/>
    <x v="106"/>
    <b v="0"/>
    <n v="22"/>
    <n v="27194.152040000001"/>
    <n v="15190.78"/>
    <n v="12003.37204"/>
    <n v="0.44139534199647729"/>
    <s v="Medium"/>
    <x v="1"/>
    <s v="Low Discount"/>
    <n v="4.2000000000000003E-2"/>
    <n v="725.0145"/>
    <n v="24.200000000000003"/>
    <n v="29913.567244000002"/>
    <n v="12368.216344"/>
  </r>
  <r>
    <x v="332"/>
    <x v="286"/>
    <x v="6"/>
    <s v="Q2-2025"/>
    <d v="2025-04-30T00:00:00"/>
    <d v="2025-04-30T00:00:00"/>
    <n v="18"/>
    <x v="1"/>
    <x v="1"/>
    <s v="Kisumu"/>
    <s v="Corporate"/>
    <x v="1"/>
    <x v="6"/>
    <x v="1"/>
    <x v="331"/>
    <n v="1119.04"/>
    <n v="1299.02"/>
    <x v="136"/>
    <b v="0"/>
    <n v="14"/>
    <n v="17731.623"/>
    <n v="15666.56"/>
    <n v="2065.0630000000001"/>
    <n v="0.11646215352085933"/>
    <s v="Medium"/>
    <x v="0"/>
    <s v="Low Discount"/>
    <n v="2.5000000000000001E-2"/>
    <n v="1174.992"/>
    <n v="15.400000000000002"/>
    <n v="19504.785300000003"/>
    <n v="1409.9085000000014"/>
  </r>
  <r>
    <x v="333"/>
    <x v="287"/>
    <x v="11"/>
    <s v="Q3-2025"/>
    <d v="2025-09-24T00:00:00"/>
    <d v="2025-09-24T00:00:00"/>
    <n v="30"/>
    <x v="1"/>
    <x v="1"/>
    <s v="Nairobi"/>
    <s v="Consumer"/>
    <x v="2"/>
    <x v="4"/>
    <x v="4"/>
    <x v="332"/>
    <n v="589.14"/>
    <n v="1300.58"/>
    <x v="168"/>
    <b v="0"/>
    <n v="11"/>
    <n v="13519.5291"/>
    <n v="6480.54"/>
    <n v="7038.9890999999998"/>
    <n v="0.52065342275863735"/>
    <s v="Medium"/>
    <x v="0"/>
    <s v="Low Discount"/>
    <n v="5.5E-2"/>
    <n v="618.59699999999998"/>
    <n v="12.100000000000001"/>
    <n v="14871.482010000002"/>
    <n v="7386.4583100000009"/>
  </r>
  <r>
    <x v="334"/>
    <x v="10"/>
    <x v="8"/>
    <s v="Q1-2024"/>
    <d v="2024-02-19T00:00:00"/>
    <d v="2024-02-19T00:00:00"/>
    <n v="16"/>
    <x v="3"/>
    <x v="10"/>
    <s v="Shenzhen"/>
    <s v="Small Business"/>
    <x v="4"/>
    <x v="2"/>
    <x v="5"/>
    <x v="333"/>
    <n v="993.75"/>
    <n v="1310.29"/>
    <x v="14"/>
    <b v="0"/>
    <n v="19"/>
    <n v="19542.975350000001"/>
    <n v="18881.25"/>
    <n v="661.72535000000062"/>
    <n v="3.3860010471742245E-2"/>
    <s v="Medium"/>
    <x v="0"/>
    <s v="High Discount"/>
    <n v="0.2"/>
    <n v="1043.4375"/>
    <n v="20.900000000000002"/>
    <n v="21908.0488"/>
    <n v="100.20504999999685"/>
  </r>
  <r>
    <x v="335"/>
    <x v="112"/>
    <x v="32"/>
    <s v="Q4-2023"/>
    <d v="2024-01-13T00:00:00"/>
    <d v="2024-01-13T00:00:00"/>
    <n v="20"/>
    <x v="3"/>
    <x v="7"/>
    <s v="Nagoya"/>
    <s v="Education"/>
    <x v="2"/>
    <x v="4"/>
    <x v="5"/>
    <x v="334"/>
    <n v="625.37"/>
    <n v="1319.04"/>
    <x v="130"/>
    <b v="0"/>
    <n v="8"/>
    <n v="9771.4483199999995"/>
    <n v="5002.96"/>
    <n v="4768.4883199999995"/>
    <n v="0.48800220436513547"/>
    <s v="Medium"/>
    <x v="0"/>
    <s v="Low Discount"/>
    <n v="7.3999999999999996E-2"/>
    <n v="656.63850000000002"/>
    <n v="8.8000000000000007"/>
    <n v="10748.593151999999"/>
    <n v="4970.1743519999991"/>
  </r>
  <r>
    <x v="336"/>
    <x v="288"/>
    <x v="21"/>
    <s v="Q1-2024"/>
    <d v="2024-01-27T00:00:00"/>
    <d v="2024-01-27T00:00:00"/>
    <n v="26"/>
    <x v="0"/>
    <x v="0"/>
    <s v="Manchester"/>
    <s v="Education"/>
    <x v="3"/>
    <x v="0"/>
    <x v="2"/>
    <x v="335"/>
    <n v="657.45"/>
    <n v="1325.96"/>
    <x v="42"/>
    <b v="0"/>
    <n v="21"/>
    <n v="23195.01828"/>
    <n v="13806.45"/>
    <n v="9388.5682799999995"/>
    <n v="0.40476658249048808"/>
    <s v="Medium"/>
    <x v="0"/>
    <s v="Low Discount"/>
    <n v="0.16700000000000001"/>
    <n v="690.3225000000001"/>
    <n v="23.1"/>
    <n v="25514.520108000001"/>
    <n v="9568.0703579999972"/>
  </r>
  <r>
    <x v="337"/>
    <x v="289"/>
    <x v="22"/>
    <s v="Q4-2024"/>
    <d v="2024-11-12T00:00:00"/>
    <d v="2024-11-12T00:00:00"/>
    <n v="11"/>
    <x v="0"/>
    <x v="6"/>
    <s v="Frankfurt"/>
    <s v="Consumer"/>
    <x v="4"/>
    <x v="4"/>
    <x v="6"/>
    <x v="336"/>
    <n v="599.84"/>
    <n v="1330.85"/>
    <x v="68"/>
    <b v="0"/>
    <n v="11"/>
    <n v="12955.82475"/>
    <n v="6598.2400000000007"/>
    <n v="6357.5847499999991"/>
    <n v="0.49071246892252068"/>
    <s v="Medium"/>
    <x v="0"/>
    <s v="Low Discount"/>
    <n v="0.115"/>
    <n v="629.83200000000011"/>
    <n v="12.100000000000001"/>
    <n v="14251.407225000001"/>
    <n v="6630.440024999999"/>
  </r>
  <r>
    <x v="338"/>
    <x v="229"/>
    <x v="19"/>
    <s v="Q3-2024"/>
    <d v="2024-10-01T00:00:00"/>
    <d v="2024-10-01T00:00:00"/>
    <n v="22"/>
    <x v="3"/>
    <x v="10"/>
    <s v="Shenzhen"/>
    <s v="Consumer"/>
    <x v="2"/>
    <x v="5"/>
    <x v="6"/>
    <x v="337"/>
    <n v="1166.18"/>
    <n v="1335.02"/>
    <x v="39"/>
    <b v="0"/>
    <n v="6"/>
    <n v="6984.8246399999998"/>
    <n v="6997.08"/>
    <n v="-12.25536000000011"/>
    <n v="-1.7545694604582242E-3"/>
    <s v="Medium"/>
    <x v="0"/>
    <s v="Low Discount"/>
    <n v="0.128"/>
    <n v="1224.489"/>
    <n v="6.6000000000000005"/>
    <n v="7683.3071040000004"/>
    <n v="-398.32029600000078"/>
  </r>
  <r>
    <x v="339"/>
    <x v="290"/>
    <x v="23"/>
    <s v="Q2-2025"/>
    <d v="2025-05-27T00:00:00"/>
    <d v="2025-05-27T00:00:00"/>
    <n v="11"/>
    <x v="3"/>
    <x v="10"/>
    <s v="Beijing"/>
    <s v="Enterprise"/>
    <x v="4"/>
    <x v="6"/>
    <x v="3"/>
    <x v="338"/>
    <n v="918.12"/>
    <n v="1337.69"/>
    <x v="169"/>
    <b v="0"/>
    <n v="8"/>
    <n v="9684.8756000000012"/>
    <n v="7344.96"/>
    <n v="2339.9156000000012"/>
    <n v="0.24160512707050164"/>
    <s v="Medium"/>
    <x v="0"/>
    <s v="Low Discount"/>
    <n v="9.5000000000000001E-2"/>
    <n v="964.02600000000007"/>
    <n v="8.8000000000000007"/>
    <n v="10653.363160000003"/>
    <n v="2169.9343600000011"/>
  </r>
  <r>
    <x v="340"/>
    <x v="291"/>
    <x v="31"/>
    <s v="Q2-2024"/>
    <d v="2024-04-07T00:00:00"/>
    <d v="2024-04-07T00:00:00"/>
    <n v="4"/>
    <x v="2"/>
    <x v="5"/>
    <s v="Brasília"/>
    <s v="Non-Profit"/>
    <x v="2"/>
    <x v="9"/>
    <x v="3"/>
    <x v="339"/>
    <n v="1023.27"/>
    <n v="1343.64"/>
    <x v="59"/>
    <b v="0"/>
    <n v="7"/>
    <n v="8154.55116"/>
    <n v="7162.8899999999994"/>
    <n v="991.66116000000056"/>
    <n v="0.12160830688810106"/>
    <s v="Medium"/>
    <x v="1"/>
    <s v="Low Discount"/>
    <n v="0.13300000000000001"/>
    <n v="1074.4335000000001"/>
    <n v="7.7000000000000011"/>
    <n v="8970.0062760000019"/>
    <n v="696.8683259999998"/>
  </r>
  <r>
    <x v="341"/>
    <x v="292"/>
    <x v="11"/>
    <s v="Q3-2025"/>
    <d v="2025-09-03T00:00:00"/>
    <d v="2025-09-03T00:00:00"/>
    <n v="21"/>
    <x v="0"/>
    <x v="2"/>
    <s v="Paris"/>
    <s v="Education"/>
    <x v="0"/>
    <x v="1"/>
    <x v="3"/>
    <x v="340"/>
    <n v="603.47"/>
    <n v="1344.05"/>
    <x v="111"/>
    <b v="0"/>
    <n v="18"/>
    <n v="19233.355499999998"/>
    <n v="10862.460000000001"/>
    <n v="8370.8954999999969"/>
    <n v="0.43522803392262976"/>
    <s v="Medium"/>
    <x v="0"/>
    <s v="High Discount"/>
    <n v="0.2"/>
    <n v="633.64350000000002"/>
    <n v="19.8"/>
    <n v="21289.752"/>
    <n v="8743.6106999999993"/>
  </r>
  <r>
    <x v="342"/>
    <x v="199"/>
    <x v="7"/>
    <s v="Q2-2023"/>
    <d v="2023-05-18T00:00:00"/>
    <d v="2023-06-03T00:00:00"/>
    <n v="14"/>
    <x v="1"/>
    <x v="4"/>
    <s v="Durban"/>
    <s v="Corporate"/>
    <x v="3"/>
    <x v="13"/>
    <x v="4"/>
    <x v="341"/>
    <n v="917.88"/>
    <n v="1347.92"/>
    <x v="33"/>
    <b v="0"/>
    <n v="5"/>
    <n v="6739.6"/>
    <n v="4589.3999999999996"/>
    <n v="2150.2000000000007"/>
    <n v="0.3190397056205117"/>
    <s v="Medium"/>
    <x v="0"/>
    <s v="Low Discount"/>
    <n v="0"/>
    <n v="963.774"/>
    <n v="5.5"/>
    <n v="7413.56"/>
    <n v="2112.8030000000008"/>
  </r>
  <r>
    <x v="343"/>
    <x v="293"/>
    <x v="10"/>
    <s v="Q4-2023"/>
    <d v="2023-11-02T00:00:00"/>
    <d v="2023-11-02T00:00:00"/>
    <n v="2"/>
    <x v="1"/>
    <x v="1"/>
    <s v="Kisumu"/>
    <s v="Education"/>
    <x v="0"/>
    <x v="11"/>
    <x v="2"/>
    <x v="342"/>
    <n v="867.89"/>
    <n v="1349.94"/>
    <x v="129"/>
    <b v="0"/>
    <n v="10"/>
    <n v="11015.510400000001"/>
    <n v="8678.9"/>
    <n v="2336.6104000000014"/>
    <n v="0.21212003031652543"/>
    <s v="Medium"/>
    <x v="1"/>
    <s v="Low Discount"/>
    <n v="0.184"/>
    <n v="911.28449999999998"/>
    <n v="11"/>
    <n v="12117.061440000001"/>
    <n v="2092.9319400000022"/>
  </r>
  <r>
    <x v="344"/>
    <x v="294"/>
    <x v="20"/>
    <s v="Q4-2024"/>
    <d v="2024-10-29T00:00:00"/>
    <d v="2024-10-29T00:00:00"/>
    <n v="7"/>
    <x v="1"/>
    <x v="8"/>
    <s v="Port Harcourt"/>
    <s v="Enterprise"/>
    <x v="3"/>
    <x v="7"/>
    <x v="0"/>
    <x v="343"/>
    <n v="1023.06"/>
    <n v="1355.61"/>
    <x v="48"/>
    <b v="0"/>
    <n v="23"/>
    <n v="26408.63841"/>
    <n v="23530.379999999997"/>
    <n v="2878.2584100000022"/>
    <n v="0.10898927711888809"/>
    <s v="Medium"/>
    <x v="1"/>
    <s v="Low Discount"/>
    <n v="0.153"/>
    <n v="1074.213"/>
    <n v="25.3"/>
    <n v="29049.502250999998"/>
    <n v="1871.9133509999992"/>
  </r>
  <r>
    <x v="345"/>
    <x v="270"/>
    <x v="14"/>
    <s v="Q1-2025"/>
    <d v="2025-04-04T00:00:00"/>
    <d v="2025-04-04T00:00:00"/>
    <n v="25"/>
    <x v="3"/>
    <x v="7"/>
    <s v="Osaka"/>
    <s v="Corporate"/>
    <x v="2"/>
    <x v="2"/>
    <x v="6"/>
    <x v="344"/>
    <n v="783.72"/>
    <n v="1355.94"/>
    <x v="74"/>
    <b v="0"/>
    <n v="4"/>
    <n v="4409.5168800000001"/>
    <n v="3134.88"/>
    <n v="1274.63688"/>
    <n v="0.28906497348525856"/>
    <s v="Medium"/>
    <x v="0"/>
    <s v="Low Discount"/>
    <n v="0.187"/>
    <n v="822.90600000000006"/>
    <n v="4.4000000000000004"/>
    <n v="4850.4685680000002"/>
    <n v="1229.6821679999998"/>
  </r>
  <r>
    <x v="346"/>
    <x v="295"/>
    <x v="29"/>
    <s v="Q3-2024"/>
    <d v="2024-07-31T00:00:00"/>
    <d v="2024-07-31T00:00:00"/>
    <n v="20"/>
    <x v="3"/>
    <x v="10"/>
    <s v="Shenzhen"/>
    <s v="Consumer"/>
    <x v="4"/>
    <x v="14"/>
    <x v="3"/>
    <x v="345"/>
    <n v="647.26"/>
    <n v="1374.72"/>
    <x v="26"/>
    <b v="0"/>
    <n v="22"/>
    <n v="28247.74656"/>
    <n v="14239.72"/>
    <n v="14008.02656"/>
    <n v="0.49589890401508901"/>
    <s v="Medium"/>
    <x v="0"/>
    <s v="Low Discount"/>
    <n v="6.6000000000000003E-2"/>
    <n v="679.62300000000005"/>
    <n v="24.200000000000003"/>
    <n v="31072.521216000005"/>
    <n v="14625.644616000001"/>
  </r>
  <r>
    <x v="347"/>
    <x v="142"/>
    <x v="9"/>
    <s v="Q3-2023"/>
    <d v="2023-08-23T00:00:00"/>
    <d v="2023-08-23T00:00:00"/>
    <n v="4"/>
    <x v="1"/>
    <x v="8"/>
    <s v="Abuja"/>
    <s v="Small Business"/>
    <x v="4"/>
    <x v="3"/>
    <x v="0"/>
    <x v="346"/>
    <n v="790.63"/>
    <n v="1382.31"/>
    <x v="46"/>
    <b v="0"/>
    <n v="7"/>
    <n v="8698.8768299999992"/>
    <n v="5534.41"/>
    <n v="3164.4668299999994"/>
    <n v="0.36377878338116437"/>
    <s v="Medium"/>
    <x v="1"/>
    <s v="Low Discount"/>
    <n v="0.10100000000000001"/>
    <n v="830.16150000000005"/>
    <n v="7.7000000000000011"/>
    <n v="9568.7645130000019"/>
    <n v="3176.5209630000008"/>
  </r>
  <r>
    <x v="348"/>
    <x v="296"/>
    <x v="21"/>
    <s v="Q1-2024"/>
    <d v="2024-02-03T00:00:00"/>
    <d v="2024-02-03T00:00:00"/>
    <n v="16"/>
    <x v="1"/>
    <x v="4"/>
    <s v="Cape Town"/>
    <s v="Non-Profit"/>
    <x v="3"/>
    <x v="5"/>
    <x v="6"/>
    <x v="347"/>
    <n v="666.23"/>
    <n v="1382.91"/>
    <x v="23"/>
    <b v="0"/>
    <n v="13"/>
    <n v="14813.731920000002"/>
    <n v="8660.99"/>
    <n v="6152.7419200000022"/>
    <n v="0.41534043907553048"/>
    <s v="Medium"/>
    <x v="0"/>
    <s v="Low Discount"/>
    <n v="0.17599999999999999"/>
    <n v="699.54150000000004"/>
    <n v="14.3"/>
    <n v="16295.105112000003"/>
    <n v="6291.6616620000023"/>
  </r>
  <r>
    <x v="349"/>
    <x v="297"/>
    <x v="18"/>
    <s v="Q3-2025"/>
    <d v="2025-07-23T00:00:00"/>
    <d v="2025-07-23T00:00:00"/>
    <n v="20"/>
    <x v="3"/>
    <x v="10"/>
    <s v="Beijing"/>
    <s v="Small Business"/>
    <x v="4"/>
    <x v="7"/>
    <x v="4"/>
    <x v="348"/>
    <n v="647.36"/>
    <n v="1383.6"/>
    <x v="130"/>
    <b v="0"/>
    <n v="12"/>
    <n v="15374.563200000001"/>
    <n v="7768.32"/>
    <n v="7606.2432000000008"/>
    <n v="0.49472906000997807"/>
    <s v="Medium"/>
    <x v="0"/>
    <s v="Low Discount"/>
    <n v="7.3999999999999996E-2"/>
    <n v="679.72800000000007"/>
    <n v="13.200000000000001"/>
    <n v="16912.019520000002"/>
    <n v="7939.6099200000008"/>
  </r>
  <r>
    <x v="350"/>
    <x v="298"/>
    <x v="12"/>
    <s v="Q1-2025"/>
    <d v="2025-03-21T00:00:00"/>
    <d v="2025-03-21T00:00:00"/>
    <n v="28"/>
    <x v="1"/>
    <x v="8"/>
    <s v="Abuja"/>
    <s v="Enterprise"/>
    <x v="1"/>
    <x v="1"/>
    <x v="3"/>
    <x v="349"/>
    <n v="1437.39"/>
    <n v="1388.31"/>
    <x v="170"/>
    <b v="0"/>
    <n v="18"/>
    <n v="21541.017959999997"/>
    <n v="25873.02"/>
    <n v="-4332.002040000003"/>
    <n v="-0.20110479681341872"/>
    <s v="Medium"/>
    <x v="0"/>
    <s v="Low Discount"/>
    <n v="0.13800000000000001"/>
    <n v="1509.2595000000001"/>
    <n v="19.8"/>
    <n v="23695.119755999996"/>
    <n v="-6188.2183440000081"/>
  </r>
  <r>
    <x v="351"/>
    <x v="299"/>
    <x v="15"/>
    <s v="Q2-2024"/>
    <d v="2024-05-27T00:00:00"/>
    <d v="2024-05-27T00:00:00"/>
    <n v="6"/>
    <x v="1"/>
    <x v="4"/>
    <s v="Johannesburg"/>
    <s v="Non-Profit"/>
    <x v="4"/>
    <x v="7"/>
    <x v="4"/>
    <x v="350"/>
    <n v="1157.51"/>
    <n v="1394.3"/>
    <x v="171"/>
    <b v="0"/>
    <n v="12"/>
    <n v="12080.215199999999"/>
    <n v="13890.119999999999"/>
    <n v="-1809.9048000000003"/>
    <n v="-0.14982388724333326"/>
    <s v="Medium"/>
    <x v="1"/>
    <s v="High Discount"/>
    <n v="0.2"/>
    <n v="1215.3855000000001"/>
    <n v="13.200000000000001"/>
    <n v="14723.808000000003"/>
    <n v="-1319.2806"/>
  </r>
  <r>
    <x v="352"/>
    <x v="300"/>
    <x v="10"/>
    <s v="Q4-2023"/>
    <d v="2023-10-23T00:00:00"/>
    <d v="2023-10-23T00:00:00"/>
    <n v="16"/>
    <x v="3"/>
    <x v="9"/>
    <s v="Hyderabad"/>
    <s v="Consumer"/>
    <x v="0"/>
    <x v="14"/>
    <x v="0"/>
    <x v="351"/>
    <n v="906.81"/>
    <n v="1395.56"/>
    <x v="117"/>
    <b v="0"/>
    <n v="6"/>
    <n v="6824.2883999999995"/>
    <n v="5440.86"/>
    <n v="1383.4283999999998"/>
    <n v="0.20272126834498963"/>
    <s v="Medium"/>
    <x v="0"/>
    <s v="Low Discount"/>
    <n v="0.185"/>
    <n v="952.15049999999997"/>
    <n v="6.6000000000000005"/>
    <n v="7506.7172400000009"/>
    <n v="1222.5239400000009"/>
  </r>
  <r>
    <x v="353"/>
    <x v="301"/>
    <x v="31"/>
    <s v="Q2-2024"/>
    <d v="2024-05-06T00:00:00"/>
    <d v="2024-05-06T00:00:00"/>
    <n v="17"/>
    <x v="1"/>
    <x v="8"/>
    <s v="Port Harcourt"/>
    <s v="Non-Profit"/>
    <x v="4"/>
    <x v="13"/>
    <x v="6"/>
    <x v="352"/>
    <n v="865.33"/>
    <n v="1395.64"/>
    <x v="143"/>
    <b v="0"/>
    <n v="13"/>
    <n v="14968.239"/>
    <n v="11249.29"/>
    <n v="3718.9489999999987"/>
    <n v="0.24845601409758347"/>
    <s v="Medium"/>
    <x v="0"/>
    <s v="Low Discount"/>
    <n v="0.17499999999999999"/>
    <n v="908.59650000000011"/>
    <n v="14.3"/>
    <n v="16465.062900000001"/>
    <n v="3472.1329499999993"/>
  </r>
  <r>
    <x v="354"/>
    <x v="171"/>
    <x v="16"/>
    <s v="Q2-2023"/>
    <d v="2023-04-30T00:00:00"/>
    <d v="2023-04-30T00:00:00"/>
    <n v="11"/>
    <x v="3"/>
    <x v="9"/>
    <s v="Delhi"/>
    <s v="Small Business"/>
    <x v="0"/>
    <x v="13"/>
    <x v="1"/>
    <x v="353"/>
    <n v="826.55"/>
    <n v="1397.05"/>
    <x v="84"/>
    <b v="0"/>
    <n v="28"/>
    <n v="32506.559399999995"/>
    <n v="23143.399999999998"/>
    <n v="9363.1593999999968"/>
    <n v="0.28803907804527595"/>
    <s v="Medium"/>
    <x v="0"/>
    <s v="Low Discount"/>
    <n v="0.16900000000000001"/>
    <n v="867.87749999999994"/>
    <n v="30.800000000000004"/>
    <n v="35757.215340000002"/>
    <n v="9026.5883400000021"/>
  </r>
  <r>
    <x v="355"/>
    <x v="302"/>
    <x v="16"/>
    <s v="Q2-2023"/>
    <d v="2023-05-14T00:00:00"/>
    <d v="2023-05-14T00:00:00"/>
    <n v="22"/>
    <x v="3"/>
    <x v="7"/>
    <s v="Nagoya"/>
    <s v="Enterprise"/>
    <x v="0"/>
    <x v="13"/>
    <x v="2"/>
    <x v="354"/>
    <n v="1209.22"/>
    <n v="1404.33"/>
    <x v="172"/>
    <b v="0"/>
    <n v="11"/>
    <n v="13856.524109999998"/>
    <n v="13301.42"/>
    <n v="555.1041099999984"/>
    <n v="4.0060848275751203E-2"/>
    <s v="Medium"/>
    <x v="0"/>
    <s v="Low Discount"/>
    <n v="0.10299999999999999"/>
    <n v="1269.681"/>
    <n v="12.100000000000001"/>
    <n v="15242.176521000001"/>
    <n v="-120.96357900000112"/>
  </r>
  <r>
    <x v="356"/>
    <x v="165"/>
    <x v="17"/>
    <s v="Q2-2023"/>
    <d v="2023-06-23T00:00:00"/>
    <d v="2023-07-08T00:00:00"/>
    <n v="14"/>
    <x v="2"/>
    <x v="5"/>
    <s v="Rio de Janeiro"/>
    <s v="Non-Profit"/>
    <x v="0"/>
    <x v="10"/>
    <x v="6"/>
    <x v="355"/>
    <n v="804.01"/>
    <n v="1405.07"/>
    <x v="173"/>
    <b v="0"/>
    <n v="8"/>
    <n v="10161.46624"/>
    <n v="6432.08"/>
    <n v="3729.3862399999998"/>
    <n v="0.36701260939287439"/>
    <s v="Medium"/>
    <x v="0"/>
    <s v="Low Discount"/>
    <n v="9.6000000000000002E-2"/>
    <n v="844.21050000000002"/>
    <n v="8.8000000000000007"/>
    <n v="11177.612864000001"/>
    <n v="3748.5604640000001"/>
  </r>
  <r>
    <x v="357"/>
    <x v="303"/>
    <x v="29"/>
    <s v="Q3-2024"/>
    <d v="2024-08-15T00:00:00"/>
    <d v="2024-08-15T00:00:00"/>
    <n v="15"/>
    <x v="3"/>
    <x v="7"/>
    <s v="Tokyo"/>
    <s v="Corporate"/>
    <x v="1"/>
    <x v="6"/>
    <x v="0"/>
    <x v="356"/>
    <n v="1252.52"/>
    <n v="1417.24"/>
    <x v="100"/>
    <b v="0"/>
    <n v="5"/>
    <n v="5725.6496000000006"/>
    <n v="6262.6"/>
    <n v="-536.95039999999972"/>
    <n v="-9.3779821943696953E-2"/>
    <s v="Medium"/>
    <x v="0"/>
    <s v="Low Discount"/>
    <n v="0.192"/>
    <n v="1315.146"/>
    <n v="5.5"/>
    <n v="6298.2145600000003"/>
    <n v="-935.08843999999954"/>
  </r>
  <r>
    <x v="358"/>
    <x v="304"/>
    <x v="17"/>
    <s v="Q2-2023"/>
    <d v="2023-06-18T00:00:00"/>
    <d v="2023-06-18T00:00:00"/>
    <n v="8"/>
    <x v="1"/>
    <x v="1"/>
    <s v="Nakuru"/>
    <s v="Enterprise"/>
    <x v="2"/>
    <x v="2"/>
    <x v="3"/>
    <x v="357"/>
    <n v="894.23"/>
    <n v="1421.55"/>
    <x v="144"/>
    <b v="0"/>
    <n v="3"/>
    <n v="3799.8031499999997"/>
    <n v="2682.69"/>
    <n v="1117.1131499999997"/>
    <n v="0.29399237431549574"/>
    <s v="Medium"/>
    <x v="0"/>
    <s v="Low Discount"/>
    <n v="0.109"/>
    <n v="938.94150000000002"/>
    <n v="3.3000000000000003"/>
    <n v="4179.7834650000004"/>
    <n v="1081.276515"/>
  </r>
  <r>
    <x v="359"/>
    <x v="305"/>
    <x v="24"/>
    <s v="Q3-2023"/>
    <d v="2023-07-13T00:00:00"/>
    <d v="2023-07-13T00:00:00"/>
    <n v="6"/>
    <x v="1"/>
    <x v="4"/>
    <s v="Cape Town"/>
    <s v="Small Business"/>
    <x v="1"/>
    <x v="4"/>
    <x v="2"/>
    <x v="358"/>
    <n v="612.59"/>
    <n v="1424.74"/>
    <x v="174"/>
    <b v="0"/>
    <n v="15"/>
    <n v="20430.7716"/>
    <n v="9188.85"/>
    <n v="11241.9216"/>
    <n v="0.55024459281802163"/>
    <s v="Medium"/>
    <x v="1"/>
    <s v="Low Discount"/>
    <n v="4.3999999999999997E-2"/>
    <n v="643.21950000000004"/>
    <n v="16.5"/>
    <n v="22473.848760000001"/>
    <n v="11860.727010000001"/>
  </r>
  <r>
    <x v="360"/>
    <x v="306"/>
    <x v="13"/>
    <s v="Q1-2023"/>
    <d v="2023-01-26T00:00:00"/>
    <d v="2023-01-26T00:00:00"/>
    <n v="14"/>
    <x v="3"/>
    <x v="10"/>
    <s v="Shenzhen"/>
    <s v="Non-Profit"/>
    <x v="0"/>
    <x v="7"/>
    <x v="6"/>
    <x v="359"/>
    <n v="1083.0899999999999"/>
    <n v="1425.87"/>
    <x v="33"/>
    <b v="0"/>
    <n v="8"/>
    <n v="11406.96"/>
    <n v="8664.7199999999993"/>
    <n v="2742.24"/>
    <n v="0.24040059752992909"/>
    <s v="Medium"/>
    <x v="0"/>
    <s v="Low Discount"/>
    <n v="0"/>
    <n v="1137.2445"/>
    <n v="8.8000000000000007"/>
    <n v="12547.656000000001"/>
    <n v="2539.9043999999994"/>
  </r>
  <r>
    <x v="361"/>
    <x v="307"/>
    <x v="23"/>
    <s v="Q2-2025"/>
    <d v="2025-05-27T00:00:00"/>
    <d v="2025-05-27T00:00:00"/>
    <n v="17"/>
    <x v="2"/>
    <x v="11"/>
    <s v="Vancouver"/>
    <s v="Education"/>
    <x v="2"/>
    <x v="8"/>
    <x v="4"/>
    <x v="360"/>
    <n v="862.89"/>
    <n v="1426.03"/>
    <x v="60"/>
    <b v="0"/>
    <n v="19"/>
    <n v="25577.274079999999"/>
    <n v="16394.91"/>
    <n v="9182.3640799999994"/>
    <n v="0.35900479665188778"/>
    <s v="Medium"/>
    <x v="0"/>
    <s v="Low Discount"/>
    <n v="5.6000000000000001E-2"/>
    <n v="906.03449999999998"/>
    <n v="20.900000000000002"/>
    <n v="28135.001488000002"/>
    <n v="9198.8804380000001"/>
  </r>
  <r>
    <x v="362"/>
    <x v="159"/>
    <x v="16"/>
    <s v="Q2-2023"/>
    <d v="2023-04-23T00:00:00"/>
    <d v="2023-04-23T00:00:00"/>
    <n v="7"/>
    <x v="2"/>
    <x v="3"/>
    <s v="Austin"/>
    <s v="Corporate"/>
    <x v="3"/>
    <x v="11"/>
    <x v="6"/>
    <x v="361"/>
    <n v="1099.1500000000001"/>
    <n v="1431.37"/>
    <x v="101"/>
    <b v="0"/>
    <n v="8"/>
    <n v="10260.060159999999"/>
    <n v="8793.2000000000007"/>
    <n v="1466.8601599999984"/>
    <n v="0.14296798821109433"/>
    <s v="Medium"/>
    <x v="1"/>
    <s v="Low Discount"/>
    <n v="0.104"/>
    <n v="1154.1075000000001"/>
    <n v="8.8000000000000007"/>
    <n v="11286.066176"/>
    <n v="1129.9201759999996"/>
  </r>
  <r>
    <x v="363"/>
    <x v="308"/>
    <x v="22"/>
    <s v="Q4-2024"/>
    <d v="2024-11-29T00:00:00"/>
    <d v="2024-11-29T00:00:00"/>
    <n v="27"/>
    <x v="2"/>
    <x v="5"/>
    <s v="Brasília"/>
    <s v="Small Business"/>
    <x v="2"/>
    <x v="1"/>
    <x v="1"/>
    <x v="362"/>
    <n v="1363.51"/>
    <n v="1433.9"/>
    <x v="31"/>
    <b v="0"/>
    <n v="8"/>
    <n v="10817.3416"/>
    <n v="10908.08"/>
    <n v="-90.738400000000183"/>
    <n v="-8.3882346842037592E-3"/>
    <s v="Medium"/>
    <x v="0"/>
    <s v="Low Discount"/>
    <n v="5.7000000000000002E-2"/>
    <n v="1431.6855"/>
    <n v="8.8000000000000007"/>
    <n v="11899.075760000002"/>
    <n v="-699.75663999999961"/>
  </r>
  <r>
    <x v="364"/>
    <x v="129"/>
    <x v="17"/>
    <s v="Q2-2023"/>
    <d v="2023-07-18T00:00:00"/>
    <d v="2023-07-18T00:00:00"/>
    <n v="25"/>
    <x v="2"/>
    <x v="11"/>
    <s v="Vancouver"/>
    <s v="Enterprise"/>
    <x v="4"/>
    <x v="9"/>
    <x v="3"/>
    <x v="363"/>
    <n v="807.02"/>
    <n v="1435.54"/>
    <x v="33"/>
    <b v="0"/>
    <n v="23"/>
    <n v="33017.42"/>
    <n v="18561.46"/>
    <n v="14455.96"/>
    <n v="0.43782827368098415"/>
    <s v="Medium"/>
    <x v="0"/>
    <s v="Low Discount"/>
    <n v="0"/>
    <n v="847.37099999999998"/>
    <n v="25.3"/>
    <n v="36319.161999999997"/>
    <n v="14880.675699999996"/>
  </r>
  <r>
    <x v="365"/>
    <x v="309"/>
    <x v="3"/>
    <s v="Q1-2024"/>
    <d v="2024-04-17T00:00:00"/>
    <d v="2024-04-17T00:00:00"/>
    <n v="17"/>
    <x v="0"/>
    <x v="6"/>
    <s v="Frankfurt"/>
    <s v="Education"/>
    <x v="2"/>
    <x v="2"/>
    <x v="0"/>
    <x v="364"/>
    <n v="1025.51"/>
    <n v="1436.54"/>
    <x v="97"/>
    <b v="0"/>
    <n v="28"/>
    <n v="34632.106319999999"/>
    <n v="28714.28"/>
    <n v="5917.8263200000001"/>
    <n v="0.17087688127656453"/>
    <s v="Medium"/>
    <x v="0"/>
    <s v="Low Discount"/>
    <n v="0.13900000000000001"/>
    <n v="1076.7855"/>
    <n v="30.800000000000004"/>
    <n v="38095.316952000008"/>
    <n v="4930.3235520000017"/>
  </r>
  <r>
    <x v="366"/>
    <x v="310"/>
    <x v="23"/>
    <s v="Q2-2025"/>
    <d v="2025-05-13T00:00:00"/>
    <d v="2025-05-13T00:00:00"/>
    <n v="11"/>
    <x v="1"/>
    <x v="1"/>
    <s v="Nakuru"/>
    <s v="Small Business"/>
    <x v="4"/>
    <x v="13"/>
    <x v="2"/>
    <x v="365"/>
    <n v="1057.5999999999999"/>
    <n v="1437.06"/>
    <x v="111"/>
    <b v="0"/>
    <n v="4"/>
    <n v="4569.8508000000002"/>
    <n v="4230.3999999999996"/>
    <n v="339.45080000000053"/>
    <n v="7.4280499485891424E-2"/>
    <s v="Medium"/>
    <x v="0"/>
    <s v="High Discount"/>
    <n v="0.2"/>
    <n v="1110.48"/>
    <n v="4.4000000000000004"/>
    <n v="5058.4512000000004"/>
    <n v="172.33920000000035"/>
  </r>
  <r>
    <x v="367"/>
    <x v="311"/>
    <x v="21"/>
    <s v="Q1-2024"/>
    <d v="2024-02-13T00:00:00"/>
    <d v="2024-02-13T00:00:00"/>
    <n v="24"/>
    <x v="0"/>
    <x v="2"/>
    <s v="Marseille"/>
    <s v="Corporate"/>
    <x v="0"/>
    <x v="2"/>
    <x v="6"/>
    <x v="366"/>
    <n v="643.53"/>
    <n v="1439.01"/>
    <x v="33"/>
    <b v="0"/>
    <n v="15"/>
    <n v="21585.15"/>
    <n v="9652.9499999999989"/>
    <n v="11932.200000000003"/>
    <n v="0.55279671440782208"/>
    <s v="Medium"/>
    <x v="0"/>
    <s v="Low Discount"/>
    <n v="0"/>
    <n v="675.70650000000001"/>
    <n v="16.5"/>
    <n v="23743.665000000001"/>
    <n v="12594.507750000001"/>
  </r>
  <r>
    <x v="368"/>
    <x v="312"/>
    <x v="0"/>
    <s v="Q4-2024"/>
    <d v="2024-12-20T00:00:00"/>
    <d v="2024-12-20T00:00:00"/>
    <n v="8"/>
    <x v="3"/>
    <x v="7"/>
    <s v="Tokyo"/>
    <s v="Corporate"/>
    <x v="0"/>
    <x v="4"/>
    <x v="5"/>
    <x v="367"/>
    <n v="1202.47"/>
    <n v="1444.72"/>
    <x v="133"/>
    <b v="0"/>
    <n v="17"/>
    <n v="18641.222160000001"/>
    <n v="20441.990000000002"/>
    <n v="-1800.7678400000004"/>
    <n v="-9.6601382921343834E-2"/>
    <s v="Medium"/>
    <x v="0"/>
    <s v="High Discount"/>
    <n v="0.2"/>
    <n v="1262.5935000000002"/>
    <n v="18.700000000000003"/>
    <n v="21613.011200000004"/>
    <n v="-1997.4872500000019"/>
  </r>
  <r>
    <x v="369"/>
    <x v="313"/>
    <x v="12"/>
    <s v="Q1-2025"/>
    <d v="2025-03-01T00:00:00"/>
    <d v="2025-03-01T00:00:00"/>
    <n v="14"/>
    <x v="1"/>
    <x v="1"/>
    <s v="Mombasa"/>
    <s v="Education"/>
    <x v="2"/>
    <x v="5"/>
    <x v="2"/>
    <x v="368"/>
    <n v="1162.8599999999999"/>
    <n v="1447.68"/>
    <x v="108"/>
    <b v="0"/>
    <n v="12"/>
    <n v="15860.782080000001"/>
    <n v="13954.32"/>
    <n v="1906.4620800000012"/>
    <n v="0.12019975247021369"/>
    <s v="Medium"/>
    <x v="0"/>
    <s v="Low Discount"/>
    <n v="8.6999999999999994E-2"/>
    <n v="1221.0029999999999"/>
    <n v="13.200000000000001"/>
    <n v="17446.860288000003"/>
    <n v="1329.6206880000027"/>
  </r>
  <r>
    <x v="370"/>
    <x v="314"/>
    <x v="24"/>
    <s v="Q3-2023"/>
    <d v="2023-07-14T00:00:00"/>
    <d v="2023-07-14T00:00:00"/>
    <n v="0"/>
    <x v="1"/>
    <x v="8"/>
    <s v="Lagos"/>
    <s v="Education"/>
    <x v="0"/>
    <x v="1"/>
    <x v="2"/>
    <x v="369"/>
    <n v="956.38"/>
    <n v="1454.22"/>
    <x v="175"/>
    <b v="0"/>
    <n v="19"/>
    <n v="26552.60298"/>
    <n v="18171.22"/>
    <n v="8381.3829799999985"/>
    <n v="0.31565202802576603"/>
    <s v="Medium"/>
    <x v="1"/>
    <s v="Low Discount"/>
    <n v="3.9E-2"/>
    <n v="1004.1990000000001"/>
    <n v="20.900000000000002"/>
    <n v="29207.863278000001"/>
    <n v="8220.1041779999978"/>
  </r>
  <r>
    <x v="371"/>
    <x v="170"/>
    <x v="18"/>
    <s v="Q3-2025"/>
    <d v="2025-08-17T00:00:00"/>
    <d v="2025-08-17T00:00:00"/>
    <n v="25"/>
    <x v="0"/>
    <x v="0"/>
    <s v="Birmingham"/>
    <s v="Education"/>
    <x v="4"/>
    <x v="1"/>
    <x v="6"/>
    <x v="370"/>
    <n v="1142.06"/>
    <n v="1455"/>
    <x v="78"/>
    <b v="0"/>
    <n v="28"/>
    <n v="37562.28"/>
    <n v="31977.68"/>
    <n v="5584.5999999999985"/>
    <n v="0.1486757459877302"/>
    <s v="Medium"/>
    <x v="0"/>
    <s v="Low Discount"/>
    <n v="7.8E-2"/>
    <n v="1199.163"/>
    <n v="30.800000000000004"/>
    <n v="41318.508000000009"/>
    <n v="4384.2876000000033"/>
  </r>
  <r>
    <x v="372"/>
    <x v="315"/>
    <x v="31"/>
    <s v="Q2-2024"/>
    <d v="2024-05-07T00:00:00"/>
    <d v="2024-05-07T00:00:00"/>
    <n v="25"/>
    <x v="1"/>
    <x v="4"/>
    <s v="Johannesburg"/>
    <s v="Education"/>
    <x v="3"/>
    <x v="13"/>
    <x v="5"/>
    <x v="371"/>
    <n v="1376.51"/>
    <n v="1455.91"/>
    <x v="117"/>
    <b v="0"/>
    <n v="17"/>
    <n v="20171.63305"/>
    <n v="23400.67"/>
    <n v="-3229.0369499999979"/>
    <n v="-0.1600781127634085"/>
    <s v="Medium"/>
    <x v="0"/>
    <s v="Low Discount"/>
    <n v="0.185"/>
    <n v="1445.3355000000001"/>
    <n v="18.700000000000003"/>
    <n v="22188.796355000002"/>
    <n v="-4838.9774950000028"/>
  </r>
  <r>
    <x v="373"/>
    <x v="316"/>
    <x v="11"/>
    <s v="Q3-2025"/>
    <d v="2025-08-30T00:00:00"/>
    <d v="2025-08-30T00:00:00"/>
    <n v="20"/>
    <x v="2"/>
    <x v="3"/>
    <s v="San Francisco"/>
    <s v="Corporate"/>
    <x v="1"/>
    <x v="12"/>
    <x v="6"/>
    <x v="372"/>
    <n v="933.29"/>
    <n v="1456.81"/>
    <x v="148"/>
    <b v="0"/>
    <n v="13"/>
    <n v="16609.090810000002"/>
    <n v="12132.77"/>
    <n v="4476.3208100000011"/>
    <n v="0.26951028573489993"/>
    <s v="Medium"/>
    <x v="0"/>
    <s v="Low Discount"/>
    <n v="0.123"/>
    <n v="979.95450000000005"/>
    <n v="14.3"/>
    <n v="18269.999891000003"/>
    <n v="4256.6505410000009"/>
  </r>
  <r>
    <x v="374"/>
    <x v="317"/>
    <x v="13"/>
    <s v="Q1-2023"/>
    <d v="2023-02-21T00:00:00"/>
    <d v="2023-02-21T00:00:00"/>
    <n v="22"/>
    <x v="0"/>
    <x v="6"/>
    <s v="Munich"/>
    <s v="Small Business"/>
    <x v="1"/>
    <x v="14"/>
    <x v="1"/>
    <x v="373"/>
    <n v="1142.8800000000001"/>
    <n v="1465.29"/>
    <x v="79"/>
    <b v="0"/>
    <n v="7"/>
    <n v="8349.2224200000001"/>
    <n v="8000.1600000000008"/>
    <n v="349.06241999999929"/>
    <n v="4.1807775915017401E-2"/>
    <s v="Medium"/>
    <x v="0"/>
    <s v="Low Discount"/>
    <n v="0.186"/>
    <n v="1200.0240000000001"/>
    <n v="7.7000000000000011"/>
    <n v="9184.1446620000006"/>
    <n v="-56.040138000002116"/>
  </r>
  <r>
    <x v="375"/>
    <x v="318"/>
    <x v="8"/>
    <s v="Q1-2024"/>
    <d v="2024-02-21T00:00:00"/>
    <d v="2024-02-21T00:00:00"/>
    <n v="20"/>
    <x v="0"/>
    <x v="2"/>
    <s v="Paris"/>
    <s v="Small Business"/>
    <x v="1"/>
    <x v="13"/>
    <x v="1"/>
    <x v="374"/>
    <n v="656.2"/>
    <n v="1467.17"/>
    <x v="176"/>
    <b v="0"/>
    <n v="5"/>
    <n v="7203.8047000000006"/>
    <n v="3281"/>
    <n v="3922.8047000000006"/>
    <n v="0.54454623124360946"/>
    <s v="Medium"/>
    <x v="0"/>
    <s v="Low Discount"/>
    <n v="1.7999999999999999E-2"/>
    <n v="689.0100000000001"/>
    <n v="5.5"/>
    <n v="7924.1851700000007"/>
    <n v="4134.6301700000004"/>
  </r>
  <r>
    <x v="376"/>
    <x v="319"/>
    <x v="4"/>
    <s v="Q2-2024"/>
    <d v="2024-07-06T00:00:00"/>
    <d v="2024-07-06T00:00:00"/>
    <n v="21"/>
    <x v="2"/>
    <x v="11"/>
    <s v="Toronto"/>
    <s v="Enterprise"/>
    <x v="3"/>
    <x v="5"/>
    <x v="6"/>
    <x v="375"/>
    <n v="817.23"/>
    <n v="1467.17"/>
    <x v="137"/>
    <b v="0"/>
    <n v="9"/>
    <n v="9969.4201499999999"/>
    <n v="7355.07"/>
    <n v="2614.3501500000002"/>
    <n v="0.26223693160328893"/>
    <s v="Medium"/>
    <x v="0"/>
    <s v="High Discount"/>
    <n v="0.2"/>
    <n v="858.09150000000011"/>
    <n v="9.9"/>
    <n v="11619.986400000002"/>
    <n v="3124.8805499999999"/>
  </r>
  <r>
    <x v="377"/>
    <x v="160"/>
    <x v="2"/>
    <s v="Q2-2025"/>
    <d v="2025-06-30T00:00:00"/>
    <d v="2025-06-30T00:00:00"/>
    <n v="15"/>
    <x v="1"/>
    <x v="4"/>
    <s v="Johannesburg"/>
    <s v="Small Business"/>
    <x v="2"/>
    <x v="8"/>
    <x v="0"/>
    <x v="376"/>
    <n v="1487.59"/>
    <n v="1480.83"/>
    <x v="163"/>
    <b v="0"/>
    <n v="11"/>
    <n v="16142.527829999999"/>
    <n v="16363.49"/>
    <n v="-220.9621700000007"/>
    <n v="-1.3688201273492908E-2"/>
    <s v="Medium"/>
    <x v="0"/>
    <s v="Low Discount"/>
    <n v="8.9999999999999993E-3"/>
    <n v="1561.9694999999999"/>
    <n v="12.100000000000001"/>
    <n v="17756.780613000003"/>
    <n v="-1143.0503369999969"/>
  </r>
  <r>
    <x v="378"/>
    <x v="145"/>
    <x v="3"/>
    <s v="Q1-2024"/>
    <d v="2024-03-29T00:00:00"/>
    <d v="2024-03-29T00:00:00"/>
    <n v="18"/>
    <x v="2"/>
    <x v="3"/>
    <s v="New York"/>
    <s v="Corporate"/>
    <x v="0"/>
    <x v="7"/>
    <x v="0"/>
    <x v="377"/>
    <n v="710.98"/>
    <n v="1481.45"/>
    <x v="177"/>
    <b v="0"/>
    <n v="9"/>
    <n v="10519.776450000001"/>
    <n v="6398.82"/>
    <n v="4120.9564500000015"/>
    <n v="0.39173422264120461"/>
    <s v="Medium"/>
    <x v="0"/>
    <s v="High Discount"/>
    <n v="0.2"/>
    <n v="746.529"/>
    <n v="9.9"/>
    <n v="11733.084000000001"/>
    <n v="4342.4469000000008"/>
  </r>
  <r>
    <x v="379"/>
    <x v="320"/>
    <x v="10"/>
    <s v="Q4-2023"/>
    <d v="2023-10-29T00:00:00"/>
    <d v="2023-10-29T00:00:00"/>
    <n v="25"/>
    <x v="2"/>
    <x v="3"/>
    <s v="San Francisco"/>
    <s v="Small Business"/>
    <x v="3"/>
    <x v="11"/>
    <x v="2"/>
    <x v="378"/>
    <n v="1239.8399999999999"/>
    <n v="1482.75"/>
    <x v="70"/>
    <b v="0"/>
    <n v="4"/>
    <n v="5533.6230000000005"/>
    <n v="4959.3599999999997"/>
    <n v="574.26300000000083"/>
    <n v="0.10377703721413634"/>
    <s v="Medium"/>
    <x v="0"/>
    <s v="Low Discount"/>
    <n v="6.7000000000000004E-2"/>
    <n v="1301.8319999999999"/>
    <n v="4.4000000000000004"/>
    <n v="6086.9853000000012"/>
    <n v="358.92450000000099"/>
  </r>
  <r>
    <x v="380"/>
    <x v="5"/>
    <x v="5"/>
    <s v="Q3-2025"/>
    <d v="2025-09-25T00:00:00"/>
    <d v="2025-09-25T00:00:00"/>
    <n v="10"/>
    <x v="3"/>
    <x v="9"/>
    <s v="Delhi"/>
    <s v="Consumer"/>
    <x v="0"/>
    <x v="13"/>
    <x v="3"/>
    <x v="379"/>
    <n v="1488.91"/>
    <n v="1483.74"/>
    <x v="178"/>
    <b v="0"/>
    <n v="24"/>
    <n v="29627.320319999999"/>
    <n v="35733.840000000004"/>
    <n v="-6106.5196800000049"/>
    <n v="-0.20611110333450519"/>
    <s v="Medium"/>
    <x v="0"/>
    <s v="Low Discount"/>
    <n v="0.16800000000000001"/>
    <n v="1563.3555000000001"/>
    <n v="26.400000000000002"/>
    <n v="32590.052351999999"/>
    <n v="-8682.5328480000098"/>
  </r>
  <r>
    <x v="381"/>
    <x v="321"/>
    <x v="22"/>
    <s v="Q4-2024"/>
    <d v="2024-11-05T00:00:00"/>
    <d v="2024-11-05T00:00:00"/>
    <n v="1"/>
    <x v="0"/>
    <x v="0"/>
    <s v="London"/>
    <s v="Corporate"/>
    <x v="0"/>
    <x v="7"/>
    <x v="6"/>
    <x v="380"/>
    <n v="840.68"/>
    <n v="1493.53"/>
    <x v="33"/>
    <b v="0"/>
    <n v="27"/>
    <n v="40325.31"/>
    <n v="22698.359999999997"/>
    <n v="17626.95"/>
    <n v="0.43711877230454027"/>
    <s v="Medium"/>
    <x v="1"/>
    <s v="Low Discount"/>
    <n v="0"/>
    <n v="882.71399999999994"/>
    <n v="29.700000000000003"/>
    <n v="44357.841"/>
    <n v="18141.235199999999"/>
  </r>
  <r>
    <x v="382"/>
    <x v="142"/>
    <x v="9"/>
    <s v="Q3-2023"/>
    <d v="2023-09-12T00:00:00"/>
    <d v="2023-09-12T00:00:00"/>
    <n v="24"/>
    <x v="2"/>
    <x v="11"/>
    <s v="Vancouver"/>
    <s v="Enterprise"/>
    <x v="0"/>
    <x v="1"/>
    <x v="6"/>
    <x v="381"/>
    <n v="1183.95"/>
    <n v="1503.53"/>
    <x v="133"/>
    <b v="0"/>
    <n v="16"/>
    <n v="18258.868320000001"/>
    <n v="18943.2"/>
    <n v="-684.33167999999932"/>
    <n v="-3.7479413729623705E-2"/>
    <s v="Medium"/>
    <x v="0"/>
    <s v="High Discount"/>
    <n v="0.2"/>
    <n v="1243.1475"/>
    <n v="17.600000000000001"/>
    <n v="21169.702400000002"/>
    <n v="-709.6935999999987"/>
  </r>
  <r>
    <x v="383"/>
    <x v="232"/>
    <x v="29"/>
    <s v="Q3-2024"/>
    <d v="2024-08-08T00:00:00"/>
    <d v="2024-08-08T00:00:00"/>
    <n v="30"/>
    <x v="0"/>
    <x v="2"/>
    <s v="Marseille"/>
    <s v="Corporate"/>
    <x v="2"/>
    <x v="3"/>
    <x v="4"/>
    <x v="382"/>
    <n v="1062.3800000000001"/>
    <n v="1503.96"/>
    <x v="54"/>
    <b v="0"/>
    <n v="6"/>
    <n v="7399.4832000000006"/>
    <n v="6374.2800000000007"/>
    <n v="1025.2031999999999"/>
    <n v="0.13855064905073369"/>
    <s v="Medium"/>
    <x v="0"/>
    <s v="Low Discount"/>
    <n v="0.18"/>
    <n v="1115.4990000000003"/>
    <n v="6.6000000000000005"/>
    <n v="8139.431520000001"/>
    <n v="777.13811999999871"/>
  </r>
  <r>
    <x v="384"/>
    <x v="322"/>
    <x v="4"/>
    <s v="Q2-2024"/>
    <d v="2024-06-16T00:00:00"/>
    <d v="2024-06-16T00:00:00"/>
    <n v="12"/>
    <x v="3"/>
    <x v="10"/>
    <s v="Shanghai"/>
    <s v="Corporate"/>
    <x v="0"/>
    <x v="3"/>
    <x v="6"/>
    <x v="383"/>
    <n v="918.42"/>
    <n v="1511.71"/>
    <x v="113"/>
    <b v="0"/>
    <n v="8"/>
    <n v="11851.806399999999"/>
    <n v="7347.36"/>
    <n v="4504.4463999999998"/>
    <n v="0.38006412254590999"/>
    <s v="Medium"/>
    <x v="0"/>
    <s v="Low Discount"/>
    <n v="0.02"/>
    <n v="964.34100000000001"/>
    <n v="8.8000000000000007"/>
    <n v="13036.98704"/>
    <n v="4550.7862399999995"/>
  </r>
  <r>
    <x v="385"/>
    <x v="82"/>
    <x v="21"/>
    <s v="Q1-2024"/>
    <d v="2024-02-05T00:00:00"/>
    <d v="2024-02-05T00:00:00"/>
    <n v="23"/>
    <x v="0"/>
    <x v="6"/>
    <s v="Frankfurt"/>
    <s v="Education"/>
    <x v="2"/>
    <x v="4"/>
    <x v="5"/>
    <x v="384"/>
    <n v="1017.93"/>
    <n v="1529.14"/>
    <x v="179"/>
    <b v="0"/>
    <n v="12"/>
    <n v="15505.479599999999"/>
    <n v="12215.16"/>
    <n v="3290.3195999999989"/>
    <n v="0.21220366508366495"/>
    <s v="Medium"/>
    <x v="0"/>
    <s v="Low Discount"/>
    <n v="0.155"/>
    <n v="1068.8264999999999"/>
    <n v="13.200000000000001"/>
    <n v="17056.027560000002"/>
    <n v="2947.5177600000025"/>
  </r>
  <r>
    <x v="386"/>
    <x v="323"/>
    <x v="1"/>
    <s v="Q1-2023"/>
    <d v="2023-02-28T00:00:00"/>
    <d v="2023-02-28T00:00:00"/>
    <n v="23"/>
    <x v="2"/>
    <x v="3"/>
    <s v="Austin"/>
    <s v="Non-Profit"/>
    <x v="3"/>
    <x v="5"/>
    <x v="3"/>
    <x v="385"/>
    <n v="1214.49"/>
    <n v="1533.95"/>
    <x v="33"/>
    <b v="0"/>
    <n v="11"/>
    <n v="16873.45"/>
    <n v="13359.39"/>
    <n v="3514.0600000000013"/>
    <n v="0.20825972163369086"/>
    <s v="Medium"/>
    <x v="0"/>
    <s v="Low Discount"/>
    <n v="0"/>
    <n v="1275.2145"/>
    <n v="12.100000000000001"/>
    <n v="18560.795000000002"/>
    <n v="3130.6995499999994"/>
  </r>
  <r>
    <x v="387"/>
    <x v="324"/>
    <x v="8"/>
    <s v="Q1-2024"/>
    <d v="2024-02-09T00:00:00"/>
    <d v="2024-02-09T00:00:00"/>
    <n v="1"/>
    <x v="1"/>
    <x v="1"/>
    <s v="Mombasa"/>
    <s v="Corporate"/>
    <x v="2"/>
    <x v="6"/>
    <x v="4"/>
    <x v="386"/>
    <n v="1233.52"/>
    <n v="1543.76"/>
    <x v="162"/>
    <b v="0"/>
    <n v="13"/>
    <n v="17540.201119999998"/>
    <n v="16035.76"/>
    <n v="1504.4411199999977"/>
    <n v="8.5771030201277298E-2"/>
    <s v="Medium"/>
    <x v="1"/>
    <s v="Low Discount"/>
    <n v="0.126"/>
    <n v="1295.1960000000001"/>
    <n v="14.3"/>
    <n v="19294.221232"/>
    <n v="772.91843199999857"/>
  </r>
  <r>
    <x v="388"/>
    <x v="325"/>
    <x v="13"/>
    <s v="Q1-2023"/>
    <d v="2023-02-03T00:00:00"/>
    <d v="2023-02-03T00:00:00"/>
    <n v="14"/>
    <x v="1"/>
    <x v="1"/>
    <s v="Kisumu"/>
    <s v="Corporate"/>
    <x v="0"/>
    <x v="7"/>
    <x v="1"/>
    <x v="387"/>
    <n v="884.36"/>
    <n v="1545.34"/>
    <x v="142"/>
    <b v="0"/>
    <n v="41"/>
    <n v="47962.717579999997"/>
    <n v="36258.76"/>
    <n v="11703.957579999995"/>
    <n v="0.24402198562827965"/>
    <s v="Medium"/>
    <x v="0"/>
    <s v="High Discount"/>
    <n v="0.2"/>
    <n v="928.57800000000009"/>
    <n v="45.1"/>
    <n v="55755.867200000001"/>
    <n v="13876.999399999993"/>
  </r>
  <r>
    <x v="389"/>
    <x v="326"/>
    <x v="29"/>
    <s v="Q3-2024"/>
    <d v="2024-08-23T00:00:00"/>
    <d v="2024-08-23T00:00:00"/>
    <n v="26"/>
    <x v="3"/>
    <x v="9"/>
    <s v="Hyderabad"/>
    <s v="Corporate"/>
    <x v="0"/>
    <x v="3"/>
    <x v="1"/>
    <x v="388"/>
    <n v="1339.24"/>
    <n v="1558.89"/>
    <x v="100"/>
    <b v="0"/>
    <n v="24"/>
    <n v="30229.994880000006"/>
    <n v="32141.760000000002"/>
    <n v="-1911.7651199999964"/>
    <n v="-6.3240669659021656E-2"/>
    <s v="Medium"/>
    <x v="0"/>
    <s v="Low Discount"/>
    <n v="0.192"/>
    <n v="1406.202"/>
    <n v="26.400000000000002"/>
    <n v="33252.994368000007"/>
    <n v="-3870.7384319999983"/>
  </r>
  <r>
    <x v="390"/>
    <x v="327"/>
    <x v="27"/>
    <s v="Q1-2025"/>
    <d v="2025-02-06T00:00:00"/>
    <d v="2025-02-06T00:00:00"/>
    <n v="27"/>
    <x v="2"/>
    <x v="5"/>
    <s v="Brasília"/>
    <s v="Non-Profit"/>
    <x v="0"/>
    <x v="4"/>
    <x v="5"/>
    <x v="389"/>
    <n v="725.62"/>
    <n v="1559.19"/>
    <x v="134"/>
    <b v="0"/>
    <n v="12"/>
    <n v="15155.326800000003"/>
    <n v="8707.44"/>
    <n v="6447.886800000002"/>
    <n v="0.4254534979740589"/>
    <s v="Medium"/>
    <x v="0"/>
    <s v="Low Discount"/>
    <n v="0.19"/>
    <n v="761.90100000000007"/>
    <n v="13.200000000000001"/>
    <n v="16670.859480000003"/>
    <n v="6613.7662800000016"/>
  </r>
  <r>
    <x v="391"/>
    <x v="177"/>
    <x v="20"/>
    <s v="Q4-2024"/>
    <d v="2024-11-14T00:00:00"/>
    <d v="2024-11-14T00:00:00"/>
    <n v="22"/>
    <x v="3"/>
    <x v="7"/>
    <s v="Osaka"/>
    <s v="Non-Profit"/>
    <x v="2"/>
    <x v="4"/>
    <x v="3"/>
    <x v="390"/>
    <n v="1406.4"/>
    <n v="1564.76"/>
    <x v="117"/>
    <b v="0"/>
    <n v="17"/>
    <n v="21679.749799999998"/>
    <n v="23908.800000000003"/>
    <n v="-2229.0502000000051"/>
    <n v="-0.10281715520536151"/>
    <s v="Medium"/>
    <x v="0"/>
    <s v="Low Discount"/>
    <n v="0.185"/>
    <n v="1476.7200000000003"/>
    <n v="18.700000000000003"/>
    <n v="23847.72478"/>
    <n v="-3766.9392200000075"/>
  </r>
  <r>
    <x v="392"/>
    <x v="328"/>
    <x v="7"/>
    <s v="Q2-2023"/>
    <d v="2023-06-21T00:00:00"/>
    <d v="2023-06-21T00:00:00"/>
    <n v="28"/>
    <x v="2"/>
    <x v="3"/>
    <s v="Austin"/>
    <s v="Small Business"/>
    <x v="1"/>
    <x v="14"/>
    <x v="0"/>
    <x v="391"/>
    <n v="813.97"/>
    <n v="1568.83"/>
    <x v="180"/>
    <b v="0"/>
    <n v="15"/>
    <n v="23132.398349999999"/>
    <n v="12209.550000000001"/>
    <n v="10922.848349999998"/>
    <n v="0.47218832153649121"/>
    <s v="Medium"/>
    <x v="0"/>
    <s v="Low Discount"/>
    <n v="1.7000000000000001E-2"/>
    <n v="854.66850000000011"/>
    <n v="16.5"/>
    <n v="25445.638185"/>
    <n v="11343.607934999998"/>
  </r>
  <r>
    <x v="393"/>
    <x v="329"/>
    <x v="16"/>
    <s v="Q2-2023"/>
    <d v="2023-04-08T00:00:00"/>
    <d v="2023-04-08T00:00:00"/>
    <n v="2"/>
    <x v="1"/>
    <x v="8"/>
    <s v="Abuja"/>
    <s v="Small Business"/>
    <x v="1"/>
    <x v="12"/>
    <x v="0"/>
    <x v="392"/>
    <n v="720.35"/>
    <n v="1571.66"/>
    <x v="41"/>
    <b v="0"/>
    <n v="23"/>
    <n v="32280.324740000004"/>
    <n v="16568.05"/>
    <n v="15712.274740000004"/>
    <n v="0.48674463056222655"/>
    <s v="Medium"/>
    <x v="1"/>
    <s v="Low Discount"/>
    <n v="0.107"/>
    <n v="756.36750000000006"/>
    <n v="25.3"/>
    <n v="35508.357214000003"/>
    <n v="16372.259464000002"/>
  </r>
  <r>
    <x v="394"/>
    <x v="330"/>
    <x v="25"/>
    <s v="Q3-2024"/>
    <d v="2024-09-19T00:00:00"/>
    <d v="2024-09-19T00:00:00"/>
    <n v="23"/>
    <x v="0"/>
    <x v="6"/>
    <s v="Berlin"/>
    <s v="Small Business"/>
    <x v="2"/>
    <x v="0"/>
    <x v="0"/>
    <x v="393"/>
    <n v="1024.01"/>
    <n v="1580.97"/>
    <x v="181"/>
    <b v="0"/>
    <n v="27"/>
    <n v="41106.800969999997"/>
    <n v="27648.27"/>
    <n v="13458.530969999996"/>
    <n v="0.32740399769425299"/>
    <s v="Medium"/>
    <x v="0"/>
    <s v="Low Discount"/>
    <n v="3.6999999999999998E-2"/>
    <n v="1075.2105000000001"/>
    <n v="29.700000000000003"/>
    <n v="45217.481067000001"/>
    <n v="13283.729216999993"/>
  </r>
  <r>
    <x v="395"/>
    <x v="331"/>
    <x v="8"/>
    <s v="Q1-2024"/>
    <d v="2024-02-28T00:00:00"/>
    <d v="2024-02-28T00:00:00"/>
    <n v="22"/>
    <x v="1"/>
    <x v="1"/>
    <s v="Kisumu"/>
    <s v="Non-Profit"/>
    <x v="4"/>
    <x v="12"/>
    <x v="0"/>
    <x v="394"/>
    <n v="834.93"/>
    <n v="1588.53"/>
    <x v="162"/>
    <b v="0"/>
    <n v="6"/>
    <n v="8330.2513199999994"/>
    <n v="5009.58"/>
    <n v="3320.6713199999995"/>
    <n v="0.39862798761274343"/>
    <s v="Medium"/>
    <x v="0"/>
    <s v="Low Discount"/>
    <n v="0.126"/>
    <n v="876.67650000000003"/>
    <n v="6.6000000000000005"/>
    <n v="9163.2764520000001"/>
    <n v="3377.2115519999998"/>
  </r>
  <r>
    <x v="396"/>
    <x v="86"/>
    <x v="26"/>
    <s v="Q1-2023"/>
    <d v="2023-03-30T00:00:00"/>
    <d v="2023-03-30T00:00:00"/>
    <n v="16"/>
    <x v="1"/>
    <x v="4"/>
    <s v="Cape Town"/>
    <s v="Consumer"/>
    <x v="3"/>
    <x v="12"/>
    <x v="4"/>
    <x v="395"/>
    <n v="1309.77"/>
    <n v="1589.07"/>
    <x v="0"/>
    <b v="0"/>
    <n v="10"/>
    <n v="14269.848600000001"/>
    <n v="13097.7"/>
    <n v="1172.1486000000004"/>
    <n v="8.2141628328137997E-2"/>
    <s v="Medium"/>
    <x v="0"/>
    <s v="Low Discount"/>
    <n v="0.10199999999999999"/>
    <n v="1375.2585000000001"/>
    <n v="11"/>
    <n v="15696.83346"/>
    <n v="568.98995999999897"/>
  </r>
  <r>
    <x v="397"/>
    <x v="332"/>
    <x v="25"/>
    <s v="Q3-2024"/>
    <d v="2024-09-12T00:00:00"/>
    <d v="2024-09-12T00:00:00"/>
    <n v="25"/>
    <x v="3"/>
    <x v="9"/>
    <s v="Mumbai"/>
    <s v="Consumer"/>
    <x v="1"/>
    <x v="8"/>
    <x v="3"/>
    <x v="396"/>
    <n v="1154.03"/>
    <n v="1590.36"/>
    <x v="33"/>
    <b v="0"/>
    <n v="18"/>
    <n v="28626.48"/>
    <n v="20772.54"/>
    <n v="7853.9399999999987"/>
    <n v="0.27435926456902837"/>
    <s v="Medium"/>
    <x v="0"/>
    <s v="Low Discount"/>
    <n v="0"/>
    <n v="1211.7315000000001"/>
    <n v="19.8"/>
    <n v="31489.128000000001"/>
    <n v="7496.844299999997"/>
  </r>
  <r>
    <x v="398"/>
    <x v="38"/>
    <x v="21"/>
    <s v="Q1-2024"/>
    <d v="2024-01-30T00:00:00"/>
    <d v="2024-01-30T00:00:00"/>
    <n v="2"/>
    <x v="1"/>
    <x v="4"/>
    <s v="Cape Town"/>
    <s v="Consumer"/>
    <x v="2"/>
    <x v="6"/>
    <x v="2"/>
    <x v="397"/>
    <n v="798.45"/>
    <n v="1592.02"/>
    <x v="26"/>
    <b v="0"/>
    <n v="18"/>
    <n v="26765.040239999995"/>
    <n v="14372.1"/>
    <n v="12392.940239999994"/>
    <n v="0.46302714768494579"/>
    <s v="Medium"/>
    <x v="1"/>
    <s v="Low Discount"/>
    <n v="6.6000000000000003E-2"/>
    <n v="838.37250000000006"/>
    <n v="19.8"/>
    <n v="29441.544263999996"/>
    <n v="12841.768763999993"/>
  </r>
  <r>
    <x v="399"/>
    <x v="333"/>
    <x v="4"/>
    <s v="Q2-2024"/>
    <d v="2024-06-23T00:00:00"/>
    <d v="2024-06-23T00:00:00"/>
    <n v="18"/>
    <x v="1"/>
    <x v="1"/>
    <s v="Nairobi"/>
    <s v="Consumer"/>
    <x v="3"/>
    <x v="0"/>
    <x v="5"/>
    <x v="398"/>
    <n v="1208.74"/>
    <n v="1594.78"/>
    <x v="93"/>
    <b v="0"/>
    <n v="39"/>
    <n v="58526.831220000007"/>
    <n v="47140.86"/>
    <n v="11385.971220000007"/>
    <n v="0.19454275898178389"/>
    <s v="Medium"/>
    <x v="0"/>
    <s v="Low Discount"/>
    <n v="5.8999999999999997E-2"/>
    <n v="1269.1770000000001"/>
    <n v="42.900000000000006"/>
    <n v="64379.514342000017"/>
    <n v="9931.8210420000032"/>
  </r>
  <r>
    <x v="400"/>
    <x v="318"/>
    <x v="8"/>
    <s v="Q1-2024"/>
    <d v="2024-02-01T00:00:00"/>
    <d v="2024-02-01T00:00:00"/>
    <n v="0"/>
    <x v="2"/>
    <x v="3"/>
    <s v="Austin"/>
    <s v="Consumer"/>
    <x v="3"/>
    <x v="2"/>
    <x v="6"/>
    <x v="399"/>
    <n v="714.43"/>
    <n v="1595.52"/>
    <x v="17"/>
    <b v="0"/>
    <n v="14"/>
    <n v="18003.847679999999"/>
    <n v="10002.019999999999"/>
    <n v="8001.8276800000003"/>
    <n v="0.44445097638151093"/>
    <s v="Medium"/>
    <x v="1"/>
    <s v="Low Discount"/>
    <n v="0.19400000000000001"/>
    <n v="750.15149999999994"/>
    <n v="15.400000000000002"/>
    <n v="19804.232448000002"/>
    <n v="8251.8993480000026"/>
  </r>
  <r>
    <x v="401"/>
    <x v="334"/>
    <x v="15"/>
    <s v="Q2-2024"/>
    <d v="2024-05-12T00:00:00"/>
    <d v="2024-05-12T00:00:00"/>
    <n v="5"/>
    <x v="1"/>
    <x v="8"/>
    <s v="Abuja"/>
    <s v="Non-Profit"/>
    <x v="3"/>
    <x v="5"/>
    <x v="5"/>
    <x v="400"/>
    <n v="1163.99"/>
    <n v="1617.85"/>
    <x v="182"/>
    <b v="0"/>
    <n v="14"/>
    <n v="19773.362699999998"/>
    <n v="16295.86"/>
    <n v="3477.5026999999973"/>
    <n v="0.17586804797749436"/>
    <s v="Medium"/>
    <x v="1"/>
    <s v="Low Discount"/>
    <n v="0.127"/>
    <n v="1222.1895"/>
    <n v="15.400000000000002"/>
    <n v="21750.698970000001"/>
    <n v="2928.9806700000008"/>
  </r>
  <r>
    <x v="402"/>
    <x v="335"/>
    <x v="26"/>
    <s v="Q1-2023"/>
    <d v="2023-04-04T00:00:00"/>
    <d v="2023-04-04T00:00:00"/>
    <n v="22"/>
    <x v="1"/>
    <x v="4"/>
    <s v="Durban"/>
    <s v="Small Business"/>
    <x v="0"/>
    <x v="13"/>
    <x v="4"/>
    <x v="401"/>
    <n v="1113.7"/>
    <n v="1620.6"/>
    <x v="97"/>
    <b v="0"/>
    <n v="11"/>
    <n v="15348.702599999999"/>
    <n v="12250.7"/>
    <n v="3098.002599999998"/>
    <n v="0.20184133348182787"/>
    <s v="Medium"/>
    <x v="0"/>
    <s v="Low Discount"/>
    <n v="0.13900000000000001"/>
    <n v="1169.385"/>
    <n v="12.100000000000001"/>
    <n v="16883.57286"/>
    <n v="2734.0143599999992"/>
  </r>
  <r>
    <x v="403"/>
    <x v="281"/>
    <x v="6"/>
    <s v="Q2-2025"/>
    <d v="2025-05-17T00:00:00"/>
    <d v="2025-05-17T00:00:00"/>
    <n v="20"/>
    <x v="2"/>
    <x v="3"/>
    <s v="Austin"/>
    <s v="Corporate"/>
    <x v="2"/>
    <x v="9"/>
    <x v="3"/>
    <x v="402"/>
    <n v="932.26"/>
    <n v="1624.67"/>
    <x v="132"/>
    <b v="0"/>
    <n v="28"/>
    <n v="34800.431400000001"/>
    <n v="26103.279999999999"/>
    <n v="8697.1514000000025"/>
    <n v="0.24991504559337163"/>
    <s v="Medium"/>
    <x v="0"/>
    <s v="High Discount"/>
    <n v="0.2"/>
    <n v="978.87300000000005"/>
    <n v="30.800000000000004"/>
    <n v="40031.868800000011"/>
    <n v="9882.5804000000062"/>
  </r>
  <r>
    <x v="404"/>
    <x v="336"/>
    <x v="15"/>
    <s v="Q2-2024"/>
    <d v="2024-05-26T00:00:00"/>
    <d v="2024-05-26T00:00:00"/>
    <n v="25"/>
    <x v="0"/>
    <x v="6"/>
    <s v="Berlin"/>
    <s v="Non-Profit"/>
    <x v="0"/>
    <x v="4"/>
    <x v="1"/>
    <x v="403"/>
    <n v="930.71"/>
    <n v="1625.42"/>
    <x v="170"/>
    <b v="0"/>
    <n v="7"/>
    <n v="9807.7842799999999"/>
    <n v="6514.97"/>
    <n v="3292.8142799999996"/>
    <n v="0.33573477821231196"/>
    <s v="Medium"/>
    <x v="0"/>
    <s v="Low Discount"/>
    <n v="0.13800000000000001"/>
    <n v="977.24550000000011"/>
    <n v="7.7000000000000011"/>
    <n v="10788.562708000001"/>
    <n v="3263.7723579999993"/>
  </r>
  <r>
    <x v="405"/>
    <x v="337"/>
    <x v="5"/>
    <s v="Q3-2025"/>
    <d v="2025-10-05T00:00:00"/>
    <d v="2025-10-05T00:00:00"/>
    <n v="27"/>
    <x v="2"/>
    <x v="5"/>
    <s v="Rio de Janeiro"/>
    <s v="Education"/>
    <x v="4"/>
    <x v="8"/>
    <x v="0"/>
    <x v="404"/>
    <n v="660.78"/>
    <n v="1630.39"/>
    <x v="183"/>
    <b v="0"/>
    <n v="13"/>
    <n v="16574.544740000001"/>
    <n v="8590.14"/>
    <n v="7984.4047400000018"/>
    <n v="0.48172694123724097"/>
    <s v="Medium"/>
    <x v="0"/>
    <s v="High Discount"/>
    <n v="0.2"/>
    <n v="693.81899999999996"/>
    <n v="14.3"/>
    <n v="18651.661600000003"/>
    <n v="8730.0499000000036"/>
  </r>
  <r>
    <x v="406"/>
    <x v="338"/>
    <x v="0"/>
    <s v="Q4-2024"/>
    <d v="2025-01-12T00:00:00"/>
    <d v="2025-01-12T00:00:00"/>
    <n v="29"/>
    <x v="3"/>
    <x v="10"/>
    <s v="Shenzhen"/>
    <s v="Education"/>
    <x v="4"/>
    <x v="3"/>
    <x v="4"/>
    <x v="405"/>
    <n v="1412.15"/>
    <n v="1631.04"/>
    <x v="163"/>
    <b v="0"/>
    <n v="6"/>
    <n v="9698.1638399999993"/>
    <n v="8472.9000000000015"/>
    <n v="1225.2638399999978"/>
    <n v="0.12633977526203535"/>
    <s v="Medium"/>
    <x v="0"/>
    <s v="Low Discount"/>
    <n v="8.9999999999999993E-3"/>
    <n v="1482.7575000000002"/>
    <n v="6.6000000000000005"/>
    <n v="10667.980224000001"/>
    <n v="881.78072399999837"/>
  </r>
  <r>
    <x v="407"/>
    <x v="339"/>
    <x v="24"/>
    <s v="Q3-2023"/>
    <d v="2023-08-19T00:00:00"/>
    <d v="2023-08-19T00:00:00"/>
    <n v="26"/>
    <x v="1"/>
    <x v="1"/>
    <s v="Nairobi"/>
    <s v="Enterprise"/>
    <x v="3"/>
    <x v="7"/>
    <x v="2"/>
    <x v="406"/>
    <n v="661.45"/>
    <n v="1634.86"/>
    <x v="33"/>
    <b v="0"/>
    <n v="24"/>
    <n v="39236.639999999999"/>
    <n v="15874.800000000001"/>
    <n v="23361.839999999997"/>
    <n v="0.59540878118003981"/>
    <s v="Medium"/>
    <x v="0"/>
    <s v="Low Discount"/>
    <n v="0"/>
    <n v="694.52250000000004"/>
    <n v="26.400000000000002"/>
    <n v="43160.304000000004"/>
    <n v="24824.91"/>
  </r>
  <r>
    <x v="408"/>
    <x v="340"/>
    <x v="19"/>
    <s v="Q3-2024"/>
    <d v="2024-10-04T00:00:00"/>
    <d v="2024-10-04T00:00:00"/>
    <n v="28"/>
    <x v="1"/>
    <x v="4"/>
    <s v="Cape Town"/>
    <s v="Corporate"/>
    <x v="1"/>
    <x v="0"/>
    <x v="0"/>
    <x v="407"/>
    <n v="1174.17"/>
    <n v="1641.61"/>
    <x v="40"/>
    <b v="0"/>
    <n v="9"/>
    <n v="12972.00222"/>
    <n v="10567.53"/>
    <n v="2404.4722199999997"/>
    <n v="0.18535860380079394"/>
    <s v="High"/>
    <x v="0"/>
    <s v="Low Discount"/>
    <n v="0.122"/>
    <n v="1232.8785"/>
    <n v="9.9"/>
    <n v="14269.202442"/>
    <n v="2063.7052919999987"/>
  </r>
  <r>
    <x v="409"/>
    <x v="341"/>
    <x v="24"/>
    <s v="Q3-2023"/>
    <d v="2023-08-25T00:00:00"/>
    <d v="2023-08-25T00:00:00"/>
    <n v="30"/>
    <x v="2"/>
    <x v="3"/>
    <s v="New York"/>
    <s v="Consumer"/>
    <x v="0"/>
    <x v="7"/>
    <x v="2"/>
    <x v="408"/>
    <n v="1261.48"/>
    <n v="1643.18"/>
    <x v="11"/>
    <b v="0"/>
    <n v="23"/>
    <n v="32086.37586"/>
    <n v="29014.04"/>
    <n v="3072.3358599999992"/>
    <n v="9.5752037357079045E-2"/>
    <s v="High"/>
    <x v="0"/>
    <s v="Low Discount"/>
    <n v="0.151"/>
    <n v="1324.5540000000001"/>
    <n v="25.3"/>
    <n v="35295.013445999997"/>
    <n v="1783.7972459999946"/>
  </r>
  <r>
    <x v="410"/>
    <x v="24"/>
    <x v="16"/>
    <s v="Q2-2023"/>
    <d v="2023-05-02T00:00:00"/>
    <d v="2023-05-02T00:00:00"/>
    <n v="19"/>
    <x v="2"/>
    <x v="11"/>
    <s v="Montreal"/>
    <s v="Consumer"/>
    <x v="3"/>
    <x v="10"/>
    <x v="0"/>
    <x v="409"/>
    <n v="671.05"/>
    <n v="1645.48"/>
    <x v="9"/>
    <b v="0"/>
    <n v="6"/>
    <n v="8520.2954399999999"/>
    <n v="4026.2999999999997"/>
    <n v="4493.9954400000006"/>
    <n v="0.52744596377517172"/>
    <s v="High"/>
    <x v="0"/>
    <s v="Low Discount"/>
    <n v="0.13700000000000001"/>
    <n v="704.60249999999996"/>
    <n v="6.6000000000000005"/>
    <n v="9372.3249840000008"/>
    <n v="4721.9484840000005"/>
  </r>
  <r>
    <x v="411"/>
    <x v="136"/>
    <x v="4"/>
    <s v="Q2-2024"/>
    <d v="2024-06-25T00:00:00"/>
    <d v="2024-06-25T00:00:00"/>
    <n v="2"/>
    <x v="0"/>
    <x v="0"/>
    <s v="Birmingham"/>
    <s v="Small Business"/>
    <x v="1"/>
    <x v="5"/>
    <x v="2"/>
    <x v="410"/>
    <n v="951.44"/>
    <n v="1646.43"/>
    <x v="152"/>
    <b v="0"/>
    <n v="24"/>
    <n v="35167.7448"/>
    <n v="22834.560000000001"/>
    <n v="12333.184799999999"/>
    <n v="0.35069592520473475"/>
    <s v="High"/>
    <x v="1"/>
    <s v="Low Discount"/>
    <n v="0.11"/>
    <n v="999.01200000000006"/>
    <n v="26.400000000000002"/>
    <n v="38684.519280000008"/>
    <n v="12310.602480000005"/>
  </r>
  <r>
    <x v="412"/>
    <x v="249"/>
    <x v="21"/>
    <s v="Q1-2024"/>
    <d v="2024-01-27T00:00:00"/>
    <d v="2024-01-27T00:00:00"/>
    <n v="2"/>
    <x v="2"/>
    <x v="5"/>
    <s v="São Paulo"/>
    <s v="Non-Profit"/>
    <x v="1"/>
    <x v="9"/>
    <x v="5"/>
    <x v="411"/>
    <n v="1410.97"/>
    <n v="1650.75"/>
    <x v="35"/>
    <b v="0"/>
    <n v="6"/>
    <n v="8567.3924999999999"/>
    <n v="8465.82"/>
    <n v="101.57250000000022"/>
    <n v="1.1855707556295596E-2"/>
    <s v="High"/>
    <x v="1"/>
    <s v="Low Discount"/>
    <n v="0.13500000000000001"/>
    <n v="1481.5185000000001"/>
    <n v="6.6000000000000005"/>
    <n v="9424.1317500000005"/>
    <n v="-353.89035000000149"/>
  </r>
  <r>
    <x v="413"/>
    <x v="330"/>
    <x v="25"/>
    <s v="Q3-2024"/>
    <d v="2024-09-18T00:00:00"/>
    <d v="2024-09-18T00:00:00"/>
    <n v="22"/>
    <x v="3"/>
    <x v="9"/>
    <s v="Delhi"/>
    <s v="Consumer"/>
    <x v="2"/>
    <x v="4"/>
    <x v="4"/>
    <x v="412"/>
    <n v="896.75"/>
    <n v="1651.14"/>
    <x v="136"/>
    <b v="0"/>
    <n v="15"/>
    <n v="24147.922500000001"/>
    <n v="13451.25"/>
    <n v="10696.672500000001"/>
    <n v="0.44296450346815552"/>
    <s v="High"/>
    <x v="0"/>
    <s v="Low Discount"/>
    <n v="2.5000000000000001E-2"/>
    <n v="941.58750000000009"/>
    <n v="16.5"/>
    <n v="26562.714749999999"/>
    <n v="11026.520999999997"/>
  </r>
  <r>
    <x v="414"/>
    <x v="342"/>
    <x v="5"/>
    <s v="Q3-2025"/>
    <d v="2025-09-30T00:00:00"/>
    <d v="2025-09-30T00:00:00"/>
    <n v="18"/>
    <x v="3"/>
    <x v="7"/>
    <s v="Nagoya"/>
    <s v="Non-Profit"/>
    <x v="1"/>
    <x v="6"/>
    <x v="0"/>
    <x v="413"/>
    <n v="1212.99"/>
    <n v="1653.64"/>
    <x v="41"/>
    <b v="0"/>
    <n v="8"/>
    <n v="11813.604160000001"/>
    <n v="9703.92"/>
    <n v="2109.6841600000007"/>
    <n v="0.17858090819931455"/>
    <s v="High"/>
    <x v="0"/>
    <s v="Low Discount"/>
    <n v="0.107"/>
    <n v="1273.6395"/>
    <n v="8.8000000000000007"/>
    <n v="12994.964576000002"/>
    <n v="1786.9369760000009"/>
  </r>
  <r>
    <x v="415"/>
    <x v="187"/>
    <x v="15"/>
    <s v="Q2-2024"/>
    <d v="2024-05-22T00:00:00"/>
    <d v="2024-05-22T00:00:00"/>
    <n v="4"/>
    <x v="1"/>
    <x v="1"/>
    <s v="Nairobi"/>
    <s v="Corporate"/>
    <x v="2"/>
    <x v="2"/>
    <x v="2"/>
    <x v="414"/>
    <n v="857.42"/>
    <n v="1658.92"/>
    <x v="40"/>
    <b v="0"/>
    <n v="9"/>
    <n v="13108.78584"/>
    <n v="7716.78"/>
    <n v="5392.0058400000007"/>
    <n v="0.41132763215544305"/>
    <s v="High"/>
    <x v="1"/>
    <s v="Low Discount"/>
    <n v="0.122"/>
    <n v="900.29099999999994"/>
    <n v="9.9"/>
    <n v="14419.664424000001"/>
    <n v="5506.7835240000004"/>
  </r>
  <r>
    <x v="416"/>
    <x v="343"/>
    <x v="6"/>
    <s v="Q2-2025"/>
    <d v="2025-04-11T00:00:00"/>
    <d v="2025-04-11T00:00:00"/>
    <n v="4"/>
    <x v="0"/>
    <x v="2"/>
    <s v="Lyon"/>
    <s v="Education"/>
    <x v="0"/>
    <x v="10"/>
    <x v="1"/>
    <x v="415"/>
    <n v="754.77"/>
    <n v="1666.18"/>
    <x v="97"/>
    <b v="0"/>
    <n v="14"/>
    <n v="20084.133719999998"/>
    <n v="10566.779999999999"/>
    <n v="9517.3537199999992"/>
    <n v="0.47387424584424648"/>
    <s v="High"/>
    <x v="1"/>
    <s v="Low Discount"/>
    <n v="0.13900000000000001"/>
    <n v="792.50850000000003"/>
    <n v="15.400000000000002"/>
    <n v="22092.547092000001"/>
    <n v="9887.9161919999988"/>
  </r>
  <r>
    <x v="417"/>
    <x v="344"/>
    <x v="31"/>
    <s v="Q2-2024"/>
    <d v="2024-05-19T00:00:00"/>
    <d v="2024-05-19T00:00:00"/>
    <n v="20"/>
    <x v="0"/>
    <x v="6"/>
    <s v="Frankfurt"/>
    <s v="Enterprise"/>
    <x v="1"/>
    <x v="8"/>
    <x v="5"/>
    <x v="416"/>
    <n v="668.97"/>
    <n v="1667.44"/>
    <x v="57"/>
    <b v="0"/>
    <n v="15"/>
    <n v="24161.205600000001"/>
    <n v="10034.550000000001"/>
    <n v="14126.6556"/>
    <n v="0.58468339013679016"/>
    <s v="High"/>
    <x v="0"/>
    <s v="Low Discount"/>
    <n v="3.4000000000000002E-2"/>
    <n v="702.41850000000011"/>
    <n v="16.5"/>
    <n v="26577.326160000001"/>
    <n v="14987.420909999999"/>
  </r>
  <r>
    <x v="418"/>
    <x v="104"/>
    <x v="1"/>
    <s v="Q1-2023"/>
    <d v="2023-03-18T00:00:00"/>
    <d v="2023-03-18T00:00:00"/>
    <n v="23"/>
    <x v="3"/>
    <x v="10"/>
    <s v="Beijing"/>
    <s v="Education"/>
    <x v="3"/>
    <x v="12"/>
    <x v="6"/>
    <x v="417"/>
    <n v="770.11"/>
    <n v="1667.82"/>
    <x v="184"/>
    <b v="0"/>
    <n v="7"/>
    <n v="10869.182940000001"/>
    <n v="5390.77"/>
    <n v="5478.4129400000002"/>
    <n v="0.50403171703355287"/>
    <s v="High"/>
    <x v="0"/>
    <s v="Low Discount"/>
    <n v="6.9000000000000006E-2"/>
    <n v="808.6155"/>
    <n v="7.7000000000000011"/>
    <n v="11956.101234000002"/>
    <n v="5729.7618840000005"/>
  </r>
  <r>
    <x v="419"/>
    <x v="345"/>
    <x v="31"/>
    <s v="Q2-2024"/>
    <d v="2024-04-25T00:00:00"/>
    <d v="2024-04-25T00:00:00"/>
    <n v="19"/>
    <x v="3"/>
    <x v="10"/>
    <s v="Shanghai"/>
    <s v="Corporate"/>
    <x v="0"/>
    <x v="12"/>
    <x v="4"/>
    <x v="418"/>
    <n v="1366.48"/>
    <n v="1678.14"/>
    <x v="138"/>
    <b v="0"/>
    <n v="10"/>
    <n v="14197.064399999999"/>
    <n v="13664.8"/>
    <n v="532.26440000000002"/>
    <n v="3.7491159087790014E-2"/>
    <s v="High"/>
    <x v="0"/>
    <s v="Low Discount"/>
    <n v="0.154"/>
    <n v="1434.8040000000001"/>
    <n v="11"/>
    <n v="15616.770839999999"/>
    <n v="-166.07316000000174"/>
  </r>
  <r>
    <x v="420"/>
    <x v="346"/>
    <x v="32"/>
    <s v="Q4-2023"/>
    <d v="2024-01-20T00:00:00"/>
    <d v="2024-01-20T00:00:00"/>
    <n v="22"/>
    <x v="1"/>
    <x v="1"/>
    <s v="Kisumu"/>
    <s v="Corporate"/>
    <x v="2"/>
    <x v="5"/>
    <x v="3"/>
    <x v="419"/>
    <n v="1395.49"/>
    <n v="1679.42"/>
    <x v="139"/>
    <b v="0"/>
    <n v="12"/>
    <n v="16061.972880000001"/>
    <n v="16745.88"/>
    <n v="-683.90711999999985"/>
    <n v="-4.2579272490964375E-2"/>
    <s v="High"/>
    <x v="0"/>
    <s v="High Discount"/>
    <n v="0.2"/>
    <n v="1465.2645"/>
    <n v="13.200000000000001"/>
    <n v="17734.675200000001"/>
    <n v="-1606.8162000000011"/>
  </r>
  <r>
    <x v="421"/>
    <x v="258"/>
    <x v="3"/>
    <s v="Q1-2024"/>
    <d v="2024-03-26T00:00:00"/>
    <d v="2024-03-26T00:00:00"/>
    <n v="17"/>
    <x v="2"/>
    <x v="3"/>
    <s v="San Francisco"/>
    <s v="Education"/>
    <x v="2"/>
    <x v="1"/>
    <x v="3"/>
    <x v="420"/>
    <n v="1137.4100000000001"/>
    <n v="1680.93"/>
    <x v="165"/>
    <b v="0"/>
    <n v="9"/>
    <n v="11285.764020000001"/>
    <n v="10236.69"/>
    <n v="1049.07402"/>
    <n v="9.2955516183121464E-2"/>
    <s v="High"/>
    <x v="0"/>
    <s v="High Discount"/>
    <n v="0.2"/>
    <n v="1194.2805000000001"/>
    <n v="9.9"/>
    <n v="13312.965600000001"/>
    <n v="1489.5886499999997"/>
  </r>
  <r>
    <x v="422"/>
    <x v="347"/>
    <x v="12"/>
    <s v="Q1-2025"/>
    <d v="2025-03-17T00:00:00"/>
    <d v="2025-03-17T00:00:00"/>
    <n v="20"/>
    <x v="2"/>
    <x v="3"/>
    <s v="San Francisco"/>
    <s v="Non-Profit"/>
    <x v="1"/>
    <x v="2"/>
    <x v="3"/>
    <x v="421"/>
    <n v="1205.26"/>
    <n v="1696.35"/>
    <x v="185"/>
    <b v="0"/>
    <n v="6"/>
    <n v="9984.7160999999996"/>
    <n v="7231.5599999999995"/>
    <n v="2753.1561000000002"/>
    <n v="0.27573704374028224"/>
    <s v="High"/>
    <x v="0"/>
    <s v="Low Discount"/>
    <n v="1.9E-2"/>
    <n v="1265.5230000000001"/>
    <n v="6.6000000000000005"/>
    <n v="10983.18771"/>
    <n v="2630.7359099999994"/>
  </r>
  <r>
    <x v="423"/>
    <x v="348"/>
    <x v="12"/>
    <s v="Q1-2025"/>
    <d v="2025-02-15T00:00:00"/>
    <d v="2025-03-03T00:00:00"/>
    <n v="14"/>
    <x v="2"/>
    <x v="11"/>
    <s v="Toronto"/>
    <s v="Small Business"/>
    <x v="0"/>
    <x v="0"/>
    <x v="4"/>
    <x v="422"/>
    <n v="1133.47"/>
    <n v="1698.75"/>
    <x v="29"/>
    <b v="0"/>
    <n v="5"/>
    <n v="8128.5187499999993"/>
    <n v="5667.35"/>
    <n v="2461.1687499999989"/>
    <n v="0.30278194904821976"/>
    <s v="High"/>
    <x v="0"/>
    <s v="Low Discount"/>
    <n v="4.2999999999999997E-2"/>
    <n v="1190.1435000000001"/>
    <n v="5.5"/>
    <n v="8941.3706249999996"/>
    <n v="2395.5813749999988"/>
  </r>
  <r>
    <x v="424"/>
    <x v="349"/>
    <x v="10"/>
    <s v="Q4-2023"/>
    <d v="2023-10-29T00:00:00"/>
    <d v="2023-10-29T00:00:00"/>
    <n v="17"/>
    <x v="3"/>
    <x v="7"/>
    <s v="Nagoya"/>
    <s v="Non-Profit"/>
    <x v="2"/>
    <x v="2"/>
    <x v="3"/>
    <x v="423"/>
    <n v="1102.19"/>
    <n v="1711.16"/>
    <x v="11"/>
    <b v="0"/>
    <n v="10"/>
    <n v="14527.7484"/>
    <n v="11021.900000000001"/>
    <n v="3505.8483999999989"/>
    <n v="0.24132083675127516"/>
    <s v="High"/>
    <x v="0"/>
    <s v="Low Discount"/>
    <n v="0.151"/>
    <n v="1157.2995000000001"/>
    <n v="11"/>
    <n v="15980.52324"/>
    <n v="3250.2287400000005"/>
  </r>
  <r>
    <x v="425"/>
    <x v="350"/>
    <x v="11"/>
    <s v="Q3-2025"/>
    <d v="2025-08-26T00:00:00"/>
    <d v="2025-08-26T00:00:00"/>
    <n v="6"/>
    <x v="2"/>
    <x v="3"/>
    <s v="New York"/>
    <s v="Corporate"/>
    <x v="0"/>
    <x v="7"/>
    <x v="1"/>
    <x v="424"/>
    <n v="1304.95"/>
    <n v="1712.03"/>
    <x v="5"/>
    <b v="0"/>
    <n v="8"/>
    <n v="10792.637119999999"/>
    <n v="10439.6"/>
    <n v="353.03711999999905"/>
    <n v="3.2710922833287949E-2"/>
    <s v="High"/>
    <x v="1"/>
    <s v="High Discount"/>
    <n v="0.2"/>
    <n v="1370.1975000000002"/>
    <n v="8.8000000000000007"/>
    <n v="12052.691200000001"/>
    <n v="-5.0468000000018947"/>
  </r>
  <r>
    <x v="426"/>
    <x v="351"/>
    <x v="3"/>
    <s v="Q1-2024"/>
    <d v="2024-04-06T00:00:00"/>
    <d v="2024-04-06T00:00:00"/>
    <n v="24"/>
    <x v="1"/>
    <x v="8"/>
    <s v="Abuja"/>
    <s v="Consumer"/>
    <x v="3"/>
    <x v="5"/>
    <x v="4"/>
    <x v="425"/>
    <n v="1232.78"/>
    <n v="1731.75"/>
    <x v="90"/>
    <b v="0"/>
    <n v="16"/>
    <n v="25131.155999999999"/>
    <n v="19724.48"/>
    <n v="5406.6759999999995"/>
    <n v="0.21513837246484005"/>
    <s v="High"/>
    <x v="0"/>
    <s v="Low Discount"/>
    <n v="9.2999999999999999E-2"/>
    <n v="1294.4190000000001"/>
    <n v="17.600000000000001"/>
    <n v="27644.2716"/>
    <n v="4862.497199999998"/>
  </r>
  <r>
    <x v="427"/>
    <x v="78"/>
    <x v="2"/>
    <s v="Q2-2025"/>
    <d v="2025-07-10T00:00:00"/>
    <d v="2025-07-10T00:00:00"/>
    <n v="16"/>
    <x v="3"/>
    <x v="10"/>
    <s v="Shanghai"/>
    <s v="Enterprise"/>
    <x v="2"/>
    <x v="9"/>
    <x v="4"/>
    <x v="426"/>
    <n v="757.19"/>
    <n v="1735.41"/>
    <x v="123"/>
    <b v="0"/>
    <n v="8"/>
    <n v="11995.153920000001"/>
    <n v="6057.52"/>
    <n v="5937.6339200000002"/>
    <n v="0.4950027285685718"/>
    <s v="High"/>
    <x v="0"/>
    <s v="Low Discount"/>
    <n v="0.13600000000000001"/>
    <n v="795.04950000000008"/>
    <n v="8.8000000000000007"/>
    <n v="13194.669312000002"/>
    <n v="6198.2337120000002"/>
  </r>
  <r>
    <x v="428"/>
    <x v="352"/>
    <x v="0"/>
    <s v="Q4-2024"/>
    <d v="2025-01-14T00:00:00"/>
    <d v="2025-01-14T00:00:00"/>
    <n v="25"/>
    <x v="3"/>
    <x v="9"/>
    <s v="Delhi"/>
    <s v="Small Business"/>
    <x v="0"/>
    <x v="7"/>
    <x v="6"/>
    <x v="427"/>
    <n v="1361.34"/>
    <n v="1737.9"/>
    <x v="186"/>
    <b v="0"/>
    <n v="14"/>
    <n v="22457.143800000002"/>
    <n v="19058.759999999998"/>
    <n v="3398.3838000000032"/>
    <n v="0.15132751654731813"/>
    <s v="High"/>
    <x v="0"/>
    <s v="Low Discount"/>
    <n v="7.6999999999999999E-2"/>
    <n v="1429.4069999999999"/>
    <n v="15.400000000000002"/>
    <n v="24702.858180000007"/>
    <n v="2689.9903800000029"/>
  </r>
  <r>
    <x v="429"/>
    <x v="353"/>
    <x v="21"/>
    <s v="Q1-2024"/>
    <d v="2024-02-02T00:00:00"/>
    <d v="2024-02-02T00:00:00"/>
    <n v="22"/>
    <x v="1"/>
    <x v="4"/>
    <s v="Durban"/>
    <s v="Consumer"/>
    <x v="4"/>
    <x v="12"/>
    <x v="1"/>
    <x v="428"/>
    <n v="1206.2"/>
    <n v="1759.79"/>
    <x v="33"/>
    <b v="0"/>
    <n v="6"/>
    <n v="10558.74"/>
    <n v="7237.2000000000007"/>
    <n v="3321.5399999999991"/>
    <n v="0.31457730751964713"/>
    <s v="High"/>
    <x v="0"/>
    <s v="Low Discount"/>
    <n v="0"/>
    <n v="1266.51"/>
    <n v="6.6000000000000005"/>
    <n v="11614.614000000001"/>
    <n v="3255.648000000001"/>
  </r>
  <r>
    <x v="430"/>
    <x v="354"/>
    <x v="19"/>
    <s v="Q3-2024"/>
    <d v="2024-10-02T00:00:00"/>
    <d v="2024-10-02T00:00:00"/>
    <n v="19"/>
    <x v="1"/>
    <x v="1"/>
    <s v="Mombasa"/>
    <s v="Small Business"/>
    <x v="0"/>
    <x v="7"/>
    <x v="3"/>
    <x v="429"/>
    <n v="1338.99"/>
    <n v="1765.76"/>
    <x v="162"/>
    <b v="0"/>
    <n v="24"/>
    <n v="37038.581760000001"/>
    <n v="32135.760000000002"/>
    <n v="4902.8217599999989"/>
    <n v="0.1323706666677725"/>
    <s v="High"/>
    <x v="0"/>
    <s v="Low Discount"/>
    <n v="0.126"/>
    <n v="1405.9395000000002"/>
    <n v="26.400000000000002"/>
    <n v="40742.439936000002"/>
    <n v="3625.6371359999976"/>
  </r>
  <r>
    <x v="431"/>
    <x v="339"/>
    <x v="24"/>
    <s v="Q3-2023"/>
    <d v="2023-08-13T00:00:00"/>
    <d v="2023-08-13T00:00:00"/>
    <n v="20"/>
    <x v="2"/>
    <x v="11"/>
    <s v="Montreal"/>
    <s v="Education"/>
    <x v="2"/>
    <x v="8"/>
    <x v="0"/>
    <x v="430"/>
    <n v="1082.3800000000001"/>
    <n v="1766.55"/>
    <x v="187"/>
    <b v="0"/>
    <n v="20"/>
    <n v="29536.715999999997"/>
    <n v="21647.600000000002"/>
    <n v="7889.1159999999945"/>
    <n v="0.26709523157550741"/>
    <s v="High"/>
    <x v="0"/>
    <s v="Low Discount"/>
    <n v="0.16400000000000001"/>
    <n v="1136.4990000000003"/>
    <n v="22"/>
    <n v="32490.387599999995"/>
    <n v="7487.4095999999881"/>
  </r>
  <r>
    <x v="432"/>
    <x v="152"/>
    <x v="24"/>
    <s v="Q3-2023"/>
    <d v="2023-07-08T00:00:00"/>
    <d v="2023-07-08T00:00:00"/>
    <n v="7"/>
    <x v="1"/>
    <x v="8"/>
    <s v="Port Harcourt"/>
    <s v="Corporate"/>
    <x v="0"/>
    <x v="13"/>
    <x v="5"/>
    <x v="431"/>
    <n v="834.26"/>
    <n v="1780.56"/>
    <x v="50"/>
    <b v="0"/>
    <n v="47"/>
    <n v="82514.711519999997"/>
    <n v="39210.22"/>
    <n v="43304.491519999996"/>
    <n v="0.5248093427497933"/>
    <s v="High"/>
    <x v="1"/>
    <s v="Low Discount"/>
    <n v="1.4E-2"/>
    <n v="875.97300000000007"/>
    <n v="51.7"/>
    <n v="90766.182671999995"/>
    <n v="45478.378571999987"/>
  </r>
  <r>
    <x v="433"/>
    <x v="355"/>
    <x v="20"/>
    <s v="Q4-2024"/>
    <d v="2024-10-11T00:00:00"/>
    <d v="2024-10-11T00:00:00"/>
    <n v="1"/>
    <x v="0"/>
    <x v="0"/>
    <s v="Manchester"/>
    <s v="Non-Profit"/>
    <x v="3"/>
    <x v="5"/>
    <x v="4"/>
    <x v="432"/>
    <n v="1389.46"/>
    <n v="1784.7"/>
    <x v="160"/>
    <b v="0"/>
    <n v="33"/>
    <n v="50296.415400000005"/>
    <n v="45852.18"/>
    <n v="4444.235400000005"/>
    <n v="8.836087750301197E-2"/>
    <s v="High"/>
    <x v="1"/>
    <s v="Low Discount"/>
    <n v="0.14599999999999999"/>
    <n v="1458.933"/>
    <n v="36.300000000000004"/>
    <n v="55326.056940000009"/>
    <n v="2366.7890400000033"/>
  </r>
  <r>
    <x v="434"/>
    <x v="356"/>
    <x v="4"/>
    <s v="Q2-2024"/>
    <d v="2024-07-21T00:00:00"/>
    <d v="2024-07-21T00:00:00"/>
    <n v="21"/>
    <x v="1"/>
    <x v="1"/>
    <s v="Kisumu"/>
    <s v="Small Business"/>
    <x v="0"/>
    <x v="12"/>
    <x v="5"/>
    <x v="433"/>
    <n v="753.43"/>
    <n v="1787.2"/>
    <x v="188"/>
    <b v="0"/>
    <n v="9"/>
    <n v="14910.6096"/>
    <n v="6780.87"/>
    <n v="8129.7395999999999"/>
    <n v="0.54523187301476927"/>
    <s v="High"/>
    <x v="0"/>
    <s v="Low Discount"/>
    <n v="7.2999999999999995E-2"/>
    <n v="791.10149999999999"/>
    <n v="9.9"/>
    <n v="16401.670560000002"/>
    <n v="8569.7657100000033"/>
  </r>
  <r>
    <x v="435"/>
    <x v="357"/>
    <x v="24"/>
    <s v="Q3-2023"/>
    <d v="2023-08-01T00:00:00"/>
    <d v="2023-08-01T00:00:00"/>
    <n v="22"/>
    <x v="0"/>
    <x v="2"/>
    <s v="Marseille"/>
    <s v="Consumer"/>
    <x v="1"/>
    <x v="4"/>
    <x v="6"/>
    <x v="434"/>
    <n v="1303.56"/>
    <n v="1791.37"/>
    <x v="162"/>
    <b v="0"/>
    <n v="22"/>
    <n v="34444.462359999998"/>
    <n v="28678.32"/>
    <n v="5766.142359999998"/>
    <n v="0.16740404596055358"/>
    <s v="High"/>
    <x v="0"/>
    <s v="Low Discount"/>
    <n v="0.126"/>
    <n v="1368.7380000000001"/>
    <n v="24.200000000000003"/>
    <n v="37888.908596000001"/>
    <n v="4765.4489959999992"/>
  </r>
  <r>
    <x v="436"/>
    <x v="358"/>
    <x v="11"/>
    <s v="Q3-2025"/>
    <d v="2025-08-08T00:00:00"/>
    <d v="2025-08-08T00:00:00"/>
    <n v="6"/>
    <x v="3"/>
    <x v="7"/>
    <s v="Osaka"/>
    <s v="Consumer"/>
    <x v="2"/>
    <x v="9"/>
    <x v="5"/>
    <x v="435"/>
    <n v="1225.94"/>
    <n v="1793.08"/>
    <x v="123"/>
    <b v="0"/>
    <n v="22"/>
    <n v="34082.86464"/>
    <n v="26970.68"/>
    <n v="7112.1846399999995"/>
    <n v="0.20867332353434478"/>
    <s v="High"/>
    <x v="1"/>
    <s v="Low Discount"/>
    <n v="0.13600000000000001"/>
    <n v="1287.2370000000001"/>
    <n v="24.200000000000003"/>
    <n v="37491.151104000004"/>
    <n v="6340.0157039999976"/>
  </r>
  <r>
    <x v="437"/>
    <x v="104"/>
    <x v="1"/>
    <s v="Q1-2023"/>
    <d v="2023-03-25T00:00:00"/>
    <d v="2023-03-25T00:00:00"/>
    <n v="30"/>
    <x v="2"/>
    <x v="11"/>
    <s v="Montreal"/>
    <s v="Enterprise"/>
    <x v="4"/>
    <x v="0"/>
    <x v="3"/>
    <x v="436"/>
    <n v="1242.6600000000001"/>
    <n v="1794.07"/>
    <x v="47"/>
    <b v="0"/>
    <n v="16"/>
    <n v="26150.364320000001"/>
    <n v="19882.560000000001"/>
    <n v="6267.8043199999993"/>
    <n v="0.23968325042440553"/>
    <s v="High"/>
    <x v="0"/>
    <s v="Low Discount"/>
    <n v="8.8999999999999996E-2"/>
    <n v="1304.7930000000001"/>
    <n v="17.600000000000001"/>
    <n v="28765.400752000001"/>
    <n v="5801.0439519999964"/>
  </r>
  <r>
    <x v="438"/>
    <x v="359"/>
    <x v="4"/>
    <s v="Q2-2024"/>
    <d v="2024-06-11T00:00:00"/>
    <d v="2024-06-11T00:00:00"/>
    <n v="1"/>
    <x v="0"/>
    <x v="0"/>
    <s v="Birmingham"/>
    <s v="Small Business"/>
    <x v="1"/>
    <x v="7"/>
    <x v="5"/>
    <x v="437"/>
    <n v="1187.1300000000001"/>
    <n v="1795.17"/>
    <x v="166"/>
    <b v="0"/>
    <n v="17"/>
    <n v="30151.675320000002"/>
    <n v="20181.210000000003"/>
    <n v="9970.4653199999993"/>
    <n v="0.33067699271046669"/>
    <s v="High"/>
    <x v="1"/>
    <s v="Low Discount"/>
    <n v="1.2E-2"/>
    <n v="1246.4865000000002"/>
    <n v="18.700000000000003"/>
    <n v="33166.842852000009"/>
    <n v="9857.5453020000023"/>
  </r>
  <r>
    <x v="439"/>
    <x v="258"/>
    <x v="3"/>
    <s v="Q1-2024"/>
    <d v="2024-03-22T00:00:00"/>
    <d v="2024-03-22T00:00:00"/>
    <n v="13"/>
    <x v="0"/>
    <x v="0"/>
    <s v="Manchester"/>
    <s v="Consumer"/>
    <x v="4"/>
    <x v="10"/>
    <x v="5"/>
    <x v="438"/>
    <n v="985.45"/>
    <n v="1802.44"/>
    <x v="163"/>
    <b v="0"/>
    <n v="19"/>
    <n v="33938.142760000002"/>
    <n v="18723.55"/>
    <n v="15214.592760000003"/>
    <n v="0.44830363486867486"/>
    <s v="High"/>
    <x v="0"/>
    <s v="Low Discount"/>
    <n v="8.9999999999999993E-3"/>
    <n v="1034.7225000000001"/>
    <n v="20.900000000000002"/>
    <n v="37331.957036"/>
    <n v="15706.256785999994"/>
  </r>
  <r>
    <x v="440"/>
    <x v="360"/>
    <x v="19"/>
    <s v="Q3-2024"/>
    <d v="2024-10-07T00:00:00"/>
    <d v="2024-10-07T00:00:00"/>
    <n v="27"/>
    <x v="1"/>
    <x v="1"/>
    <s v="Kisumu"/>
    <s v="Consumer"/>
    <x v="0"/>
    <x v="5"/>
    <x v="6"/>
    <x v="439"/>
    <n v="1248.3900000000001"/>
    <n v="1805.11"/>
    <x v="139"/>
    <b v="0"/>
    <n v="11"/>
    <n v="15825.399369999997"/>
    <n v="13732.29"/>
    <n v="2093.1093699999965"/>
    <n v="0.13226265707820786"/>
    <s v="High"/>
    <x v="0"/>
    <s v="High Discount"/>
    <n v="0.2"/>
    <n v="1310.8095000000001"/>
    <n v="12.100000000000001"/>
    <n v="17473.464800000002"/>
    <n v="1612.6698499999984"/>
  </r>
  <r>
    <x v="441"/>
    <x v="361"/>
    <x v="14"/>
    <s v="Q1-2025"/>
    <d v="2025-04-17T00:00:00"/>
    <d v="2025-04-17T00:00:00"/>
    <n v="23"/>
    <x v="0"/>
    <x v="0"/>
    <s v="London"/>
    <s v="Consumer"/>
    <x v="0"/>
    <x v="2"/>
    <x v="1"/>
    <x v="440"/>
    <n v="1421.19"/>
    <n v="1808.26"/>
    <x v="101"/>
    <b v="0"/>
    <n v="13"/>
    <n v="21062.612480000003"/>
    <n v="18475.47"/>
    <n v="2587.1424800000023"/>
    <n v="0.12283103449093138"/>
    <s v="High"/>
    <x v="0"/>
    <s v="Low Discount"/>
    <n v="0.104"/>
    <n v="1492.2495000000001"/>
    <n v="14.3"/>
    <n v="23168.873728000002"/>
    <n v="1829.7058780000007"/>
  </r>
  <r>
    <x v="442"/>
    <x v="362"/>
    <x v="29"/>
    <s v="Q3-2024"/>
    <d v="2024-07-31T00:00:00"/>
    <d v="2024-07-31T00:00:00"/>
    <n v="2"/>
    <x v="2"/>
    <x v="3"/>
    <s v="New York"/>
    <s v="Education"/>
    <x v="1"/>
    <x v="1"/>
    <x v="6"/>
    <x v="441"/>
    <n v="798.97"/>
    <n v="1814.06"/>
    <x v="40"/>
    <b v="0"/>
    <n v="16"/>
    <n v="25483.91488"/>
    <n v="12783.52"/>
    <n v="12700.39488"/>
    <n v="0.49836906691159061"/>
    <s v="High"/>
    <x v="1"/>
    <s v="Low Discount"/>
    <n v="0.122"/>
    <n v="838.91850000000011"/>
    <n v="17.600000000000001"/>
    <n v="28032.306368000001"/>
    <n v="13267.340767999998"/>
  </r>
  <r>
    <x v="443"/>
    <x v="363"/>
    <x v="20"/>
    <s v="Q4-2024"/>
    <d v="2024-11-04T00:00:00"/>
    <d v="2024-11-04T00:00:00"/>
    <n v="6"/>
    <x v="1"/>
    <x v="1"/>
    <s v="Nairobi"/>
    <s v="Corporate"/>
    <x v="3"/>
    <x v="7"/>
    <x v="6"/>
    <x v="442"/>
    <n v="805.81"/>
    <n v="1823.04"/>
    <x v="33"/>
    <b v="0"/>
    <n v="11"/>
    <n v="20053.439999999999"/>
    <n v="8863.91"/>
    <n v="11189.529999999999"/>
    <n v="0.55798556257679477"/>
    <s v="High"/>
    <x v="1"/>
    <s v="Low Discount"/>
    <n v="0"/>
    <n v="846.10050000000001"/>
    <n v="12.100000000000001"/>
    <n v="22058.784000000003"/>
    <n v="11820.967950000002"/>
  </r>
  <r>
    <x v="444"/>
    <x v="364"/>
    <x v="20"/>
    <s v="Q4-2024"/>
    <d v="2024-11-08T00:00:00"/>
    <d v="2024-11-08T00:00:00"/>
    <n v="25"/>
    <x v="1"/>
    <x v="8"/>
    <s v="Lagos"/>
    <s v="Enterprise"/>
    <x v="4"/>
    <x v="11"/>
    <x v="1"/>
    <x v="443"/>
    <n v="859.35"/>
    <n v="1825.61"/>
    <x v="74"/>
    <b v="0"/>
    <n v="24"/>
    <n v="35621.302319999995"/>
    <n v="20624.400000000001"/>
    <n v="14996.902319999994"/>
    <n v="0.42100937762681989"/>
    <s v="High"/>
    <x v="0"/>
    <s v="Low Discount"/>
    <n v="0.187"/>
    <n v="902.31750000000011"/>
    <n v="26.400000000000002"/>
    <n v="39183.432551999998"/>
    <n v="15362.250551999994"/>
  </r>
  <r>
    <x v="445"/>
    <x v="321"/>
    <x v="22"/>
    <s v="Q4-2024"/>
    <d v="2024-11-07T00:00:00"/>
    <d v="2024-11-07T00:00:00"/>
    <n v="3"/>
    <x v="0"/>
    <x v="2"/>
    <s v="Lyon"/>
    <s v="Corporate"/>
    <x v="4"/>
    <x v="11"/>
    <x v="0"/>
    <x v="444"/>
    <n v="740.68"/>
    <n v="1837.19"/>
    <x v="43"/>
    <b v="0"/>
    <n v="17"/>
    <n v="25079.480689999997"/>
    <n v="12591.56"/>
    <n v="12487.920689999997"/>
    <n v="0.4979337827748298"/>
    <s v="High"/>
    <x v="1"/>
    <s v="Low Discount"/>
    <n v="0.19700000000000001"/>
    <n v="777.71399999999994"/>
    <n v="18.700000000000003"/>
    <n v="27587.428759000002"/>
    <n v="13044.176959"/>
  </r>
  <r>
    <x v="446"/>
    <x v="47"/>
    <x v="22"/>
    <s v="Q4-2024"/>
    <d v="2024-12-19T00:00:00"/>
    <d v="2024-12-19T00:00:00"/>
    <n v="19"/>
    <x v="1"/>
    <x v="1"/>
    <s v="Kisumu"/>
    <s v="Corporate"/>
    <x v="4"/>
    <x v="5"/>
    <x v="3"/>
    <x v="445"/>
    <n v="1195.98"/>
    <n v="1841.9"/>
    <x v="168"/>
    <b v="0"/>
    <n v="19"/>
    <n v="33071.3145"/>
    <n v="22723.62"/>
    <n v="10347.694500000001"/>
    <n v="0.31289032977506842"/>
    <s v="High"/>
    <x v="0"/>
    <s v="Low Discount"/>
    <n v="5.5E-2"/>
    <n v="1255.779"/>
    <n v="20.900000000000002"/>
    <n v="36378.445950000001"/>
    <n v="10132.664849999997"/>
  </r>
  <r>
    <x v="447"/>
    <x v="365"/>
    <x v="9"/>
    <s v="Q3-2023"/>
    <d v="2023-09-19T00:00:00"/>
    <d v="2023-09-19T00:00:00"/>
    <n v="21"/>
    <x v="0"/>
    <x v="2"/>
    <s v="Lyon"/>
    <s v="Small Business"/>
    <x v="2"/>
    <x v="4"/>
    <x v="6"/>
    <x v="446"/>
    <n v="784.46"/>
    <n v="1843.51"/>
    <x v="170"/>
    <b v="0"/>
    <n v="23"/>
    <n v="36549.429260000004"/>
    <n v="18042.580000000002"/>
    <n v="18506.849260000003"/>
    <n v="0.50635125184441798"/>
    <s v="High"/>
    <x v="0"/>
    <s v="Low Discount"/>
    <n v="0.13800000000000001"/>
    <n v="823.68300000000011"/>
    <n v="25.3"/>
    <n v="40204.372186000001"/>
    <n v="19365.192285999998"/>
  </r>
  <r>
    <x v="448"/>
    <x v="366"/>
    <x v="4"/>
    <s v="Q2-2024"/>
    <d v="2024-06-26T00:00:00"/>
    <d v="2024-06-26T00:00:00"/>
    <n v="19"/>
    <x v="0"/>
    <x v="6"/>
    <s v="Berlin"/>
    <s v="Non-Profit"/>
    <x v="1"/>
    <x v="7"/>
    <x v="4"/>
    <x v="447"/>
    <n v="1064.32"/>
    <n v="1848.39"/>
    <x v="188"/>
    <b v="0"/>
    <n v="38"/>
    <n v="65111.386140000002"/>
    <n v="40444.159999999996"/>
    <n v="24667.226140000006"/>
    <n v="0.37884658279216299"/>
    <s v="High"/>
    <x v="0"/>
    <s v="Low Discount"/>
    <n v="7.2999999999999995E-2"/>
    <n v="1117.5360000000001"/>
    <n v="41.800000000000004"/>
    <n v="71622.524754000013"/>
    <n v="24909.519954000003"/>
  </r>
  <r>
    <x v="449"/>
    <x v="21"/>
    <x v="15"/>
    <s v="Q2-2024"/>
    <d v="2024-06-14T00:00:00"/>
    <d v="2024-06-14T00:00:00"/>
    <n v="22"/>
    <x v="0"/>
    <x v="2"/>
    <s v="Marseille"/>
    <s v="Small Business"/>
    <x v="4"/>
    <x v="9"/>
    <x v="0"/>
    <x v="448"/>
    <n v="1481.74"/>
    <n v="1848.97"/>
    <x v="165"/>
    <b v="0"/>
    <n v="9"/>
    <n v="12413.98458"/>
    <n v="13335.66"/>
    <n v="-921.67541999999958"/>
    <n v="-7.4244930309072407E-2"/>
    <s v="High"/>
    <x v="0"/>
    <s v="High Discount"/>
    <n v="0.2"/>
    <n v="1555.827"/>
    <n v="9.9"/>
    <n v="14643.842400000001"/>
    <n v="-758.84490000000005"/>
  </r>
  <r>
    <x v="450"/>
    <x v="367"/>
    <x v="22"/>
    <s v="Q4-2024"/>
    <d v="2024-12-15T00:00:00"/>
    <d v="2024-12-15T00:00:00"/>
    <n v="25"/>
    <x v="0"/>
    <x v="2"/>
    <s v="Paris"/>
    <s v="Corporate"/>
    <x v="4"/>
    <x v="14"/>
    <x v="6"/>
    <x v="449"/>
    <n v="1203.58"/>
    <n v="1856.16"/>
    <x v="22"/>
    <b v="0"/>
    <n v="22"/>
    <n v="35567.73792"/>
    <n v="26478.76"/>
    <n v="9088.9779200000012"/>
    <n v="0.25553994860295015"/>
    <s v="High"/>
    <x v="0"/>
    <s v="Low Discount"/>
    <n v="0.129"/>
    <n v="1263.759"/>
    <n v="24.200000000000003"/>
    <n v="39124.511712000007"/>
    <n v="8541.5439120000046"/>
  </r>
  <r>
    <x v="451"/>
    <x v="368"/>
    <x v="22"/>
    <s v="Q4-2024"/>
    <d v="2024-11-21T00:00:00"/>
    <d v="2024-11-21T00:00:00"/>
    <n v="9"/>
    <x v="3"/>
    <x v="9"/>
    <s v="Mumbai"/>
    <s v="Corporate"/>
    <x v="2"/>
    <x v="2"/>
    <x v="5"/>
    <x v="450"/>
    <n v="903.41"/>
    <n v="1860.41"/>
    <x v="92"/>
    <b v="0"/>
    <n v="5"/>
    <n v="8297.4286000000011"/>
    <n v="4517.05"/>
    <n v="3780.3786000000009"/>
    <n v="0.455608451996803"/>
    <s v="High"/>
    <x v="0"/>
    <s v="Low Discount"/>
    <n v="0.108"/>
    <n v="948.58050000000003"/>
    <n v="5.5"/>
    <n v="9127.1714600000014"/>
    <n v="3909.9787100000012"/>
  </r>
  <r>
    <x v="452"/>
    <x v="369"/>
    <x v="15"/>
    <s v="Q2-2024"/>
    <d v="2024-05-18T00:00:00"/>
    <d v="2024-05-18T00:00:00"/>
    <n v="13"/>
    <x v="0"/>
    <x v="2"/>
    <s v="Marseille"/>
    <s v="Corporate"/>
    <x v="1"/>
    <x v="13"/>
    <x v="4"/>
    <x v="451"/>
    <n v="1264.04"/>
    <n v="1870.89"/>
    <x v="33"/>
    <b v="0"/>
    <n v="13"/>
    <n v="24321.57"/>
    <n v="16432.52"/>
    <n v="7889.0499999999993"/>
    <n v="0.32436433996653996"/>
    <s v="High"/>
    <x v="0"/>
    <s v="Low Discount"/>
    <n v="0"/>
    <n v="1327.242"/>
    <n v="14.3"/>
    <n v="26753.727000000003"/>
    <n v="7774.1664000000019"/>
  </r>
  <r>
    <x v="453"/>
    <x v="275"/>
    <x v="16"/>
    <s v="Q2-2023"/>
    <d v="2023-05-10T00:00:00"/>
    <d v="2023-05-10T00:00:00"/>
    <n v="19"/>
    <x v="3"/>
    <x v="10"/>
    <s v="Shanghai"/>
    <s v="Corporate"/>
    <x v="0"/>
    <x v="13"/>
    <x v="4"/>
    <x v="452"/>
    <n v="882.33"/>
    <n v="1880.15"/>
    <x v="189"/>
    <b v="0"/>
    <n v="5"/>
    <n v="8930.7124999999996"/>
    <n v="4411.6500000000005"/>
    <n v="4519.0624999999991"/>
    <n v="0.50601365792482955"/>
    <s v="High"/>
    <x v="0"/>
    <s v="Low Discount"/>
    <n v="0.05"/>
    <n v="926.44650000000013"/>
    <n v="5.5"/>
    <n v="9823.7837499999987"/>
    <n v="4728.3279999999977"/>
  </r>
  <r>
    <x v="454"/>
    <x v="370"/>
    <x v="15"/>
    <s v="Q2-2024"/>
    <d v="2024-05-26T00:00:00"/>
    <d v="2024-06-11T00:00:00"/>
    <n v="14"/>
    <x v="1"/>
    <x v="8"/>
    <s v="Abuja"/>
    <s v="Enterprise"/>
    <x v="4"/>
    <x v="6"/>
    <x v="2"/>
    <x v="453"/>
    <n v="1227.08"/>
    <n v="1896.62"/>
    <x v="33"/>
    <b v="0"/>
    <n v="18"/>
    <n v="34139.159999999996"/>
    <n v="22087.439999999999"/>
    <n v="12051.719999999998"/>
    <n v="0.353017473189147"/>
    <s v="High"/>
    <x v="0"/>
    <s v="Low Discount"/>
    <n v="0"/>
    <n v="1288.434"/>
    <n v="19.8"/>
    <n v="37553.076000000001"/>
    <n v="12042.0828"/>
  </r>
  <r>
    <x v="455"/>
    <x v="41"/>
    <x v="14"/>
    <s v="Q1-2025"/>
    <d v="2025-03-27T00:00:00"/>
    <d v="2025-03-27T00:00:00"/>
    <n v="16"/>
    <x v="3"/>
    <x v="7"/>
    <s v="Tokyo"/>
    <s v="Enterprise"/>
    <x v="3"/>
    <x v="4"/>
    <x v="6"/>
    <x v="454"/>
    <n v="1317.58"/>
    <n v="1897.74"/>
    <x v="190"/>
    <b v="0"/>
    <n v="6"/>
    <n v="10464.138360000001"/>
    <n v="7905.48"/>
    <n v="2558.6583600000013"/>
    <n v="0.24451687009230266"/>
    <s v="High"/>
    <x v="0"/>
    <s v="Low Discount"/>
    <n v="8.1000000000000003E-2"/>
    <n v="1383.4590000000001"/>
    <n v="6.6000000000000005"/>
    <n v="11510.552196000001"/>
    <n v="2379.722796"/>
  </r>
  <r>
    <x v="456"/>
    <x v="371"/>
    <x v="12"/>
    <s v="Q1-2025"/>
    <d v="2025-02-15T00:00:00"/>
    <d v="2025-02-15T00:00:00"/>
    <n v="9"/>
    <x v="2"/>
    <x v="5"/>
    <s v="São Paulo"/>
    <s v="Non-Profit"/>
    <x v="3"/>
    <x v="6"/>
    <x v="1"/>
    <x v="455"/>
    <n v="837.39"/>
    <n v="1905.42"/>
    <x v="156"/>
    <b v="0"/>
    <n v="18"/>
    <n v="33200.038079999998"/>
    <n v="15073.02"/>
    <n v="18127.018079999998"/>
    <n v="0.54599389423350919"/>
    <s v="High"/>
    <x v="0"/>
    <s v="Low Discount"/>
    <n v="3.2000000000000001E-2"/>
    <n v="879.2595"/>
    <n v="19.8"/>
    <n v="36520.041888"/>
    <n v="19110.703787999999"/>
  </r>
  <r>
    <x v="457"/>
    <x v="372"/>
    <x v="3"/>
    <s v="Q1-2024"/>
    <d v="2024-04-09T00:00:00"/>
    <d v="2024-04-09T00:00:00"/>
    <n v="30"/>
    <x v="0"/>
    <x v="2"/>
    <s v="Lyon"/>
    <s v="Corporate"/>
    <x v="2"/>
    <x v="1"/>
    <x v="4"/>
    <x v="456"/>
    <n v="1176.56"/>
    <n v="1911.89"/>
    <x v="3"/>
    <b v="0"/>
    <n v="20"/>
    <n v="33687.501799999998"/>
    <n v="23531.199999999997"/>
    <n v="10156.301800000001"/>
    <n v="0.30148575160892466"/>
    <s v="High"/>
    <x v="0"/>
    <s v="Low Discount"/>
    <n v="0.11899999999999999"/>
    <n v="1235.3879999999999"/>
    <n v="22"/>
    <n v="37056.251980000001"/>
    <n v="9877.7159800000009"/>
  </r>
  <r>
    <x v="458"/>
    <x v="308"/>
    <x v="22"/>
    <s v="Q4-2024"/>
    <d v="2024-11-18T00:00:00"/>
    <d v="2024-11-18T00:00:00"/>
    <n v="16"/>
    <x v="3"/>
    <x v="9"/>
    <s v="Mumbai"/>
    <s v="Small Business"/>
    <x v="3"/>
    <x v="11"/>
    <x v="0"/>
    <x v="457"/>
    <n v="1233.58"/>
    <n v="1912.51"/>
    <x v="191"/>
    <b v="0"/>
    <n v="51"/>
    <n v="72665.817450000002"/>
    <n v="62912.579999999994"/>
    <n v="9753.2374500000078"/>
    <n v="0.134220432553601"/>
    <s v="High"/>
    <x v="0"/>
    <s v="High Discount"/>
    <n v="0.2"/>
    <n v="1295.259"/>
    <n v="56.1"/>
    <n v="85833.448799999998"/>
    <n v="13169.41889999999"/>
  </r>
  <r>
    <x v="459"/>
    <x v="373"/>
    <x v="12"/>
    <s v="Q1-2025"/>
    <d v="2025-03-04T00:00:00"/>
    <d v="2025-03-04T00:00:00"/>
    <n v="30"/>
    <x v="3"/>
    <x v="7"/>
    <s v="Osaka"/>
    <s v="Education"/>
    <x v="3"/>
    <x v="5"/>
    <x v="2"/>
    <x v="458"/>
    <n v="766.59"/>
    <n v="1912.8"/>
    <x v="71"/>
    <b v="0"/>
    <n v="5"/>
    <n v="7689.4560000000001"/>
    <n v="3832.9500000000003"/>
    <n v="3856.5059999999999"/>
    <n v="0.50153170783472845"/>
    <s v="High"/>
    <x v="0"/>
    <s v="Low Discount"/>
    <n v="0.19600000000000001"/>
    <n v="804.91950000000008"/>
    <n v="5.5"/>
    <n v="8458.4016000000011"/>
    <n v="4031.3443500000003"/>
  </r>
  <r>
    <x v="460"/>
    <x v="374"/>
    <x v="9"/>
    <s v="Q3-2023"/>
    <d v="2023-09-11T00:00:00"/>
    <d v="2023-09-11T00:00:00"/>
    <n v="15"/>
    <x v="0"/>
    <x v="0"/>
    <s v="London"/>
    <s v="Consumer"/>
    <x v="1"/>
    <x v="9"/>
    <x v="6"/>
    <x v="459"/>
    <n v="943.79"/>
    <n v="1913.76"/>
    <x v="30"/>
    <b v="0"/>
    <n v="9"/>
    <n v="15656.470560000002"/>
    <n v="8494.11"/>
    <n v="7162.360560000001"/>
    <n v="0.45746967891338086"/>
    <s v="High"/>
    <x v="0"/>
    <s v="Low Discount"/>
    <n v="9.0999999999999998E-2"/>
    <n v="990.97950000000003"/>
    <n v="9.9"/>
    <n v="17222.117616000003"/>
    <n v="7411.4205660000025"/>
  </r>
  <r>
    <x v="461"/>
    <x v="18"/>
    <x v="14"/>
    <s v="Q1-2025"/>
    <d v="2025-03-25T00:00:00"/>
    <d v="2025-03-25T00:00:00"/>
    <n v="1"/>
    <x v="3"/>
    <x v="10"/>
    <s v="Beijing"/>
    <s v="Non-Profit"/>
    <x v="4"/>
    <x v="14"/>
    <x v="1"/>
    <x v="460"/>
    <n v="1133.03"/>
    <n v="1921.51"/>
    <x v="46"/>
    <b v="0"/>
    <n v="5"/>
    <n v="8637.1874499999994"/>
    <n v="5665.15"/>
    <n v="2972.0374499999998"/>
    <n v="0.3440978289755654"/>
    <s v="High"/>
    <x v="1"/>
    <s v="Low Discount"/>
    <n v="0.10100000000000001"/>
    <n v="1189.6814999999999"/>
    <n v="5.5"/>
    <n v="9500.9061949999996"/>
    <n v="2957.6579449999999"/>
  </r>
  <r>
    <x v="462"/>
    <x v="375"/>
    <x v="9"/>
    <s v="Q3-2023"/>
    <d v="2023-08-15T00:00:00"/>
    <d v="2023-08-15T00:00:00"/>
    <n v="5"/>
    <x v="2"/>
    <x v="5"/>
    <s v="São Paulo"/>
    <s v="Education"/>
    <x v="2"/>
    <x v="14"/>
    <x v="1"/>
    <x v="461"/>
    <n v="1307.52"/>
    <n v="1921.65"/>
    <x v="148"/>
    <b v="0"/>
    <n v="13"/>
    <n v="21908.731650000002"/>
    <n v="16997.759999999998"/>
    <n v="4910.9716500000031"/>
    <n v="0.22415590863289445"/>
    <s v="High"/>
    <x v="1"/>
    <s v="Low Discount"/>
    <n v="0.123"/>
    <n v="1372.896"/>
    <n v="14.3"/>
    <n v="24099.604815000002"/>
    <n v="4467.1920150000005"/>
  </r>
  <r>
    <x v="463"/>
    <x v="278"/>
    <x v="11"/>
    <s v="Q3-2025"/>
    <d v="2025-09-05T00:00:00"/>
    <d v="2025-09-05T00:00:00"/>
    <n v="8"/>
    <x v="1"/>
    <x v="8"/>
    <s v="Port Harcourt"/>
    <s v="Small Business"/>
    <x v="1"/>
    <x v="10"/>
    <x v="5"/>
    <x v="462"/>
    <n v="1271.0999999999999"/>
    <n v="1932.42"/>
    <x v="112"/>
    <b v="0"/>
    <n v="21"/>
    <n v="30435.615000000002"/>
    <n v="26693.1"/>
    <n v="3742.5150000000031"/>
    <n v="0.12296498690760817"/>
    <s v="High"/>
    <x v="0"/>
    <s v="High Discount"/>
    <n v="0.2"/>
    <n v="1334.655"/>
    <n v="23.1"/>
    <n v="35711.121600000006"/>
    <n v="4880.5911000000051"/>
  </r>
  <r>
    <x v="464"/>
    <x v="82"/>
    <x v="21"/>
    <s v="Q1-2024"/>
    <d v="2024-01-15T00:00:00"/>
    <d v="2024-01-15T00:00:00"/>
    <n v="2"/>
    <x v="2"/>
    <x v="3"/>
    <s v="San Francisco"/>
    <s v="Non-Profit"/>
    <x v="2"/>
    <x v="10"/>
    <x v="4"/>
    <x v="463"/>
    <n v="1061.3699999999999"/>
    <n v="1938.33"/>
    <x v="192"/>
    <b v="0"/>
    <n v="4"/>
    <n v="6435.2555999999995"/>
    <n v="4245.4799999999996"/>
    <n v="2189.7755999999999"/>
    <n v="0.34027795259600879"/>
    <s v="High"/>
    <x v="1"/>
    <s v="Low Discount"/>
    <n v="0.17"/>
    <n v="1114.4385"/>
    <n v="4.4000000000000004"/>
    <n v="7078.7811600000005"/>
    <n v="2175.2517600000001"/>
  </r>
  <r>
    <x v="465"/>
    <x v="376"/>
    <x v="19"/>
    <s v="Q3-2024"/>
    <d v="2024-10-01T00:00:00"/>
    <d v="2024-10-01T00:00:00"/>
    <n v="9"/>
    <x v="2"/>
    <x v="5"/>
    <s v="São Paulo"/>
    <s v="Non-Profit"/>
    <x v="4"/>
    <x v="12"/>
    <x v="0"/>
    <x v="464"/>
    <n v="1378.8"/>
    <n v="1952.04"/>
    <x v="149"/>
    <b v="0"/>
    <n v="19"/>
    <n v="31191.64716"/>
    <n v="26197.200000000001"/>
    <n v="4994.4471599999997"/>
    <n v="0.16012130216723058"/>
    <s v="High"/>
    <x v="0"/>
    <s v="Low Discount"/>
    <n v="0.159"/>
    <n v="1447.74"/>
    <n v="20.900000000000002"/>
    <n v="34310.811876"/>
    <n v="4053.0458759999965"/>
  </r>
  <r>
    <x v="466"/>
    <x v="377"/>
    <x v="14"/>
    <s v="Q1-2025"/>
    <d v="2025-04-04T00:00:00"/>
    <d v="2025-04-04T00:00:00"/>
    <n v="4"/>
    <x v="1"/>
    <x v="1"/>
    <s v="Nakuru"/>
    <s v="Corporate"/>
    <x v="2"/>
    <x v="8"/>
    <x v="5"/>
    <x v="465"/>
    <n v="862.08"/>
    <n v="1952.83"/>
    <x v="33"/>
    <b v="0"/>
    <n v="7"/>
    <n v="13669.81"/>
    <n v="6034.56"/>
    <n v="7635.2499999999991"/>
    <n v="0.5585483631447693"/>
    <s v="High"/>
    <x v="1"/>
    <s v="Low Discount"/>
    <n v="0"/>
    <n v="905.18400000000008"/>
    <n v="7.7000000000000011"/>
    <n v="15036.791000000001"/>
    <n v="8066.8741999999993"/>
  </r>
  <r>
    <x v="467"/>
    <x v="378"/>
    <x v="32"/>
    <s v="Q4-2023"/>
    <d v="2023-12-19T00:00:00"/>
    <d v="2023-12-19T00:00:00"/>
    <n v="3"/>
    <x v="3"/>
    <x v="10"/>
    <s v="Beijing"/>
    <s v="Education"/>
    <x v="0"/>
    <x v="13"/>
    <x v="2"/>
    <x v="466"/>
    <n v="1415.05"/>
    <n v="1972.38"/>
    <x v="33"/>
    <b v="0"/>
    <n v="12"/>
    <n v="23668.560000000001"/>
    <n v="16980.599999999999"/>
    <n v="6687.9600000000028"/>
    <n v="0.28256725377462771"/>
    <s v="High"/>
    <x v="1"/>
    <s v="Low Discount"/>
    <n v="0"/>
    <n v="1485.8025"/>
    <n v="13.200000000000001"/>
    <n v="26035.416000000005"/>
    <n v="6422.823000000004"/>
  </r>
  <r>
    <x v="468"/>
    <x v="90"/>
    <x v="23"/>
    <s v="Q2-2025"/>
    <d v="2025-05-12T00:00:00"/>
    <d v="2025-05-28T00:00:00"/>
    <n v="14"/>
    <x v="2"/>
    <x v="11"/>
    <s v="Vancouver"/>
    <s v="Non-Profit"/>
    <x v="3"/>
    <x v="6"/>
    <x v="6"/>
    <x v="467"/>
    <n v="883.5"/>
    <n v="1978.91"/>
    <x v="193"/>
    <b v="0"/>
    <n v="27"/>
    <n v="50545.319219999998"/>
    <n v="23854.5"/>
    <n v="26690.819219999998"/>
    <n v="0.52805718970390547"/>
    <s v="High"/>
    <x v="0"/>
    <s v="Low Discount"/>
    <n v="5.3999999999999999E-2"/>
    <n v="927.67500000000007"/>
    <n v="29.700000000000003"/>
    <n v="55599.851142"/>
    <n v="28047.903641999994"/>
  </r>
  <r>
    <x v="469"/>
    <x v="313"/>
    <x v="12"/>
    <s v="Q1-2025"/>
    <d v="2025-02-15T00:00:00"/>
    <d v="2025-02-15T00:00:00"/>
    <n v="0"/>
    <x v="0"/>
    <x v="6"/>
    <s v="Frankfurt"/>
    <s v="Small Business"/>
    <x v="1"/>
    <x v="5"/>
    <x v="2"/>
    <x v="468"/>
    <n v="815.83"/>
    <n v="1982.18"/>
    <x v="182"/>
    <b v="0"/>
    <n v="6"/>
    <n v="10382.65884"/>
    <n v="4894.9800000000005"/>
    <n v="5487.6788399999996"/>
    <n v="0.52854272923408507"/>
    <s v="High"/>
    <x v="1"/>
    <s v="Low Discount"/>
    <n v="0.127"/>
    <n v="856.62150000000008"/>
    <n v="6.6000000000000005"/>
    <n v="11420.924724000002"/>
    <n v="5767.2228240000013"/>
  </r>
  <r>
    <x v="470"/>
    <x v="361"/>
    <x v="14"/>
    <s v="Q1-2025"/>
    <d v="2025-03-26T00:00:00"/>
    <d v="2025-03-26T00:00:00"/>
    <n v="1"/>
    <x v="1"/>
    <x v="8"/>
    <s v="Lagos"/>
    <s v="Education"/>
    <x v="3"/>
    <x v="14"/>
    <x v="2"/>
    <x v="469"/>
    <n v="1450.43"/>
    <n v="1994.67"/>
    <x v="194"/>
    <b v="0"/>
    <n v="24"/>
    <n v="43084.872000000003"/>
    <n v="34810.32"/>
    <n v="8274.5520000000033"/>
    <n v="0.19205237513529116"/>
    <s v="High"/>
    <x v="1"/>
    <s v="Low Discount"/>
    <n v="0.1"/>
    <n v="1522.9515000000001"/>
    <n v="26.400000000000002"/>
    <n v="47393.359200000006"/>
    <n v="7187.4395999999979"/>
  </r>
  <r>
    <x v="471"/>
    <x v="132"/>
    <x v="6"/>
    <s v="Q2-2025"/>
    <d v="2025-04-26T00:00:00"/>
    <d v="2025-04-26T00:00:00"/>
    <n v="10"/>
    <x v="1"/>
    <x v="8"/>
    <s v="Port Harcourt"/>
    <s v="Enterprise"/>
    <x v="1"/>
    <x v="6"/>
    <x v="5"/>
    <x v="470"/>
    <n v="1457.44"/>
    <n v="1996.81"/>
    <x v="162"/>
    <b v="0"/>
    <n v="23"/>
    <n v="40139.874619999995"/>
    <n v="33521.120000000003"/>
    <n v="6618.7546199999924"/>
    <n v="0.16489225944672353"/>
    <s v="High"/>
    <x v="0"/>
    <s v="Low Discount"/>
    <n v="0.126"/>
    <n v="1530.3120000000001"/>
    <n v="25.3"/>
    <n v="44153.862082"/>
    <n v="5436.9684819999966"/>
  </r>
  <r>
    <x v="472"/>
    <x v="379"/>
    <x v="22"/>
    <s v="Q4-2024"/>
    <d v="2024-12-21T00:00:00"/>
    <d v="2024-12-21T00:00:00"/>
    <n v="30"/>
    <x v="0"/>
    <x v="2"/>
    <s v="Marseille"/>
    <s v="Small Business"/>
    <x v="2"/>
    <x v="1"/>
    <x v="0"/>
    <x v="471"/>
    <n v="1122.68"/>
    <n v="1997.19"/>
    <x v="79"/>
    <b v="0"/>
    <n v="3"/>
    <n v="4877.1379800000004"/>
    <n v="3368.04"/>
    <n v="1509.0979800000005"/>
    <n v="0.30942285951073306"/>
    <s v="High"/>
    <x v="0"/>
    <s v="Low Discount"/>
    <n v="0.186"/>
    <n v="1178.8140000000001"/>
    <n v="3.3000000000000003"/>
    <n v="5364.8517780000011"/>
    <n v="1474.7655780000005"/>
  </r>
  <r>
    <x v="473"/>
    <x v="1"/>
    <x v="1"/>
    <s v="Q1-2023"/>
    <d v="2023-03-20T00:00:00"/>
    <d v="2023-03-20T00:00:00"/>
    <n v="20"/>
    <x v="0"/>
    <x v="6"/>
    <s v="Berlin"/>
    <s v="Small Business"/>
    <x v="2"/>
    <x v="2"/>
    <x v="5"/>
    <x v="472"/>
    <n v="1200.78"/>
    <n v="2001.17"/>
    <x v="195"/>
    <b v="0"/>
    <n v="18"/>
    <n v="25502.910479999999"/>
    <n v="21614.04"/>
    <n v="3888.8704799999978"/>
    <n v="0.15248732034132906"/>
    <s v="High"/>
    <x v="0"/>
    <s v="High Discount"/>
    <n v="0.2"/>
    <n v="1260.819"/>
    <n v="19.8"/>
    <n v="31698.532800000004"/>
    <n v="6734.3166000000056"/>
  </r>
  <r>
    <x v="474"/>
    <x v="380"/>
    <x v="8"/>
    <s v="Q1-2024"/>
    <d v="2024-03-04T00:00:00"/>
    <d v="2024-03-04T00:00:00"/>
    <n v="16"/>
    <x v="3"/>
    <x v="9"/>
    <s v="Delhi"/>
    <s v="Small Business"/>
    <x v="1"/>
    <x v="6"/>
    <x v="3"/>
    <x v="473"/>
    <n v="1231.8"/>
    <n v="2015.99"/>
    <x v="196"/>
    <b v="0"/>
    <n v="6"/>
    <n v="8938.8996600000009"/>
    <n v="7390.7999999999993"/>
    <n v="1548.0996600000017"/>
    <n v="0.17318682599464391"/>
    <s v="High"/>
    <x v="0"/>
    <s v="High Discount"/>
    <n v="0.2"/>
    <n v="1293.3900000000001"/>
    <n v="6.6000000000000005"/>
    <n v="10644.427200000002"/>
    <n v="2108.0532000000003"/>
  </r>
  <r>
    <x v="475"/>
    <x v="381"/>
    <x v="26"/>
    <s v="Q1-2023"/>
    <d v="2023-03-20T00:00:00"/>
    <d v="2023-03-20T00:00:00"/>
    <n v="17"/>
    <x v="3"/>
    <x v="7"/>
    <s v="Nagoya"/>
    <s v="Small Business"/>
    <x v="4"/>
    <x v="0"/>
    <x v="1"/>
    <x v="474"/>
    <n v="1171.17"/>
    <n v="2030.64"/>
    <x v="20"/>
    <b v="0"/>
    <n v="11"/>
    <n v="18830.12472"/>
    <n v="12882.87"/>
    <n v="5947.254719999999"/>
    <n v="0.31583724528830415"/>
    <s v="High"/>
    <x v="0"/>
    <s v="Low Discount"/>
    <n v="0.157"/>
    <n v="1229.7285000000002"/>
    <n v="12.100000000000001"/>
    <n v="20713.137192000002"/>
    <n v="5833.422341999998"/>
  </r>
  <r>
    <x v="476"/>
    <x v="382"/>
    <x v="29"/>
    <s v="Q3-2024"/>
    <d v="2024-08-02T00:00:00"/>
    <d v="2024-08-02T00:00:00"/>
    <n v="8"/>
    <x v="2"/>
    <x v="11"/>
    <s v="Montreal"/>
    <s v="Consumer"/>
    <x v="2"/>
    <x v="3"/>
    <x v="2"/>
    <x v="475"/>
    <n v="986.81"/>
    <n v="2050.31"/>
    <x v="172"/>
    <b v="0"/>
    <n v="43"/>
    <n v="79082.507010000001"/>
    <n v="42432.829999999994"/>
    <n v="36649.677010000007"/>
    <n v="0.46343595310358138"/>
    <s v="High"/>
    <x v="0"/>
    <s v="Low Discount"/>
    <n v="0.10299999999999999"/>
    <n v="1036.1505"/>
    <n v="47.300000000000004"/>
    <n v="86990.757711000013"/>
    <n v="37980.839061000013"/>
  </r>
  <r>
    <x v="477"/>
    <x v="383"/>
    <x v="26"/>
    <s v="Q1-2023"/>
    <d v="2023-04-04T00:00:00"/>
    <d v="2023-04-04T00:00:00"/>
    <n v="29"/>
    <x v="3"/>
    <x v="10"/>
    <s v="Beijing"/>
    <s v="Small Business"/>
    <x v="2"/>
    <x v="8"/>
    <x v="0"/>
    <x v="476"/>
    <n v="1126.29"/>
    <n v="2050.87"/>
    <x v="18"/>
    <b v="0"/>
    <n v="7"/>
    <n v="13437.300239999997"/>
    <n v="7884.03"/>
    <n v="5553.2702399999971"/>
    <n v="0.41327276616690367"/>
    <s v="High"/>
    <x v="0"/>
    <s v="Low Discount"/>
    <n v="6.4000000000000001E-2"/>
    <n v="1182.6044999999999"/>
    <n v="7.7000000000000011"/>
    <n v="14781.030263999999"/>
    <n v="5674.975613999999"/>
  </r>
  <r>
    <x v="478"/>
    <x v="384"/>
    <x v="1"/>
    <s v="Q1-2023"/>
    <d v="2023-03-12T00:00:00"/>
    <d v="2023-03-12T00:00:00"/>
    <n v="21"/>
    <x v="0"/>
    <x v="6"/>
    <s v="Berlin"/>
    <s v="Small Business"/>
    <x v="2"/>
    <x v="5"/>
    <x v="0"/>
    <x v="477"/>
    <n v="1234.81"/>
    <n v="2055.2399999999998"/>
    <x v="88"/>
    <b v="0"/>
    <n v="44"/>
    <n v="85637.740319999983"/>
    <n v="54331.64"/>
    <n v="31306.100319999983"/>
    <n v="0.3655642968044161"/>
    <s v="High"/>
    <x v="0"/>
    <s v="Low Discount"/>
    <n v="5.2999999999999999E-2"/>
    <n v="1296.5505000000001"/>
    <n v="48.400000000000006"/>
    <n v="94201.514351999998"/>
    <n v="31448.470151999987"/>
  </r>
  <r>
    <x v="479"/>
    <x v="385"/>
    <x v="28"/>
    <s v="Q3-2023"/>
    <d v="2023-10-10T00:00:00"/>
    <d v="2023-10-10T00:00:00"/>
    <n v="19"/>
    <x v="3"/>
    <x v="7"/>
    <s v="Tokyo"/>
    <s v="Education"/>
    <x v="4"/>
    <x v="0"/>
    <x v="4"/>
    <x v="478"/>
    <n v="845.63"/>
    <n v="2062.12"/>
    <x v="6"/>
    <b v="0"/>
    <n v="5"/>
    <n v="8928.9795999999988"/>
    <n v="4228.1499999999996"/>
    <n v="4700.8295999999991"/>
    <n v="0.52646884757133949"/>
    <s v="High"/>
    <x v="0"/>
    <s v="Low Discount"/>
    <n v="0.13400000000000001"/>
    <n v="887.91150000000005"/>
    <n v="5.5"/>
    <n v="9821.877559999999"/>
    <n v="4938.364309999999"/>
  </r>
  <r>
    <x v="480"/>
    <x v="386"/>
    <x v="18"/>
    <s v="Q3-2025"/>
    <d v="2025-08-07T00:00:00"/>
    <d v="2025-08-07T00:00:00"/>
    <n v="17"/>
    <x v="1"/>
    <x v="8"/>
    <s v="Lagos"/>
    <s v="Enterprise"/>
    <x v="2"/>
    <x v="7"/>
    <x v="2"/>
    <x v="479"/>
    <n v="1204.95"/>
    <n v="2065.73"/>
    <x v="123"/>
    <b v="0"/>
    <n v="10"/>
    <n v="17847.907200000001"/>
    <n v="12049.5"/>
    <n v="5798.4072000000015"/>
    <n v="0.32487882949100055"/>
    <s v="High"/>
    <x v="0"/>
    <s v="Low Discount"/>
    <n v="0.13600000000000001"/>
    <n v="1265.1975"/>
    <n v="11"/>
    <n v="19632.697919999999"/>
    <n v="5715.5254199999981"/>
  </r>
  <r>
    <x v="481"/>
    <x v="387"/>
    <x v="17"/>
    <s v="Q2-2023"/>
    <d v="2023-07-01T00:00:00"/>
    <d v="2023-07-01T00:00:00"/>
    <n v="28"/>
    <x v="2"/>
    <x v="5"/>
    <s v="Brasília"/>
    <s v="Small Business"/>
    <x v="1"/>
    <x v="13"/>
    <x v="4"/>
    <x v="480"/>
    <n v="860.4"/>
    <n v="2066.6"/>
    <x v="141"/>
    <b v="0"/>
    <n v="3"/>
    <n v="6137.8019999999997"/>
    <n v="2581.1999999999998"/>
    <n v="3556.6019999999999"/>
    <n v="0.57945857491004105"/>
    <s v="High"/>
    <x v="0"/>
    <s v="Low Discount"/>
    <n v="0.01"/>
    <n v="903.42"/>
    <n v="3.3000000000000003"/>
    <n v="6751.5822000000007"/>
    <n v="3770.2962000000007"/>
  </r>
  <r>
    <x v="482"/>
    <x v="388"/>
    <x v="10"/>
    <s v="Q4-2023"/>
    <d v="2023-11-14T00:00:00"/>
    <d v="2023-11-14T00:00:00"/>
    <n v="15"/>
    <x v="3"/>
    <x v="9"/>
    <s v="Bengaluru"/>
    <s v="Corporate"/>
    <x v="4"/>
    <x v="6"/>
    <x v="5"/>
    <x v="481"/>
    <n v="953.46"/>
    <n v="2066.75"/>
    <x v="170"/>
    <b v="0"/>
    <n v="5"/>
    <n v="8907.6924999999992"/>
    <n v="4767.3"/>
    <n v="4140.392499999999"/>
    <n v="0.46481089238318446"/>
    <s v="High"/>
    <x v="0"/>
    <s v="Low Discount"/>
    <n v="0.13800000000000001"/>
    <n v="1001.133"/>
    <n v="5.5"/>
    <n v="9798.4617499999986"/>
    <n v="4292.2302499999987"/>
  </r>
  <r>
    <x v="483"/>
    <x v="199"/>
    <x v="7"/>
    <s v="Q2-2023"/>
    <d v="2023-06-07T00:00:00"/>
    <d v="2023-06-07T00:00:00"/>
    <n v="18"/>
    <x v="1"/>
    <x v="8"/>
    <s v="Port Harcourt"/>
    <s v="Enterprise"/>
    <x v="3"/>
    <x v="10"/>
    <x v="4"/>
    <x v="482"/>
    <n v="1120.06"/>
    <n v="2068.21"/>
    <x v="78"/>
    <b v="0"/>
    <n v="12"/>
    <n v="22882.675440000003"/>
    <n v="13440.72"/>
    <n v="9441.9554400000034"/>
    <n v="0.41262462795303284"/>
    <s v="High"/>
    <x v="0"/>
    <s v="Low Discount"/>
    <n v="7.8E-2"/>
    <n v="1176.0630000000001"/>
    <n v="13.200000000000001"/>
    <n v="25170.942984000005"/>
    <n v="9646.9113840000027"/>
  </r>
  <r>
    <x v="484"/>
    <x v="235"/>
    <x v="24"/>
    <s v="Q3-2023"/>
    <d v="2023-07-22T00:00:00"/>
    <d v="2023-07-22T00:00:00"/>
    <n v="4"/>
    <x v="2"/>
    <x v="5"/>
    <s v="São Paulo"/>
    <s v="Consumer"/>
    <x v="2"/>
    <x v="6"/>
    <x v="1"/>
    <x v="483"/>
    <n v="1269.55"/>
    <n v="2071.1"/>
    <x v="22"/>
    <b v="0"/>
    <n v="22"/>
    <n v="39686.4182"/>
    <n v="27930.1"/>
    <n v="11756.318200000002"/>
    <n v="0.29623026549672354"/>
    <s v="High"/>
    <x v="1"/>
    <s v="Low Discount"/>
    <n v="0.129"/>
    <n v="1333.0274999999999"/>
    <n v="24.200000000000003"/>
    <n v="43655.060020000004"/>
    <n v="11395.794520000003"/>
  </r>
  <r>
    <x v="485"/>
    <x v="150"/>
    <x v="0"/>
    <s v="Q4-2024"/>
    <d v="2024-12-29T00:00:00"/>
    <d v="2024-12-29T00:00:00"/>
    <n v="2"/>
    <x v="2"/>
    <x v="11"/>
    <s v="Vancouver"/>
    <s v="Enterprise"/>
    <x v="1"/>
    <x v="8"/>
    <x v="2"/>
    <x v="484"/>
    <n v="1146.72"/>
    <n v="2074.34"/>
    <x v="94"/>
    <b v="0"/>
    <n v="8"/>
    <n v="14752.706080000002"/>
    <n v="9173.76"/>
    <n v="5578.9460800000015"/>
    <n v="0.37816425337472737"/>
    <s v="High"/>
    <x v="1"/>
    <s v="Low Discount"/>
    <n v="0.111"/>
    <n v="1204.056"/>
    <n v="8.8000000000000007"/>
    <n v="16227.976688000002"/>
    <n v="5632.2838880000018"/>
  </r>
  <r>
    <x v="486"/>
    <x v="389"/>
    <x v="23"/>
    <s v="Q2-2025"/>
    <d v="2025-05-13T00:00:00"/>
    <d v="2025-05-13T00:00:00"/>
    <n v="6"/>
    <x v="3"/>
    <x v="9"/>
    <s v="Bengaluru"/>
    <s v="Enterprise"/>
    <x v="2"/>
    <x v="3"/>
    <x v="3"/>
    <x v="485"/>
    <n v="935.98"/>
    <n v="2077.69"/>
    <x v="143"/>
    <b v="0"/>
    <n v="24"/>
    <n v="41138.261999999995"/>
    <n v="22463.52"/>
    <n v="18674.741999999995"/>
    <n v="0.45395067978321491"/>
    <s v="High"/>
    <x v="1"/>
    <s v="Low Discount"/>
    <n v="0.17499999999999999"/>
    <n v="982.77900000000011"/>
    <n v="26.400000000000002"/>
    <n v="45252.088199999998"/>
    <n v="19306.722599999994"/>
  </r>
  <r>
    <x v="487"/>
    <x v="390"/>
    <x v="1"/>
    <s v="Q1-2023"/>
    <d v="2023-02-12T00:00:00"/>
    <d v="2023-02-12T00:00:00"/>
    <n v="5"/>
    <x v="2"/>
    <x v="5"/>
    <s v="São Paulo"/>
    <s v="Education"/>
    <x v="4"/>
    <x v="9"/>
    <x v="4"/>
    <x v="486"/>
    <n v="948.55"/>
    <n v="2089.16"/>
    <x v="197"/>
    <b v="0"/>
    <n v="12"/>
    <n v="24894.430560000001"/>
    <n v="11382.599999999999"/>
    <n v="13511.830560000002"/>
    <n v="0.54276519912492438"/>
    <s v="High"/>
    <x v="1"/>
    <s v="Low Discount"/>
    <n v="7.0000000000000001E-3"/>
    <n v="995.97749999999996"/>
    <n v="13.200000000000001"/>
    <n v="27383.873616000001"/>
    <n v="14236.970616000001"/>
  </r>
  <r>
    <x v="488"/>
    <x v="356"/>
    <x v="4"/>
    <s v="Q2-2024"/>
    <d v="2024-06-28T00:00:00"/>
    <d v="2024-07-14T00:00:00"/>
    <n v="14"/>
    <x v="2"/>
    <x v="5"/>
    <s v="Rio de Janeiro"/>
    <s v="Small Business"/>
    <x v="2"/>
    <x v="5"/>
    <x v="2"/>
    <x v="487"/>
    <n v="1112.98"/>
    <n v="2095.73"/>
    <x v="13"/>
    <b v="0"/>
    <n v="17"/>
    <n v="33062.23648"/>
    <n v="18920.66"/>
    <n v="14141.57648"/>
    <n v="0.4277259491672476"/>
    <s v="High"/>
    <x v="0"/>
    <s v="Low Discount"/>
    <n v="7.1999999999999995E-2"/>
    <n v="1168.6290000000001"/>
    <n v="18.700000000000003"/>
    <n v="36368.460128000006"/>
    <n v="14515.097828000002"/>
  </r>
  <r>
    <x v="489"/>
    <x v="391"/>
    <x v="13"/>
    <s v="Q1-2023"/>
    <d v="2023-02-03T00:00:00"/>
    <d v="2023-02-03T00:00:00"/>
    <n v="15"/>
    <x v="0"/>
    <x v="0"/>
    <s v="London"/>
    <s v="Enterprise"/>
    <x v="3"/>
    <x v="14"/>
    <x v="2"/>
    <x v="488"/>
    <n v="873.06"/>
    <n v="2101.5500000000002"/>
    <x v="26"/>
    <b v="0"/>
    <n v="10"/>
    <n v="19628.476999999999"/>
    <n v="8730.5999999999985"/>
    <n v="10897.877"/>
    <n v="0.55520746719167269"/>
    <s v="High"/>
    <x v="0"/>
    <s v="Low Discount"/>
    <n v="6.6000000000000003E-2"/>
    <n v="916.71299999999997"/>
    <n v="11"/>
    <n v="21591.324700000001"/>
    <n v="11507.481700000002"/>
  </r>
  <r>
    <x v="490"/>
    <x v="69"/>
    <x v="10"/>
    <s v="Q4-2023"/>
    <d v="2023-11-09T00:00:00"/>
    <d v="2023-11-09T00:00:00"/>
    <n v="19"/>
    <x v="0"/>
    <x v="0"/>
    <s v="London"/>
    <s v="Non-Profit"/>
    <x v="2"/>
    <x v="13"/>
    <x v="2"/>
    <x v="489"/>
    <n v="1142.48"/>
    <n v="2105.5300000000002"/>
    <x v="122"/>
    <b v="0"/>
    <n v="14"/>
    <n v="23375.594060000003"/>
    <n v="15994.720000000001"/>
    <n v="7380.8740600000019"/>
    <n v="0.31575129346680658"/>
    <s v="High"/>
    <x v="0"/>
    <s v="High Discount"/>
    <n v="0.2"/>
    <n v="1199.604"/>
    <n v="15.400000000000002"/>
    <n v="25940.129600000007"/>
    <n v="7466.2280000000028"/>
  </r>
  <r>
    <x v="491"/>
    <x v="392"/>
    <x v="2"/>
    <s v="Q2-2025"/>
    <d v="2025-07-11T00:00:00"/>
    <d v="2025-07-11T00:00:00"/>
    <n v="15"/>
    <x v="1"/>
    <x v="8"/>
    <s v="Port Harcourt"/>
    <s v="Small Business"/>
    <x v="4"/>
    <x v="13"/>
    <x v="5"/>
    <x v="490"/>
    <n v="1170.1500000000001"/>
    <n v="2115.19"/>
    <x v="63"/>
    <b v="0"/>
    <n v="23"/>
    <n v="44173.627960000005"/>
    <n v="26913.45"/>
    <n v="17260.177960000005"/>
    <n v="0.39073489674946776"/>
    <s v="High"/>
    <x v="0"/>
    <s v="Low Discount"/>
    <n v="9.1999999999999998E-2"/>
    <n v="1228.6575000000003"/>
    <n v="25.3"/>
    <n v="48590.990756000007"/>
    <n v="17505.956006"/>
  </r>
  <r>
    <x v="492"/>
    <x v="393"/>
    <x v="25"/>
    <s v="Q3-2024"/>
    <d v="2024-08-20T00:00:00"/>
    <d v="2024-08-20T00:00:00"/>
    <n v="12"/>
    <x v="3"/>
    <x v="7"/>
    <s v="Osaka"/>
    <s v="Small Business"/>
    <x v="0"/>
    <x v="2"/>
    <x v="1"/>
    <x v="491"/>
    <n v="1233.3599999999999"/>
    <n v="2120.4"/>
    <x v="15"/>
    <b v="0"/>
    <n v="20"/>
    <n v="34816.968000000001"/>
    <n v="24667.199999999997"/>
    <n v="10149.768000000004"/>
    <n v="0.29151785991244278"/>
    <s v="High"/>
    <x v="0"/>
    <s v="Low Discount"/>
    <n v="0.17899999999999999"/>
    <n v="1295.028"/>
    <n v="22"/>
    <n v="38298.664799999999"/>
    <n v="9808.0487999999968"/>
  </r>
  <r>
    <x v="493"/>
    <x v="336"/>
    <x v="15"/>
    <s v="Q2-2024"/>
    <d v="2024-05-16T00:00:00"/>
    <d v="2024-05-16T00:00:00"/>
    <n v="15"/>
    <x v="3"/>
    <x v="9"/>
    <s v="Bengaluru"/>
    <s v="Small Business"/>
    <x v="0"/>
    <x v="5"/>
    <x v="4"/>
    <x v="492"/>
    <n v="901.19"/>
    <n v="2125.44"/>
    <x v="55"/>
    <b v="0"/>
    <n v="12"/>
    <n v="23694.405120000003"/>
    <n v="10814.28"/>
    <n v="12880.125120000002"/>
    <n v="0.54359352154100427"/>
    <s v="High"/>
    <x v="0"/>
    <s v="Low Discount"/>
    <n v="7.0999999999999994E-2"/>
    <n v="946.24950000000013"/>
    <n v="13.200000000000001"/>
    <n v="26063.845632000004"/>
    <n v="13573.352232000001"/>
  </r>
  <r>
    <x v="494"/>
    <x v="394"/>
    <x v="24"/>
    <s v="Q3-2023"/>
    <d v="2023-07-21T00:00:00"/>
    <d v="2023-08-05T00:00:00"/>
    <n v="14"/>
    <x v="3"/>
    <x v="9"/>
    <s v="Delhi"/>
    <s v="Small Business"/>
    <x v="3"/>
    <x v="10"/>
    <x v="6"/>
    <x v="493"/>
    <n v="946.99"/>
    <n v="2132.19"/>
    <x v="73"/>
    <b v="0"/>
    <n v="7"/>
    <n v="12462.650549999998"/>
    <n v="6628.93"/>
    <n v="5833.7205499999982"/>
    <n v="0.46809629513362216"/>
    <s v="High"/>
    <x v="0"/>
    <s v="Low Discount"/>
    <n v="0.16500000000000001"/>
    <n v="994.33950000000004"/>
    <n v="7.7000000000000011"/>
    <n v="13708.915605"/>
    <n v="6052.5014549999987"/>
  </r>
  <r>
    <x v="495"/>
    <x v="208"/>
    <x v="10"/>
    <s v="Q4-2023"/>
    <d v="2023-10-26T00:00:00"/>
    <d v="2023-10-26T00:00:00"/>
    <n v="17"/>
    <x v="3"/>
    <x v="10"/>
    <s v="Shanghai"/>
    <s v="Consumer"/>
    <x v="1"/>
    <x v="8"/>
    <x v="4"/>
    <x v="494"/>
    <n v="1132.03"/>
    <n v="2137.21"/>
    <x v="33"/>
    <b v="0"/>
    <n v="35"/>
    <n v="74802.350000000006"/>
    <n v="39621.049999999996"/>
    <n v="35181.30000000001"/>
    <n v="0.47032345908918649"/>
    <s v="High"/>
    <x v="0"/>
    <s v="Low Discount"/>
    <n v="0"/>
    <n v="1188.6315"/>
    <n v="38.5"/>
    <n v="82282.585000000006"/>
    <n v="36520.272250000009"/>
  </r>
  <r>
    <x v="496"/>
    <x v="23"/>
    <x v="8"/>
    <s v="Q1-2024"/>
    <d v="2024-03-04T00:00:00"/>
    <d v="2024-03-04T00:00:00"/>
    <n v="15"/>
    <x v="1"/>
    <x v="1"/>
    <s v="Kisumu"/>
    <s v="Education"/>
    <x v="2"/>
    <x v="12"/>
    <x v="6"/>
    <x v="495"/>
    <n v="928.68"/>
    <n v="2145.17"/>
    <x v="123"/>
    <b v="0"/>
    <n v="16"/>
    <n v="29654.83008"/>
    <n v="14858.88"/>
    <n v="14795.950080000001"/>
    <n v="0.49893896003062177"/>
    <s v="High"/>
    <x v="0"/>
    <s v="Low Discount"/>
    <n v="0.13600000000000001"/>
    <n v="975.11400000000003"/>
    <n v="17.600000000000001"/>
    <n v="32620.313088000003"/>
    <n v="15458.306688000001"/>
  </r>
  <r>
    <x v="497"/>
    <x v="395"/>
    <x v="23"/>
    <s v="Q2-2025"/>
    <d v="2025-05-19T00:00:00"/>
    <d v="2025-06-04T00:00:00"/>
    <n v="14"/>
    <x v="0"/>
    <x v="0"/>
    <s v="Birmingham"/>
    <s v="Enterprise"/>
    <x v="4"/>
    <x v="7"/>
    <x v="5"/>
    <x v="496"/>
    <n v="1015.16"/>
    <n v="2148.14"/>
    <x v="44"/>
    <b v="0"/>
    <n v="19"/>
    <n v="39263.702919999996"/>
    <n v="19288.04"/>
    <n v="19975.662919999995"/>
    <n v="0.50875647059322227"/>
    <s v="High"/>
    <x v="0"/>
    <s v="Low Discount"/>
    <n v="3.7999999999999999E-2"/>
    <n v="1065.9180000000001"/>
    <n v="20.900000000000002"/>
    <n v="43190.073212000003"/>
    <n v="20912.387011999999"/>
  </r>
  <r>
    <x v="498"/>
    <x v="255"/>
    <x v="17"/>
    <s v="Q2-2023"/>
    <d v="2023-06-23T00:00:00"/>
    <d v="2023-06-23T00:00:00"/>
    <n v="8"/>
    <x v="2"/>
    <x v="3"/>
    <s v="San Francisco"/>
    <s v="Consumer"/>
    <x v="3"/>
    <x v="11"/>
    <x v="0"/>
    <x v="497"/>
    <n v="1097.0899999999999"/>
    <n v="2182.31"/>
    <x v="105"/>
    <b v="0"/>
    <n v="9"/>
    <n v="17441.021520000002"/>
    <n v="9873.81"/>
    <n v="7567.2115200000026"/>
    <n v="0.43387432962699546"/>
    <s v="High"/>
    <x v="0"/>
    <s v="Low Discount"/>
    <n v="0.112"/>
    <n v="1151.9445000000001"/>
    <n v="9.9"/>
    <n v="19185.123672000002"/>
    <n v="7780.8731220000009"/>
  </r>
  <r>
    <x v="499"/>
    <x v="169"/>
    <x v="2"/>
    <s v="Q2-2025"/>
    <d v="2025-06-05T00:00:00"/>
    <d v="2025-06-05T00:00:00"/>
    <n v="4"/>
    <x v="0"/>
    <x v="6"/>
    <s v="Munich"/>
    <s v="Enterprise"/>
    <x v="2"/>
    <x v="7"/>
    <x v="4"/>
    <x v="498"/>
    <n v="1171.42"/>
    <n v="2187.8000000000002"/>
    <x v="198"/>
    <b v="0"/>
    <n v="15"/>
    <n v="25269.090000000004"/>
    <n v="17571.300000000003"/>
    <n v="7697.7900000000009"/>
    <n v="0.30463265594447603"/>
    <s v="High"/>
    <x v="1"/>
    <s v="High Discount"/>
    <n v="0.2"/>
    <n v="1229.9910000000002"/>
    <n v="16.5"/>
    <n v="28878.960000000003"/>
    <n v="8584.1084999999985"/>
  </r>
  <r>
    <x v="500"/>
    <x v="396"/>
    <x v="32"/>
    <s v="Q4-2023"/>
    <d v="2024-01-14T00:00:00"/>
    <d v="2024-01-14T00:00:00"/>
    <n v="27"/>
    <x v="3"/>
    <x v="9"/>
    <s v="Mumbai"/>
    <s v="Consumer"/>
    <x v="3"/>
    <x v="0"/>
    <x v="1"/>
    <x v="499"/>
    <n v="1408.3"/>
    <n v="2193.13"/>
    <x v="55"/>
    <b v="0"/>
    <n v="7"/>
    <n v="14261.924390000002"/>
    <n v="9858.1"/>
    <n v="4403.8243900000016"/>
    <n v="0.30878191957656292"/>
    <s v="High"/>
    <x v="0"/>
    <s v="Low Discount"/>
    <n v="7.0999999999999994E-2"/>
    <n v="1478.7149999999999"/>
    <n v="7.7000000000000011"/>
    <n v="15688.116829000004"/>
    <n v="4302.0113290000027"/>
  </r>
  <r>
    <x v="501"/>
    <x v="156"/>
    <x v="2"/>
    <s v="Q2-2025"/>
    <d v="2025-07-11T00:00:00"/>
    <d v="2025-07-11T00:00:00"/>
    <n v="14"/>
    <x v="3"/>
    <x v="10"/>
    <s v="Shanghai"/>
    <s v="Small Business"/>
    <x v="1"/>
    <x v="5"/>
    <x v="1"/>
    <x v="500"/>
    <n v="1227.7"/>
    <n v="2197.23"/>
    <x v="147"/>
    <b v="0"/>
    <n v="22"/>
    <n v="43553.493060000001"/>
    <n v="27009.4"/>
    <n v="16544.093059999999"/>
    <n v="0.37985685871873898"/>
    <s v="High"/>
    <x v="0"/>
    <s v="Low Discount"/>
    <n v="9.9000000000000005E-2"/>
    <n v="1289.085"/>
    <n v="24.200000000000003"/>
    <n v="47908.842366000004"/>
    <n v="16712.985366000001"/>
  </r>
  <r>
    <x v="502"/>
    <x v="313"/>
    <x v="12"/>
    <s v="Q1-2025"/>
    <d v="2025-02-27T00:00:00"/>
    <d v="2025-02-27T00:00:00"/>
    <n v="12"/>
    <x v="0"/>
    <x v="2"/>
    <s v="Lyon"/>
    <s v="Non-Profit"/>
    <x v="2"/>
    <x v="12"/>
    <x v="2"/>
    <x v="501"/>
    <n v="1027.26"/>
    <n v="2200.41"/>
    <x v="127"/>
    <b v="0"/>
    <n v="6"/>
    <n v="12040.64352"/>
    <n v="6163.5599999999995"/>
    <n v="5877.0835200000001"/>
    <n v="0.48810377204822358"/>
    <s v="High"/>
    <x v="0"/>
    <s v="Low Discount"/>
    <n v="8.7999999999999995E-2"/>
    <n v="1078.623"/>
    <n v="6.6000000000000005"/>
    <n v="13244.707872000001"/>
    <n v="6125.7960720000001"/>
  </r>
  <r>
    <x v="503"/>
    <x v="291"/>
    <x v="31"/>
    <s v="Q2-2024"/>
    <d v="2024-04-21T00:00:00"/>
    <d v="2024-04-21T00:00:00"/>
    <n v="18"/>
    <x v="2"/>
    <x v="5"/>
    <s v="Brasília"/>
    <s v="Small Business"/>
    <x v="3"/>
    <x v="4"/>
    <x v="1"/>
    <x v="502"/>
    <n v="1176.69"/>
    <n v="2201.54"/>
    <x v="192"/>
    <b v="0"/>
    <n v="27"/>
    <n v="49336.511399999996"/>
    <n v="31770.63"/>
    <n v="17565.881399999995"/>
    <n v="0.35604222717701106"/>
    <s v="High"/>
    <x v="0"/>
    <s v="Low Discount"/>
    <n v="0.17"/>
    <n v="1235.5245000000002"/>
    <n v="29.700000000000003"/>
    <n v="54270.162540000005"/>
    <n v="17575.084889999998"/>
  </r>
  <r>
    <x v="504"/>
    <x v="397"/>
    <x v="20"/>
    <s v="Q4-2024"/>
    <d v="2024-10-11T00:00:00"/>
    <d v="2024-10-11T00:00:00"/>
    <n v="8"/>
    <x v="3"/>
    <x v="10"/>
    <s v="Beijing"/>
    <s v="Enterprise"/>
    <x v="2"/>
    <x v="4"/>
    <x v="3"/>
    <x v="503"/>
    <n v="1132.6099999999999"/>
    <n v="2206.63"/>
    <x v="154"/>
    <b v="0"/>
    <n v="20"/>
    <n v="41352.246200000009"/>
    <n v="22652.199999999997"/>
    <n v="18700.046200000012"/>
    <n v="0.45221355351671338"/>
    <s v="High"/>
    <x v="0"/>
    <s v="Low Discount"/>
    <n v="6.3E-2"/>
    <n v="1189.2404999999999"/>
    <n v="22"/>
    <n v="45487.47082000001"/>
    <n v="19324.179820000012"/>
  </r>
  <r>
    <x v="505"/>
    <x v="366"/>
    <x v="4"/>
    <s v="Q2-2024"/>
    <d v="2024-06-09T00:00:00"/>
    <d v="2024-06-09T00:00:00"/>
    <n v="2"/>
    <x v="3"/>
    <x v="10"/>
    <s v="Shanghai"/>
    <s v="Corporate"/>
    <x v="0"/>
    <x v="11"/>
    <x v="0"/>
    <x v="504"/>
    <n v="1370.28"/>
    <n v="2209.66"/>
    <x v="59"/>
    <b v="0"/>
    <n v="16"/>
    <n v="30652.403519999996"/>
    <n v="21924.48"/>
    <n v="8727.9235199999966"/>
    <n v="0.28473863442079589"/>
    <s v="High"/>
    <x v="1"/>
    <s v="Low Discount"/>
    <n v="0.13300000000000001"/>
    <n v="1438.7940000000001"/>
    <n v="17.600000000000001"/>
    <n v="33717.643872000001"/>
    <n v="8394.8694719999985"/>
  </r>
  <r>
    <x v="506"/>
    <x v="398"/>
    <x v="4"/>
    <s v="Q2-2024"/>
    <d v="2024-06-24T00:00:00"/>
    <d v="2024-06-24T00:00:00"/>
    <n v="21"/>
    <x v="2"/>
    <x v="11"/>
    <s v="Toronto"/>
    <s v="Small Business"/>
    <x v="2"/>
    <x v="14"/>
    <x v="0"/>
    <x v="505"/>
    <n v="1205.5"/>
    <n v="2210.17"/>
    <x v="101"/>
    <b v="0"/>
    <n v="23"/>
    <n v="45547.183360000003"/>
    <n v="27726.5"/>
    <n v="17820.683360000003"/>
    <n v="0.39125763758314652"/>
    <s v="High"/>
    <x v="0"/>
    <s v="Low Discount"/>
    <n v="0.104"/>
    <n v="1265.7750000000001"/>
    <n v="25.3"/>
    <n v="50101.901696000001"/>
    <n v="18077.794195999999"/>
  </r>
  <r>
    <x v="507"/>
    <x v="399"/>
    <x v="8"/>
    <s v="Q1-2024"/>
    <d v="2024-03-04T00:00:00"/>
    <d v="2024-03-04T00:00:00"/>
    <n v="17"/>
    <x v="2"/>
    <x v="11"/>
    <s v="Montreal"/>
    <s v="Non-Profit"/>
    <x v="0"/>
    <x v="0"/>
    <x v="5"/>
    <x v="506"/>
    <n v="1350.98"/>
    <n v="2210.4"/>
    <x v="199"/>
    <b v="0"/>
    <n v="6"/>
    <n v="9774.3888000000006"/>
    <n v="8105.88"/>
    <n v="1668.5088000000005"/>
    <n v="0.17070211080615091"/>
    <s v="High"/>
    <x v="0"/>
    <s v="High Discount"/>
    <n v="0.2"/>
    <n v="1418.529"/>
    <n v="6.6000000000000005"/>
    <n v="11670.912000000002"/>
    <n v="2308.620600000002"/>
  </r>
  <r>
    <x v="508"/>
    <x v="22"/>
    <x v="7"/>
    <s v="Q2-2023"/>
    <d v="2023-06-03T00:00:00"/>
    <d v="2023-06-03T00:00:00"/>
    <n v="17"/>
    <x v="3"/>
    <x v="10"/>
    <s v="Beijing"/>
    <s v="Non-Profit"/>
    <x v="3"/>
    <x v="7"/>
    <x v="6"/>
    <x v="507"/>
    <n v="979.59"/>
    <n v="2210.94"/>
    <x v="200"/>
    <b v="0"/>
    <n v="11"/>
    <n v="20672.289000000001"/>
    <n v="10775.49"/>
    <n v="9896.7990000000009"/>
    <n v="0.47874712858358359"/>
    <s v="High"/>
    <x v="0"/>
    <s v="Low Discount"/>
    <n v="0.15"/>
    <n v="1028.5695000000001"/>
    <n v="12.100000000000001"/>
    <n v="22739.517900000003"/>
    <n v="10293.826950000001"/>
  </r>
  <r>
    <x v="509"/>
    <x v="400"/>
    <x v="3"/>
    <s v="Q1-2024"/>
    <d v="2024-04-11T00:00:00"/>
    <d v="2024-04-11T00:00:00"/>
    <n v="15"/>
    <x v="2"/>
    <x v="3"/>
    <s v="San Francisco"/>
    <s v="Small Business"/>
    <x v="2"/>
    <x v="11"/>
    <x v="1"/>
    <x v="508"/>
    <n v="1338.35"/>
    <n v="2247.14"/>
    <x v="68"/>
    <b v="0"/>
    <n v="40"/>
    <n v="79548.755999999994"/>
    <n v="53534"/>
    <n v="26014.755999999994"/>
    <n v="0.32702907384246205"/>
    <s v="High"/>
    <x v="0"/>
    <s v="Low Discount"/>
    <n v="0.115"/>
    <n v="1405.2674999999999"/>
    <n v="44"/>
    <n v="87503.631599999993"/>
    <n v="25671.861599999997"/>
  </r>
  <r>
    <x v="510"/>
    <x v="401"/>
    <x v="25"/>
    <s v="Q3-2024"/>
    <d v="2024-09-04T00:00:00"/>
    <d v="2024-09-04T00:00:00"/>
    <n v="21"/>
    <x v="0"/>
    <x v="0"/>
    <s v="Manchester"/>
    <s v="Non-Profit"/>
    <x v="4"/>
    <x v="3"/>
    <x v="3"/>
    <x v="509"/>
    <n v="1138.8"/>
    <n v="2250.81"/>
    <x v="148"/>
    <b v="0"/>
    <n v="12"/>
    <n v="23687.524440000001"/>
    <n v="13665.599999999999"/>
    <n v="10021.924440000003"/>
    <n v="0.42308872188756258"/>
    <s v="High"/>
    <x v="0"/>
    <s v="Low Discount"/>
    <n v="0.123"/>
    <n v="1195.74"/>
    <n v="13.200000000000001"/>
    <n v="26056.276884000003"/>
    <n v="10272.508884000001"/>
  </r>
  <r>
    <x v="511"/>
    <x v="174"/>
    <x v="7"/>
    <s v="Q2-2023"/>
    <d v="2023-05-18T00:00:00"/>
    <d v="2023-05-18T00:00:00"/>
    <n v="16"/>
    <x v="3"/>
    <x v="9"/>
    <s v="Delhi"/>
    <s v="Small Business"/>
    <x v="1"/>
    <x v="12"/>
    <x v="0"/>
    <x v="510"/>
    <n v="1463.92"/>
    <n v="2252.2399999999998"/>
    <x v="4"/>
    <b v="0"/>
    <n v="44"/>
    <n v="87404.929919999995"/>
    <n v="64412.480000000003"/>
    <n v="22992.449919999992"/>
    <n v="0.26305667130040061"/>
    <s v="High"/>
    <x v="0"/>
    <s v="Low Discount"/>
    <n v="0.11799999999999999"/>
    <n v="1537.1160000000002"/>
    <n v="48.400000000000006"/>
    <n v="96145.422911999995"/>
    <n v="21749.008511999971"/>
  </r>
  <r>
    <x v="512"/>
    <x v="163"/>
    <x v="12"/>
    <s v="Q1-2025"/>
    <d v="2025-02-25T00:00:00"/>
    <d v="2025-02-25T00:00:00"/>
    <n v="21"/>
    <x v="0"/>
    <x v="0"/>
    <s v="Birmingham"/>
    <s v="Corporate"/>
    <x v="1"/>
    <x v="0"/>
    <x v="0"/>
    <x v="511"/>
    <n v="1016.32"/>
    <n v="2253.42"/>
    <x v="168"/>
    <b v="0"/>
    <n v="12"/>
    <n v="25553.782799999997"/>
    <n v="12195.84"/>
    <n v="13357.942799999997"/>
    <n v="0.52273837124419786"/>
    <s v="High"/>
    <x v="0"/>
    <s v="Low Discount"/>
    <n v="5.5E-2"/>
    <n v="1067.1360000000002"/>
    <n v="13.200000000000001"/>
    <n v="28109.161079999998"/>
    <n v="14022.965879999994"/>
  </r>
  <r>
    <x v="513"/>
    <x v="402"/>
    <x v="24"/>
    <s v="Q3-2023"/>
    <d v="2023-07-31T00:00:00"/>
    <d v="2023-07-31T00:00:00"/>
    <n v="12"/>
    <x v="2"/>
    <x v="5"/>
    <s v="Rio de Janeiro"/>
    <s v="Corporate"/>
    <x v="0"/>
    <x v="8"/>
    <x v="0"/>
    <x v="512"/>
    <n v="1334.64"/>
    <n v="2273.42"/>
    <x v="4"/>
    <b v="0"/>
    <n v="14"/>
    <n v="28072.190159999998"/>
    <n v="18684.960000000003"/>
    <n v="9387.2301599999955"/>
    <n v="0.33439607335575261"/>
    <s v="High"/>
    <x v="0"/>
    <s v="Low Discount"/>
    <n v="0.11799999999999999"/>
    <n v="1401.3720000000001"/>
    <n v="15.400000000000002"/>
    <n v="30879.409176000005"/>
    <n v="9298.2803759999988"/>
  </r>
  <r>
    <x v="514"/>
    <x v="395"/>
    <x v="23"/>
    <s v="Q2-2025"/>
    <d v="2025-05-19T00:00:00"/>
    <d v="2025-06-04T00:00:00"/>
    <n v="14"/>
    <x v="1"/>
    <x v="4"/>
    <s v="Johannesburg"/>
    <s v="Non-Profit"/>
    <x v="3"/>
    <x v="11"/>
    <x v="5"/>
    <x v="513"/>
    <n v="1263.8399999999999"/>
    <n v="2281.7199999999998"/>
    <x v="78"/>
    <b v="0"/>
    <n v="15"/>
    <n v="31556.187600000001"/>
    <n v="18957.599999999999"/>
    <n v="12598.587600000003"/>
    <n v="0.399243018823985"/>
    <s v="High"/>
    <x v="0"/>
    <s v="Low Discount"/>
    <n v="7.8E-2"/>
    <n v="1327.0319999999999"/>
    <n v="16.5"/>
    <n v="34711.806360000002"/>
    <n v="12815.778360000004"/>
  </r>
  <r>
    <x v="515"/>
    <x v="81"/>
    <x v="9"/>
    <s v="Q3-2023"/>
    <d v="2023-08-02T00:00:00"/>
    <d v="2023-08-17T00:00:00"/>
    <n v="14"/>
    <x v="3"/>
    <x v="10"/>
    <s v="Shanghai"/>
    <s v="Non-Profit"/>
    <x v="2"/>
    <x v="3"/>
    <x v="1"/>
    <x v="514"/>
    <n v="1021.97"/>
    <n v="2296.25"/>
    <x v="201"/>
    <b v="0"/>
    <n v="26"/>
    <n v="50090.397499999999"/>
    <n v="26571.22"/>
    <n v="23519.177499999998"/>
    <n v="0.46953465482081669"/>
    <s v="High"/>
    <x v="0"/>
    <s v="Low Discount"/>
    <n v="0.161"/>
    <n v="1073.0685000000001"/>
    <n v="28.6"/>
    <n v="55099.437250000003"/>
    <n v="24409.67815"/>
  </r>
  <r>
    <x v="516"/>
    <x v="403"/>
    <x v="2"/>
    <s v="Q2-2025"/>
    <d v="2025-07-05T00:00:00"/>
    <d v="2025-07-05T00:00:00"/>
    <n v="18"/>
    <x v="3"/>
    <x v="9"/>
    <s v="Delhi"/>
    <s v="Consumer"/>
    <x v="1"/>
    <x v="5"/>
    <x v="5"/>
    <x v="515"/>
    <n v="982.93"/>
    <n v="2299.3000000000002"/>
    <x v="61"/>
    <b v="0"/>
    <n v="6"/>
    <n v="12236.874600000001"/>
    <n v="5897.58"/>
    <n v="6339.2946000000011"/>
    <n v="0.51804850562087157"/>
    <s v="High"/>
    <x v="0"/>
    <s v="Low Discount"/>
    <n v="0.113"/>
    <n v="1032.0764999999999"/>
    <n v="6.6000000000000005"/>
    <n v="13460.562060000002"/>
    <n v="6648.8571600000023"/>
  </r>
  <r>
    <x v="517"/>
    <x v="404"/>
    <x v="14"/>
    <s v="Q1-2025"/>
    <d v="2025-03-29T00:00:00"/>
    <d v="2025-03-29T00:00:00"/>
    <n v="14"/>
    <x v="3"/>
    <x v="9"/>
    <s v="Mumbai"/>
    <s v="Enterprise"/>
    <x v="2"/>
    <x v="8"/>
    <x v="4"/>
    <x v="516"/>
    <n v="935.83"/>
    <n v="2303.46"/>
    <x v="99"/>
    <b v="0"/>
    <n v="9"/>
    <n v="18554.370300000002"/>
    <n v="8422.4700000000012"/>
    <n v="10131.900300000001"/>
    <n v="0.54606543559174303"/>
    <s v="High"/>
    <x v="0"/>
    <s v="Low Discount"/>
    <n v="0.105"/>
    <n v="982.62150000000008"/>
    <n v="9.9"/>
    <n v="20409.80733"/>
    <n v="10681.854479999998"/>
  </r>
  <r>
    <x v="518"/>
    <x v="340"/>
    <x v="19"/>
    <s v="Q3-2024"/>
    <d v="2024-09-04T00:00:00"/>
    <d v="2024-09-20T00:00:00"/>
    <n v="14"/>
    <x v="3"/>
    <x v="7"/>
    <s v="Osaka"/>
    <s v="Corporate"/>
    <x v="2"/>
    <x v="13"/>
    <x v="5"/>
    <x v="517"/>
    <n v="1368.17"/>
    <n v="2307.75"/>
    <x v="52"/>
    <b v="0"/>
    <n v="21"/>
    <n v="40563.321749999996"/>
    <n v="28731.57"/>
    <n v="11831.751749999996"/>
    <n v="0.29168596750831921"/>
    <s v="High"/>
    <x v="0"/>
    <s v="Low Discount"/>
    <n v="0.16300000000000001"/>
    <n v="1436.5785000000001"/>
    <n v="23.1"/>
    <n v="44619.653924999999"/>
    <n v="11434.690574999993"/>
  </r>
  <r>
    <x v="519"/>
    <x v="395"/>
    <x v="23"/>
    <s v="Q2-2025"/>
    <d v="2025-06-09T00:00:00"/>
    <d v="2025-06-09T00:00:00"/>
    <n v="19"/>
    <x v="2"/>
    <x v="5"/>
    <s v="São Paulo"/>
    <s v="Non-Profit"/>
    <x v="4"/>
    <x v="13"/>
    <x v="4"/>
    <x v="518"/>
    <n v="1331.38"/>
    <n v="2309.56"/>
    <x v="109"/>
    <b v="0"/>
    <n v="31"/>
    <n v="60928.502359999999"/>
    <n v="41272.780000000006"/>
    <n v="19655.722359999992"/>
    <n v="0.32260307735553528"/>
    <s v="High"/>
    <x v="0"/>
    <s v="Low Discount"/>
    <n v="0.14899999999999999"/>
    <n v="1397.9490000000001"/>
    <n v="34.1"/>
    <n v="67021.352595999997"/>
    <n v="19351.291695999993"/>
  </r>
  <r>
    <x v="520"/>
    <x v="405"/>
    <x v="32"/>
    <s v="Q4-2023"/>
    <d v="2024-01-01T00:00:00"/>
    <d v="2024-01-01T00:00:00"/>
    <n v="4"/>
    <x v="1"/>
    <x v="4"/>
    <s v="Cape Town"/>
    <s v="Education"/>
    <x v="3"/>
    <x v="13"/>
    <x v="6"/>
    <x v="519"/>
    <n v="1141.8"/>
    <n v="2318.7399999999998"/>
    <x v="41"/>
    <b v="0"/>
    <n v="32"/>
    <n v="66260.314239999992"/>
    <n v="36537.599999999999"/>
    <n v="29722.714239999994"/>
    <n v="0.44857490612468304"/>
    <s v="High"/>
    <x v="1"/>
    <s v="Low Discount"/>
    <n v="0.107"/>
    <n v="1198.8900000000001"/>
    <n v="35.200000000000003"/>
    <n v="72886.345663999993"/>
    <n v="30685.417663999986"/>
  </r>
  <r>
    <x v="521"/>
    <x v="406"/>
    <x v="8"/>
    <s v="Q1-2024"/>
    <d v="2024-03-26T00:00:00"/>
    <d v="2024-03-26T00:00:00"/>
    <n v="28"/>
    <x v="3"/>
    <x v="9"/>
    <s v="Mumbai"/>
    <s v="Education"/>
    <x v="1"/>
    <x v="14"/>
    <x v="5"/>
    <x v="520"/>
    <n v="1035.19"/>
    <n v="2322.6999999999998"/>
    <x v="16"/>
    <b v="0"/>
    <n v="8"/>
    <n v="15366.983199999999"/>
    <n v="8281.52"/>
    <n v="7085.4631999999983"/>
    <n v="0.46108355217047409"/>
    <s v="High"/>
    <x v="0"/>
    <s v="Low Discount"/>
    <n v="0.17299999999999999"/>
    <n v="1086.9495000000002"/>
    <n v="8.8000000000000007"/>
    <n v="16903.681519999998"/>
    <n v="7338.5259199999964"/>
  </r>
  <r>
    <x v="522"/>
    <x v="407"/>
    <x v="16"/>
    <s v="Q2-2023"/>
    <d v="2023-04-17T00:00:00"/>
    <d v="2023-04-17T00:00:00"/>
    <n v="5"/>
    <x v="0"/>
    <x v="2"/>
    <s v="Lyon"/>
    <s v="Enterprise"/>
    <x v="2"/>
    <x v="10"/>
    <x v="0"/>
    <x v="521"/>
    <n v="1087.81"/>
    <n v="2323.87"/>
    <x v="75"/>
    <b v="0"/>
    <n v="13"/>
    <n v="27370.540859999997"/>
    <n v="14141.529999999999"/>
    <n v="13229.010859999999"/>
    <n v="0.48333026839572651"/>
    <s v="High"/>
    <x v="1"/>
    <s v="Low Discount"/>
    <n v="9.4E-2"/>
    <n v="1142.2004999999999"/>
    <n v="14.3"/>
    <n v="30107.594945999997"/>
    <n v="13774.127795999997"/>
  </r>
  <r>
    <x v="523"/>
    <x v="408"/>
    <x v="4"/>
    <s v="Q2-2024"/>
    <d v="2024-07-03T00:00:00"/>
    <d v="2024-07-03T00:00:00"/>
    <n v="17"/>
    <x v="1"/>
    <x v="4"/>
    <s v="Johannesburg"/>
    <s v="Enterprise"/>
    <x v="1"/>
    <x v="6"/>
    <x v="3"/>
    <x v="522"/>
    <n v="1173.83"/>
    <n v="2328.9"/>
    <x v="38"/>
    <b v="0"/>
    <n v="17"/>
    <n v="34840.344000000005"/>
    <n v="19955.11"/>
    <n v="14885.234000000004"/>
    <n v="0.42724130393201637"/>
    <s v="High"/>
    <x v="0"/>
    <s v="Low Discount"/>
    <n v="0.12"/>
    <n v="1232.5215000000001"/>
    <n v="18.700000000000003"/>
    <n v="38324.378400000009"/>
    <n v="15276.226350000004"/>
  </r>
  <r>
    <x v="524"/>
    <x v="409"/>
    <x v="1"/>
    <s v="Q1-2023"/>
    <d v="2023-02-26T00:00:00"/>
    <d v="2023-03-13T00:00:00"/>
    <n v="14"/>
    <x v="2"/>
    <x v="3"/>
    <s v="San Francisco"/>
    <s v="Non-Profit"/>
    <x v="4"/>
    <x v="5"/>
    <x v="1"/>
    <x v="523"/>
    <n v="1015.91"/>
    <n v="2331.48"/>
    <x v="160"/>
    <b v="0"/>
    <n v="26"/>
    <n v="51768.181920000003"/>
    <n v="26413.66"/>
    <n v="25354.521920000003"/>
    <n v="0.48977037592669626"/>
    <s v="High"/>
    <x v="0"/>
    <s v="Low Discount"/>
    <n v="0.14599999999999999"/>
    <n v="1066.7055"/>
    <n v="28.6"/>
    <n v="56945.000112000002"/>
    <n v="26437.222812"/>
  </r>
  <r>
    <x v="525"/>
    <x v="410"/>
    <x v="20"/>
    <s v="Q4-2024"/>
    <d v="2024-10-23T00:00:00"/>
    <d v="2024-10-23T00:00:00"/>
    <n v="21"/>
    <x v="1"/>
    <x v="4"/>
    <s v="Durban"/>
    <s v="Corporate"/>
    <x v="1"/>
    <x v="13"/>
    <x v="4"/>
    <x v="524"/>
    <n v="1095.6099999999999"/>
    <n v="2366.5100000000002"/>
    <x v="146"/>
    <b v="0"/>
    <n v="9"/>
    <n v="18061.204320000001"/>
    <n v="9860.49"/>
    <n v="8200.714320000001"/>
    <n v="0.45405135641586059"/>
    <s v="High"/>
    <x v="0"/>
    <s v="Low Discount"/>
    <n v="0.152"/>
    <n v="1150.3905"/>
    <n v="9.9"/>
    <n v="19867.324752"/>
    <n v="8478.458802000001"/>
  </r>
  <r>
    <x v="526"/>
    <x v="411"/>
    <x v="18"/>
    <s v="Q3-2025"/>
    <d v="2025-08-05T00:00:00"/>
    <d v="2025-08-05T00:00:00"/>
    <n v="16"/>
    <x v="2"/>
    <x v="5"/>
    <s v="Brasília"/>
    <s v="Enterprise"/>
    <x v="1"/>
    <x v="14"/>
    <x v="2"/>
    <x v="525"/>
    <n v="1068.17"/>
    <n v="2375.37"/>
    <x v="144"/>
    <b v="0"/>
    <n v="18"/>
    <n v="38096.18406"/>
    <n v="19227.060000000001"/>
    <n v="18869.124059999998"/>
    <n v="0.49530220744108822"/>
    <s v="High"/>
    <x v="0"/>
    <s v="Low Discount"/>
    <n v="0.109"/>
    <n v="1121.5785000000001"/>
    <n v="19.8"/>
    <n v="41905.802466000001"/>
    <n v="19698.548166"/>
  </r>
  <r>
    <x v="527"/>
    <x v="412"/>
    <x v="0"/>
    <s v="Q4-2024"/>
    <d v="2024-12-26T00:00:00"/>
    <d v="2024-12-26T00:00:00"/>
    <n v="19"/>
    <x v="0"/>
    <x v="0"/>
    <s v="London"/>
    <s v="Enterprise"/>
    <x v="4"/>
    <x v="0"/>
    <x v="1"/>
    <x v="526"/>
    <n v="1035.24"/>
    <n v="2383.41"/>
    <x v="192"/>
    <b v="0"/>
    <n v="15"/>
    <n v="29673.454499999996"/>
    <n v="15528.6"/>
    <n v="14144.854499999996"/>
    <n v="0.47668378145860968"/>
    <s v="High"/>
    <x v="0"/>
    <s v="Low Discount"/>
    <n v="0.17"/>
    <n v="1087.002"/>
    <n v="16.5"/>
    <n v="32640.799949999997"/>
    <n v="14705.266949999997"/>
  </r>
  <r>
    <x v="528"/>
    <x v="192"/>
    <x v="32"/>
    <s v="Q4-2023"/>
    <d v="2024-01-02T00:00:00"/>
    <d v="2024-01-02T00:00:00"/>
    <n v="26"/>
    <x v="0"/>
    <x v="6"/>
    <s v="Frankfurt"/>
    <s v="Enterprise"/>
    <x v="3"/>
    <x v="10"/>
    <x v="4"/>
    <x v="527"/>
    <n v="1071.99"/>
    <n v="2397.3000000000002"/>
    <x v="202"/>
    <b v="0"/>
    <n v="18"/>
    <n v="40476.013199999994"/>
    <n v="19295.82"/>
    <n v="21180.193199999994"/>
    <n v="0.52327765324476172"/>
    <s v="High"/>
    <x v="0"/>
    <s v="Low Discount"/>
    <n v="6.2E-2"/>
    <n v="1125.5895"/>
    <n v="19.8"/>
    <n v="44523.614519999996"/>
    <n v="22236.942419999992"/>
  </r>
  <r>
    <x v="529"/>
    <x v="413"/>
    <x v="19"/>
    <s v="Q3-2024"/>
    <d v="2024-10-18T00:00:00"/>
    <d v="2024-10-18T00:00:00"/>
    <n v="25"/>
    <x v="2"/>
    <x v="11"/>
    <s v="Vancouver"/>
    <s v="Small Business"/>
    <x v="4"/>
    <x v="9"/>
    <x v="3"/>
    <x v="528"/>
    <n v="1297"/>
    <n v="2411.52"/>
    <x v="203"/>
    <b v="0"/>
    <n v="18"/>
    <n v="42495.805439999996"/>
    <n v="23346"/>
    <n v="19149.805439999996"/>
    <n v="0.45062813239385913"/>
    <s v="High"/>
    <x v="0"/>
    <s v="Low Discount"/>
    <n v="2.1000000000000001E-2"/>
    <n v="1361.8500000000001"/>
    <n v="19.8"/>
    <n v="46745.385984"/>
    <n v="19780.755983999996"/>
  </r>
  <r>
    <x v="530"/>
    <x v="370"/>
    <x v="15"/>
    <s v="Q2-2024"/>
    <d v="2024-06-18T00:00:00"/>
    <d v="2024-06-18T00:00:00"/>
    <n v="21"/>
    <x v="0"/>
    <x v="6"/>
    <s v="Frankfurt"/>
    <s v="Small Business"/>
    <x v="4"/>
    <x v="10"/>
    <x v="3"/>
    <x v="529"/>
    <n v="986.85"/>
    <n v="2422.1"/>
    <x v="204"/>
    <b v="0"/>
    <n v="10"/>
    <n v="22380.203999999998"/>
    <n v="9868.5"/>
    <n v="12511.703999999998"/>
    <n v="0.55905227673527902"/>
    <s v="High"/>
    <x v="0"/>
    <s v="Low Discount"/>
    <n v="7.5999999999999998E-2"/>
    <n v="1036.1925000000001"/>
    <n v="11"/>
    <n v="24618.224399999999"/>
    <n v="13220.106899999999"/>
  </r>
  <r>
    <x v="531"/>
    <x v="12"/>
    <x v="9"/>
    <s v="Q3-2023"/>
    <d v="2023-09-03T00:00:00"/>
    <d v="2023-09-03T00:00:00"/>
    <n v="4"/>
    <x v="3"/>
    <x v="9"/>
    <s v="Delhi"/>
    <s v="Small Business"/>
    <x v="1"/>
    <x v="5"/>
    <x v="2"/>
    <x v="530"/>
    <n v="1082.25"/>
    <n v="2433.34"/>
    <x v="205"/>
    <b v="0"/>
    <n v="4"/>
    <n v="7105.3528000000006"/>
    <n v="4329"/>
    <n v="2776.3528000000006"/>
    <n v="0.3907410199251472"/>
    <s v="High"/>
    <x v="1"/>
    <s v="High Discount"/>
    <n v="0.2"/>
    <n v="1136.3625"/>
    <n v="4.4000000000000004"/>
    <n v="8565.3568000000014"/>
    <n v="3565.3618000000015"/>
  </r>
  <r>
    <x v="532"/>
    <x v="414"/>
    <x v="11"/>
    <s v="Q3-2025"/>
    <d v="2025-09-11T00:00:00"/>
    <d v="2025-09-11T00:00:00"/>
    <n v="28"/>
    <x v="2"/>
    <x v="5"/>
    <s v="São Paulo"/>
    <s v="Non-Profit"/>
    <x v="2"/>
    <x v="6"/>
    <x v="6"/>
    <x v="531"/>
    <n v="1203.02"/>
    <n v="2439.33"/>
    <x v="33"/>
    <b v="0"/>
    <n v="18"/>
    <n v="43907.94"/>
    <n v="21654.36"/>
    <n v="22253.58"/>
    <n v="0.50682359500354612"/>
    <s v="High"/>
    <x v="0"/>
    <s v="Low Discount"/>
    <n v="0"/>
    <n v="1263.171"/>
    <n v="19.8"/>
    <n v="48298.733999999997"/>
    <n v="23287.948199999995"/>
  </r>
  <r>
    <x v="533"/>
    <x v="171"/>
    <x v="16"/>
    <s v="Q2-2023"/>
    <d v="2023-04-28T00:00:00"/>
    <d v="2023-04-28T00:00:00"/>
    <n v="9"/>
    <x v="0"/>
    <x v="6"/>
    <s v="Berlin"/>
    <s v="Education"/>
    <x v="4"/>
    <x v="10"/>
    <x v="0"/>
    <x v="532"/>
    <n v="1178.42"/>
    <n v="2446.56"/>
    <x v="62"/>
    <b v="0"/>
    <n v="11"/>
    <n v="26131.707359999997"/>
    <n v="12962.62"/>
    <n v="13169.087359999996"/>
    <n v="0.50395051416188819"/>
    <s v="High"/>
    <x v="0"/>
    <s v="Low Discount"/>
    <n v="2.9000000000000001E-2"/>
    <n v="1237.3410000000001"/>
    <n v="12.100000000000001"/>
    <n v="28744.878096"/>
    <n v="13773.051995999997"/>
  </r>
  <r>
    <x v="534"/>
    <x v="96"/>
    <x v="28"/>
    <s v="Q3-2023"/>
    <d v="2023-10-02T00:00:00"/>
    <d v="2023-10-02T00:00:00"/>
    <n v="24"/>
    <x v="2"/>
    <x v="11"/>
    <s v="Toronto"/>
    <s v="Education"/>
    <x v="2"/>
    <x v="13"/>
    <x v="2"/>
    <x v="533"/>
    <n v="1299.03"/>
    <n v="2451.2199999999998"/>
    <x v="206"/>
    <b v="0"/>
    <n v="8"/>
    <n v="15530.929919999999"/>
    <n v="10392.24"/>
    <n v="5138.6899199999989"/>
    <n v="0.3308681416032041"/>
    <s v="High"/>
    <x v="0"/>
    <s v="High Discount"/>
    <n v="0.2"/>
    <n v="1363.9815000000001"/>
    <n v="8.8000000000000007"/>
    <n v="17256.588800000001"/>
    <n v="5253.5515999999989"/>
  </r>
  <r>
    <x v="535"/>
    <x v="217"/>
    <x v="7"/>
    <s v="Q2-2023"/>
    <d v="2023-05-05T00:00:00"/>
    <d v="2023-05-21T00:00:00"/>
    <n v="14"/>
    <x v="1"/>
    <x v="8"/>
    <s v="Port Harcourt"/>
    <s v="Non-Profit"/>
    <x v="1"/>
    <x v="13"/>
    <x v="4"/>
    <x v="534"/>
    <n v="1269.6500000000001"/>
    <n v="2462.77"/>
    <x v="41"/>
    <b v="0"/>
    <n v="8"/>
    <n v="17594.028880000002"/>
    <n v="10157.200000000001"/>
    <n v="7436.8288800000009"/>
    <n v="0.42269050089225502"/>
    <s v="High"/>
    <x v="0"/>
    <s v="Low Discount"/>
    <n v="0.107"/>
    <n v="1333.1325000000002"/>
    <n v="8.8000000000000007"/>
    <n v="19353.431768000002"/>
    <n v="7621.8657679999997"/>
  </r>
  <r>
    <x v="536"/>
    <x v="329"/>
    <x v="16"/>
    <s v="Q2-2023"/>
    <d v="2023-04-27T00:00:00"/>
    <d v="2023-04-27T00:00:00"/>
    <n v="21"/>
    <x v="0"/>
    <x v="0"/>
    <s v="Manchester"/>
    <s v="Enterprise"/>
    <x v="3"/>
    <x v="1"/>
    <x v="6"/>
    <x v="535"/>
    <n v="1084.79"/>
    <n v="2484.9899999999998"/>
    <x v="57"/>
    <b v="0"/>
    <n v="18"/>
    <n v="43209.006119999991"/>
    <n v="19526.22"/>
    <n v="23682.78611999999"/>
    <n v="0.54809837685755114"/>
    <s v="High"/>
    <x v="0"/>
    <s v="Low Discount"/>
    <n v="3.4000000000000002E-2"/>
    <n v="1139.0295000000001"/>
    <n v="19.8"/>
    <n v="47529.906731999996"/>
    <n v="24977.122631999991"/>
  </r>
  <r>
    <x v="537"/>
    <x v="229"/>
    <x v="19"/>
    <s v="Q3-2024"/>
    <d v="2024-10-08T00:00:00"/>
    <d v="2024-10-08T00:00:00"/>
    <n v="29"/>
    <x v="2"/>
    <x v="5"/>
    <s v="São Paulo"/>
    <s v="Education"/>
    <x v="2"/>
    <x v="3"/>
    <x v="4"/>
    <x v="536"/>
    <n v="1010.33"/>
    <n v="2492.14"/>
    <x v="131"/>
    <b v="0"/>
    <n v="11"/>
    <n v="26015.449459999996"/>
    <n v="11113.630000000001"/>
    <n v="14901.819459999995"/>
    <n v="0.57280653493656752"/>
    <s v="High"/>
    <x v="0"/>
    <s v="Low Discount"/>
    <n v="5.0999999999999997E-2"/>
    <n v="1060.8465000000001"/>
    <n v="12.100000000000001"/>
    <n v="28616.994405999998"/>
    <n v="15780.751755999996"/>
  </r>
  <r>
    <x v="538"/>
    <x v="415"/>
    <x v="20"/>
    <s v="Q4-2024"/>
    <d v="2024-10-08T00:00:00"/>
    <d v="2024-10-08T00:00:00"/>
    <n v="0"/>
    <x v="0"/>
    <x v="0"/>
    <s v="London"/>
    <s v="Corporate"/>
    <x v="4"/>
    <x v="10"/>
    <x v="0"/>
    <x v="537"/>
    <n v="1108.1099999999999"/>
    <n v="2503.79"/>
    <x v="129"/>
    <b v="0"/>
    <n v="19"/>
    <n v="38818.760159999998"/>
    <n v="21054.089999999997"/>
    <n v="17764.670160000001"/>
    <n v="0.45763105485025884"/>
    <s v="High"/>
    <x v="1"/>
    <s v="Low Discount"/>
    <n v="0.184"/>
    <n v="1163.5155"/>
    <n v="20.900000000000002"/>
    <n v="42700.636176000007"/>
    <n v="18383.162226000004"/>
  </r>
  <r>
    <x v="539"/>
    <x v="416"/>
    <x v="9"/>
    <s v="Q3-2023"/>
    <d v="2023-09-16T00:00:00"/>
    <d v="2023-09-16T00:00:00"/>
    <n v="22"/>
    <x v="1"/>
    <x v="8"/>
    <s v="Abuja"/>
    <s v="Corporate"/>
    <x v="1"/>
    <x v="5"/>
    <x v="3"/>
    <x v="538"/>
    <n v="1196.83"/>
    <n v="2513.5100000000002"/>
    <x v="121"/>
    <b v="0"/>
    <n v="7"/>
    <n v="16134.220690000002"/>
    <n v="8377.81"/>
    <n v="7756.4106900000024"/>
    <n v="0.4807428160944538"/>
    <s v="High"/>
    <x v="0"/>
    <s v="Low Discount"/>
    <n v="8.3000000000000004E-2"/>
    <n v="1256.6714999999999"/>
    <n v="7.7000000000000011"/>
    <n v="17747.642759000006"/>
    <n v="8071.2722090000043"/>
  </r>
  <r>
    <x v="540"/>
    <x v="207"/>
    <x v="32"/>
    <s v="Q4-2023"/>
    <d v="2023-12-20T00:00:00"/>
    <d v="2023-12-20T00:00:00"/>
    <n v="1"/>
    <x v="2"/>
    <x v="5"/>
    <s v="Rio de Janeiro"/>
    <s v="Consumer"/>
    <x v="3"/>
    <x v="3"/>
    <x v="3"/>
    <x v="539"/>
    <n v="1080.43"/>
    <n v="2529.15"/>
    <x v="115"/>
    <b v="0"/>
    <n v="10"/>
    <n v="21573.6495"/>
    <n v="10804.300000000001"/>
    <n v="10769.349499999998"/>
    <n v="0.49918997247081437"/>
    <s v="High"/>
    <x v="1"/>
    <s v="Low Discount"/>
    <n v="0.14699999999999999"/>
    <n v="1134.4515000000001"/>
    <n v="11"/>
    <n v="23731.014450000002"/>
    <n v="11252.04795"/>
  </r>
  <r>
    <x v="541"/>
    <x v="417"/>
    <x v="15"/>
    <s v="Q2-2024"/>
    <d v="2024-05-29T00:00:00"/>
    <d v="2024-05-29T00:00:00"/>
    <n v="25"/>
    <x v="1"/>
    <x v="8"/>
    <s v="Abuja"/>
    <s v="Non-Profit"/>
    <x v="1"/>
    <x v="11"/>
    <x v="0"/>
    <x v="540"/>
    <n v="1295.3399999999999"/>
    <n v="2530.81"/>
    <x v="119"/>
    <b v="0"/>
    <n v="6"/>
    <n v="14714.12934"/>
    <n v="7772.0399999999991"/>
    <n v="6942.0893400000004"/>
    <n v="0.4717974933880798"/>
    <s v="High"/>
    <x v="0"/>
    <s v="Low Discount"/>
    <n v="3.1E-2"/>
    <n v="1360.107"/>
    <n v="6.6000000000000005"/>
    <n v="16185.542274000001"/>
    <n v="7208.8360740000007"/>
  </r>
  <r>
    <x v="542"/>
    <x v="418"/>
    <x v="24"/>
    <s v="Q3-2023"/>
    <d v="2023-08-13T00:00:00"/>
    <d v="2023-08-13T00:00:00"/>
    <n v="28"/>
    <x v="0"/>
    <x v="0"/>
    <s v="Manchester"/>
    <s v="Non-Profit"/>
    <x v="4"/>
    <x v="3"/>
    <x v="5"/>
    <x v="541"/>
    <n v="1039.03"/>
    <n v="2545.81"/>
    <x v="155"/>
    <b v="0"/>
    <n v="21"/>
    <n v="41914.215840000004"/>
    <n v="21819.63"/>
    <n v="20094.585840000003"/>
    <n v="0.47942172929364774"/>
    <s v="High"/>
    <x v="0"/>
    <s v="High Discount"/>
    <n v="0.2"/>
    <n v="1090.9815000000001"/>
    <n v="23.1"/>
    <n v="47046.568800000008"/>
    <n v="21844.896150000004"/>
  </r>
  <r>
    <x v="543"/>
    <x v="419"/>
    <x v="11"/>
    <s v="Q3-2025"/>
    <d v="2025-08-21T00:00:00"/>
    <d v="2025-08-21T00:00:00"/>
    <n v="20"/>
    <x v="3"/>
    <x v="10"/>
    <s v="Shanghai"/>
    <s v="Corporate"/>
    <x v="2"/>
    <x v="1"/>
    <x v="3"/>
    <x v="542"/>
    <n v="1220.4100000000001"/>
    <n v="2552.2199999999998"/>
    <x v="207"/>
    <b v="0"/>
    <n v="14"/>
    <n v="29263.754519999995"/>
    <n v="17085.740000000002"/>
    <n v="12178.014519999993"/>
    <n v="0.41614668793360271"/>
    <s v="High"/>
    <x v="0"/>
    <s v="Low Discount"/>
    <n v="0.18099999999999999"/>
    <n v="1281.4305000000002"/>
    <n v="15.400000000000002"/>
    <n v="32190.129971999999"/>
    <n v="12456.100271999992"/>
  </r>
  <r>
    <x v="544"/>
    <x v="187"/>
    <x v="15"/>
    <s v="Q2-2024"/>
    <d v="2024-05-23T00:00:00"/>
    <d v="2024-05-23T00:00:00"/>
    <n v="5"/>
    <x v="2"/>
    <x v="3"/>
    <s v="Chicago"/>
    <s v="Enterprise"/>
    <x v="0"/>
    <x v="2"/>
    <x v="5"/>
    <x v="543"/>
    <n v="1274.5899999999999"/>
    <n v="2553.69"/>
    <x v="141"/>
    <b v="0"/>
    <n v="8"/>
    <n v="20225.2248"/>
    <n v="10196.719999999999"/>
    <n v="10028.504800000001"/>
    <n v="0.49584145042481803"/>
    <s v="High"/>
    <x v="1"/>
    <s v="Low Discount"/>
    <n v="0.01"/>
    <n v="1338.3195000000001"/>
    <n v="8.8000000000000007"/>
    <n v="22247.747280000003"/>
    <n v="10470.535680000001"/>
  </r>
  <r>
    <x v="545"/>
    <x v="420"/>
    <x v="10"/>
    <s v="Q4-2023"/>
    <d v="2023-10-06T00:00:00"/>
    <d v="2023-10-06T00:00:00"/>
    <n v="1"/>
    <x v="3"/>
    <x v="9"/>
    <s v="Bengaluru"/>
    <s v="Non-Profit"/>
    <x v="4"/>
    <x v="1"/>
    <x v="4"/>
    <x v="544"/>
    <n v="1470.26"/>
    <n v="2562.5500000000002"/>
    <x v="16"/>
    <b v="0"/>
    <n v="9"/>
    <n v="19073.059649999999"/>
    <n v="13232.34"/>
    <n v="5840.7196499999991"/>
    <n v="0.30622877279157462"/>
    <s v="High"/>
    <x v="1"/>
    <s v="Low Discount"/>
    <n v="0.17299999999999999"/>
    <n v="1543.7730000000001"/>
    <n v="9.9"/>
    <n v="20980.365614999999"/>
    <n v="5697.0129149999975"/>
  </r>
  <r>
    <x v="546"/>
    <x v="62"/>
    <x v="27"/>
    <s v="Q1-2025"/>
    <d v="2025-02-14T00:00:00"/>
    <d v="2025-02-14T00:00:00"/>
    <n v="24"/>
    <x v="1"/>
    <x v="1"/>
    <s v="Nairobi"/>
    <s v="Small Business"/>
    <x v="0"/>
    <x v="3"/>
    <x v="2"/>
    <x v="545"/>
    <n v="1030.44"/>
    <n v="2562.84"/>
    <x v="19"/>
    <b v="0"/>
    <n v="13"/>
    <n v="28386.01584"/>
    <n v="13395.720000000001"/>
    <n v="14990.295839999999"/>
    <n v="0.52808734852027051"/>
    <s v="High"/>
    <x v="0"/>
    <s v="Low Discount"/>
    <n v="0.14799999999999999"/>
    <n v="1081.9620000000002"/>
    <n v="14.3"/>
    <n v="31224.617424"/>
    <n v="15752.560823999997"/>
  </r>
  <r>
    <x v="547"/>
    <x v="49"/>
    <x v="19"/>
    <s v="Q3-2024"/>
    <d v="2024-09-07T00:00:00"/>
    <d v="2024-09-07T00:00:00"/>
    <n v="0"/>
    <x v="3"/>
    <x v="9"/>
    <s v="Mumbai"/>
    <s v="Education"/>
    <x v="3"/>
    <x v="4"/>
    <x v="1"/>
    <x v="546"/>
    <n v="1066.6500000000001"/>
    <n v="2569.77"/>
    <x v="6"/>
    <b v="0"/>
    <n v="9"/>
    <n v="20028.787379999998"/>
    <n v="9599.85"/>
    <n v="10428.937379999998"/>
    <n v="0.52069739331368337"/>
    <s v="High"/>
    <x v="1"/>
    <s v="Low Discount"/>
    <n v="0.13400000000000001"/>
    <n v="1119.9825000000001"/>
    <n v="9.9"/>
    <n v="22031.666117999997"/>
    <n v="10943.839367999995"/>
  </r>
  <r>
    <x v="548"/>
    <x v="421"/>
    <x v="7"/>
    <s v="Q2-2023"/>
    <d v="2023-06-19T00:00:00"/>
    <d v="2023-06-19T00:00:00"/>
    <n v="23"/>
    <x v="0"/>
    <x v="6"/>
    <s v="Berlin"/>
    <s v="Education"/>
    <x v="0"/>
    <x v="11"/>
    <x v="2"/>
    <x v="547"/>
    <n v="1471.58"/>
    <n v="2576.65"/>
    <x v="91"/>
    <b v="0"/>
    <n v="7"/>
    <n v="17964.4038"/>
    <n v="10301.06"/>
    <n v="7663.3438000000006"/>
    <n v="0.4265849223451546"/>
    <s v="High"/>
    <x v="0"/>
    <s v="Low Discount"/>
    <n v="4.0000000000000001E-3"/>
    <n v="1545.1589999999999"/>
    <n v="7.7000000000000011"/>
    <n v="19760.844180000004"/>
    <n v="7863.1198800000038"/>
  </r>
  <r>
    <x v="549"/>
    <x v="217"/>
    <x v="7"/>
    <s v="Q2-2023"/>
    <d v="2023-05-20T00:00:00"/>
    <d v="2023-05-20T00:00:00"/>
    <n v="13"/>
    <x v="3"/>
    <x v="9"/>
    <s v="Mumbai"/>
    <s v="Enterprise"/>
    <x v="0"/>
    <x v="0"/>
    <x v="2"/>
    <x v="548"/>
    <n v="1443.28"/>
    <n v="2580.5700000000002"/>
    <x v="33"/>
    <b v="0"/>
    <n v="18"/>
    <n v="46450.26"/>
    <n v="25979.040000000001"/>
    <n v="20471.22"/>
    <n v="0.4407127107577008"/>
    <s v="High"/>
    <x v="0"/>
    <s v="Low Discount"/>
    <n v="0"/>
    <n v="1515.444"/>
    <n v="19.8"/>
    <n v="51095.286000000007"/>
    <n v="21089.494800000008"/>
  </r>
  <r>
    <x v="550"/>
    <x v="356"/>
    <x v="4"/>
    <s v="Q2-2024"/>
    <d v="2024-07-14T00:00:00"/>
    <d v="2024-07-14T00:00:00"/>
    <n v="14"/>
    <x v="2"/>
    <x v="5"/>
    <s v="Brasília"/>
    <s v="Education"/>
    <x v="0"/>
    <x v="8"/>
    <x v="2"/>
    <x v="549"/>
    <n v="1491.85"/>
    <n v="2583.02"/>
    <x v="178"/>
    <b v="0"/>
    <n v="4"/>
    <n v="8596.2905599999995"/>
    <n v="5967.4"/>
    <n v="2628.8905599999998"/>
    <n v="0.30581685689321325"/>
    <s v="High"/>
    <x v="0"/>
    <s v="Low Discount"/>
    <n v="0.16800000000000001"/>
    <n v="1566.4424999999999"/>
    <n v="4.4000000000000004"/>
    <n v="9455.919616000001"/>
    <n v="2563.5726160000013"/>
  </r>
  <r>
    <x v="551"/>
    <x v="251"/>
    <x v="5"/>
    <s v="Q3-2025"/>
    <d v="2025-09-12T00:00:00"/>
    <d v="2025-09-12T00:00:00"/>
    <n v="2"/>
    <x v="3"/>
    <x v="7"/>
    <s v="Tokyo"/>
    <s v="Consumer"/>
    <x v="4"/>
    <x v="11"/>
    <x v="4"/>
    <x v="550"/>
    <n v="1470.15"/>
    <n v="2593.7800000000002"/>
    <x v="152"/>
    <b v="0"/>
    <n v="12"/>
    <n v="27701.570400000004"/>
    <n v="17641.800000000003"/>
    <n v="10059.770400000001"/>
    <n v="0.36314801849645317"/>
    <s v="High"/>
    <x v="1"/>
    <s v="Low Discount"/>
    <n v="0.11"/>
    <n v="1543.6575000000003"/>
    <n v="13.200000000000001"/>
    <n v="30471.727440000006"/>
    <n v="10095.44844"/>
  </r>
  <r>
    <x v="552"/>
    <x v="422"/>
    <x v="20"/>
    <s v="Q4-2024"/>
    <d v="2024-10-28T00:00:00"/>
    <d v="2024-10-28T00:00:00"/>
    <n v="4"/>
    <x v="3"/>
    <x v="10"/>
    <s v="Shanghai"/>
    <s v="Small Business"/>
    <x v="3"/>
    <x v="1"/>
    <x v="1"/>
    <x v="551"/>
    <n v="1331.77"/>
    <n v="2606.11"/>
    <x v="113"/>
    <b v="0"/>
    <n v="6"/>
    <n v="15323.926799999999"/>
    <n v="7990.62"/>
    <n v="7333.3067999999994"/>
    <n v="0.47855271665745619"/>
    <s v="High"/>
    <x v="1"/>
    <s v="Low Discount"/>
    <n v="0.02"/>
    <n v="1398.3585"/>
    <n v="6.6000000000000005"/>
    <n v="16856.319480000002"/>
    <n v="7627.1533800000016"/>
  </r>
  <r>
    <x v="553"/>
    <x v="423"/>
    <x v="22"/>
    <s v="Q4-2024"/>
    <d v="2024-11-22T00:00:00"/>
    <d v="2024-11-22T00:00:00"/>
    <n v="16"/>
    <x v="2"/>
    <x v="11"/>
    <s v="Toronto"/>
    <s v="Non-Profit"/>
    <x v="3"/>
    <x v="0"/>
    <x v="2"/>
    <x v="552"/>
    <n v="1454.11"/>
    <n v="2629.75"/>
    <x v="195"/>
    <b v="0"/>
    <n v="8"/>
    <n v="14894.903999999999"/>
    <n v="11632.88"/>
    <n v="3262.0239999999994"/>
    <n v="0.21900268709351867"/>
    <s v="High"/>
    <x v="0"/>
    <s v="High Discount"/>
    <n v="0.2"/>
    <n v="1526.8154999999999"/>
    <n v="8.8000000000000007"/>
    <n v="18513.440000000002"/>
    <n v="5077.4636000000028"/>
  </r>
  <r>
    <x v="554"/>
    <x v="424"/>
    <x v="18"/>
    <s v="Q3-2025"/>
    <d v="2025-08-06T00:00:00"/>
    <d v="2025-08-06T00:00:00"/>
    <n v="13"/>
    <x v="1"/>
    <x v="4"/>
    <s v="Johannesburg"/>
    <s v="Education"/>
    <x v="1"/>
    <x v="0"/>
    <x v="1"/>
    <x v="553"/>
    <n v="1463.9"/>
    <n v="2633.02"/>
    <x v="76"/>
    <b v="0"/>
    <n v="4"/>
    <n v="9647.3852800000004"/>
    <n v="5855.6"/>
    <n v="3791.7852800000001"/>
    <n v="0.39303761277791527"/>
    <s v="High"/>
    <x v="0"/>
    <s v="Low Discount"/>
    <n v="8.4000000000000005E-2"/>
    <n v="1537.0950000000003"/>
    <n v="4.4000000000000004"/>
    <n v="10612.123808000002"/>
    <n v="3848.9058080000004"/>
  </r>
  <r>
    <x v="555"/>
    <x v="425"/>
    <x v="30"/>
    <s v="Q4-2023"/>
    <d v="2023-12-12T00:00:00"/>
    <d v="2023-12-12T00:00:00"/>
    <n v="23"/>
    <x v="3"/>
    <x v="9"/>
    <s v="Delhi"/>
    <s v="Small Business"/>
    <x v="2"/>
    <x v="8"/>
    <x v="1"/>
    <x v="554"/>
    <n v="1349.04"/>
    <n v="2636.6"/>
    <x v="24"/>
    <b v="0"/>
    <n v="14"/>
    <n v="32704.386399999999"/>
    <n v="18886.559999999998"/>
    <n v="13817.826400000002"/>
    <n v="0.42250682312143922"/>
    <s v="High"/>
    <x v="0"/>
    <s v="Low Discount"/>
    <n v="0.114"/>
    <n v="1416.492"/>
    <n v="15.400000000000002"/>
    <n v="35974.825040000003"/>
    <n v="14160.848239999999"/>
  </r>
  <r>
    <x v="556"/>
    <x v="101"/>
    <x v="16"/>
    <s v="Q2-2023"/>
    <d v="2023-05-13T00:00:00"/>
    <d v="2023-05-13T00:00:00"/>
    <n v="29"/>
    <x v="0"/>
    <x v="6"/>
    <s v="Frankfurt"/>
    <s v="Consumer"/>
    <x v="2"/>
    <x v="3"/>
    <x v="6"/>
    <x v="555"/>
    <n v="1320.33"/>
    <n v="2645.23"/>
    <x v="179"/>
    <b v="0"/>
    <n v="25"/>
    <n v="55880.483749999999"/>
    <n v="33008.25"/>
    <n v="22872.233749999999"/>
    <n v="0.40930629470436536"/>
    <s v="High"/>
    <x v="0"/>
    <s v="Low Discount"/>
    <n v="0.155"/>
    <n v="1386.3464999999999"/>
    <n v="27.500000000000004"/>
    <n v="61468.532125000005"/>
    <n v="23344.003375"/>
  </r>
  <r>
    <x v="557"/>
    <x v="426"/>
    <x v="25"/>
    <s v="Q3-2024"/>
    <d v="2024-08-26T00:00:00"/>
    <d v="2024-08-26T00:00:00"/>
    <n v="10"/>
    <x v="2"/>
    <x v="3"/>
    <s v="Chicago"/>
    <s v="Corporate"/>
    <x v="3"/>
    <x v="5"/>
    <x v="5"/>
    <x v="253"/>
    <n v="1291.7"/>
    <n v="2657.84"/>
    <x v="108"/>
    <b v="0"/>
    <n v="21"/>
    <n v="50958.76632000001"/>
    <n v="27125.7"/>
    <n v="23833.066320000009"/>
    <n v="0.46769315745083379"/>
    <s v="High"/>
    <x v="0"/>
    <s v="Low Discount"/>
    <n v="8.6999999999999994E-2"/>
    <n v="1356.2850000000001"/>
    <n v="23.1"/>
    <n v="56054.642952000009"/>
    <n v="24724.459452000006"/>
  </r>
  <r>
    <x v="558"/>
    <x v="427"/>
    <x v="22"/>
    <s v="Q4-2024"/>
    <d v="2024-12-15T00:00:00"/>
    <d v="2024-12-15T00:00:00"/>
    <n v="23"/>
    <x v="1"/>
    <x v="1"/>
    <s v="Mombasa"/>
    <s v="Non-Profit"/>
    <x v="3"/>
    <x v="8"/>
    <x v="4"/>
    <x v="556"/>
    <n v="1335.76"/>
    <n v="2665.91"/>
    <x v="177"/>
    <b v="0"/>
    <n v="40"/>
    <n v="84136.119600000005"/>
    <n v="53430.400000000001"/>
    <n v="30705.719600000004"/>
    <n v="0.36495288522909253"/>
    <s v="High"/>
    <x v="0"/>
    <s v="High Discount"/>
    <n v="0.2"/>
    <n v="1402.548"/>
    <n v="44"/>
    <n v="93840.032000000007"/>
    <n v="32127.920000000006"/>
  </r>
  <r>
    <x v="559"/>
    <x v="428"/>
    <x v="27"/>
    <s v="Q1-2025"/>
    <d v="2025-02-06T00:00:00"/>
    <d v="2025-02-06T00:00:00"/>
    <n v="8"/>
    <x v="1"/>
    <x v="1"/>
    <s v="Kisumu"/>
    <s v="Education"/>
    <x v="0"/>
    <x v="4"/>
    <x v="3"/>
    <x v="557"/>
    <n v="1445.27"/>
    <n v="2691.45"/>
    <x v="33"/>
    <b v="0"/>
    <n v="9"/>
    <n v="24223.05"/>
    <n v="13007.43"/>
    <n v="11215.619999999999"/>
    <n v="0.46301436028906351"/>
    <s v="High"/>
    <x v="0"/>
    <s v="Low Discount"/>
    <n v="0"/>
    <n v="1517.5335"/>
    <n v="9.9"/>
    <n v="26645.355"/>
    <n v="11621.773349999999"/>
  </r>
  <r>
    <x v="560"/>
    <x v="429"/>
    <x v="24"/>
    <s v="Q3-2023"/>
    <d v="2023-08-07T00:00:00"/>
    <d v="2023-08-07T00:00:00"/>
    <n v="8"/>
    <x v="3"/>
    <x v="7"/>
    <s v="Nagoya"/>
    <s v="Education"/>
    <x v="1"/>
    <x v="13"/>
    <x v="1"/>
    <x v="558"/>
    <n v="1352.44"/>
    <n v="2698.01"/>
    <x v="1"/>
    <b v="0"/>
    <n v="13"/>
    <n v="30479.418969999999"/>
    <n v="17581.72"/>
    <n v="12897.698969999998"/>
    <n v="0.42316091992090876"/>
    <s v="High"/>
    <x v="0"/>
    <s v="Low Discount"/>
    <n v="0.13100000000000001"/>
    <n v="1420.0620000000001"/>
    <n v="14.3"/>
    <n v="33527.360867000003"/>
    <n v="13220.474267000001"/>
  </r>
  <r>
    <x v="561"/>
    <x v="337"/>
    <x v="5"/>
    <s v="Q3-2025"/>
    <d v="2025-09-16T00:00:00"/>
    <d v="2025-09-16T00:00:00"/>
    <n v="8"/>
    <x v="3"/>
    <x v="7"/>
    <s v="Osaka"/>
    <s v="Corporate"/>
    <x v="3"/>
    <x v="8"/>
    <x v="3"/>
    <x v="559"/>
    <n v="1225.57"/>
    <n v="2705.57"/>
    <x v="208"/>
    <b v="0"/>
    <n v="16"/>
    <n v="35367.211040000002"/>
    <n v="19609.12"/>
    <n v="15758.091040000003"/>
    <n v="0.44555650775453404"/>
    <s v="High"/>
    <x v="0"/>
    <s v="Low Discount"/>
    <n v="0.183"/>
    <n v="1286.8485000000001"/>
    <n v="17.600000000000001"/>
    <n v="38903.932144000006"/>
    <n v="16255.398544000003"/>
  </r>
  <r>
    <x v="562"/>
    <x v="365"/>
    <x v="9"/>
    <s v="Q3-2023"/>
    <d v="2023-09-13T00:00:00"/>
    <d v="2023-09-13T00:00:00"/>
    <n v="15"/>
    <x v="2"/>
    <x v="11"/>
    <s v="Vancouver"/>
    <s v="Small Business"/>
    <x v="1"/>
    <x v="11"/>
    <x v="6"/>
    <x v="560"/>
    <n v="1287.6400000000001"/>
    <n v="2717.15"/>
    <x v="156"/>
    <b v="0"/>
    <n v="7"/>
    <n v="18411.4084"/>
    <n v="9013.4800000000014"/>
    <n v="9397.9283999999989"/>
    <n v="0.51044049405802105"/>
    <s v="High"/>
    <x v="0"/>
    <s v="Low Discount"/>
    <n v="3.2000000000000001E-2"/>
    <n v="1352.0220000000002"/>
    <n v="7.7000000000000011"/>
    <n v="20252.549240000004"/>
    <n v="9841.9798400000018"/>
  </r>
  <r>
    <x v="563"/>
    <x v="430"/>
    <x v="14"/>
    <s v="Q1-2025"/>
    <d v="2025-03-29T00:00:00"/>
    <d v="2025-03-29T00:00:00"/>
    <n v="15"/>
    <x v="3"/>
    <x v="7"/>
    <s v="Tokyo"/>
    <s v="Non-Profit"/>
    <x v="2"/>
    <x v="2"/>
    <x v="1"/>
    <x v="561"/>
    <n v="1106.96"/>
    <n v="2726.62"/>
    <x v="33"/>
    <b v="0"/>
    <n v="7"/>
    <n v="19086.34"/>
    <n v="7748.72"/>
    <n v="11337.619999999999"/>
    <n v="0.59401750152203092"/>
    <s v="High"/>
    <x v="0"/>
    <s v="Low Discount"/>
    <n v="0"/>
    <n v="1162.308"/>
    <n v="7.7000000000000011"/>
    <n v="20994.974000000002"/>
    <n v="12045.2024"/>
  </r>
  <r>
    <x v="564"/>
    <x v="100"/>
    <x v="21"/>
    <s v="Q1-2024"/>
    <d v="2024-01-15T00:00:00"/>
    <d v="2024-01-15T00:00:00"/>
    <n v="13"/>
    <x v="3"/>
    <x v="7"/>
    <s v="Nagoya"/>
    <s v="Small Business"/>
    <x v="1"/>
    <x v="14"/>
    <x v="1"/>
    <x v="562"/>
    <n v="1219.06"/>
    <n v="2738.69"/>
    <x v="204"/>
    <b v="0"/>
    <n v="16"/>
    <n v="40488.792960000006"/>
    <n v="19504.96"/>
    <n v="20983.832960000007"/>
    <n v="0.51826274447673737"/>
    <s v="High"/>
    <x v="0"/>
    <s v="Low Discount"/>
    <n v="7.5999999999999998E-2"/>
    <n v="1280.0129999999999"/>
    <n v="17.600000000000001"/>
    <n v="44537.672256000013"/>
    <n v="22009.443456000012"/>
  </r>
  <r>
    <x v="565"/>
    <x v="425"/>
    <x v="30"/>
    <s v="Q4-2023"/>
    <d v="2023-12-13T00:00:00"/>
    <d v="2023-12-13T00:00:00"/>
    <n v="24"/>
    <x v="0"/>
    <x v="2"/>
    <s v="Lyon"/>
    <s v="Non-Profit"/>
    <x v="2"/>
    <x v="2"/>
    <x v="0"/>
    <x v="563"/>
    <n v="1297.42"/>
    <n v="2742.97"/>
    <x v="184"/>
    <b v="0"/>
    <n v="9"/>
    <n v="22983.34563"/>
    <n v="11676.78"/>
    <n v="11306.565629999999"/>
    <n v="0.49194602961727291"/>
    <s v="High"/>
    <x v="0"/>
    <s v="Low Discount"/>
    <n v="6.9000000000000006E-2"/>
    <n v="1362.2910000000002"/>
    <n v="9.9"/>
    <n v="25281.680193"/>
    <n v="11794.999292999997"/>
  </r>
  <r>
    <x v="566"/>
    <x v="431"/>
    <x v="31"/>
    <s v="Q2-2024"/>
    <d v="2024-04-18T00:00:00"/>
    <d v="2024-04-18T00:00:00"/>
    <n v="9"/>
    <x v="0"/>
    <x v="2"/>
    <s v="Lyon"/>
    <s v="Consumer"/>
    <x v="4"/>
    <x v="10"/>
    <x v="6"/>
    <x v="564"/>
    <n v="1288.8499999999999"/>
    <n v="2751.84"/>
    <x v="209"/>
    <b v="0"/>
    <n v="7"/>
    <n v="16219.344960000002"/>
    <n v="9021.9499999999989"/>
    <n v="7197.3949600000033"/>
    <n v="0.44375373837538767"/>
    <s v="High"/>
    <x v="0"/>
    <s v="Low Discount"/>
    <n v="0.158"/>
    <n v="1353.2925"/>
    <n v="7.7000000000000011"/>
    <n v="17841.279456000004"/>
    <n v="7420.9272060000021"/>
  </r>
  <r>
    <x v="567"/>
    <x v="290"/>
    <x v="23"/>
    <s v="Q2-2025"/>
    <d v="2025-05-18T00:00:00"/>
    <d v="2025-05-18T00:00:00"/>
    <n v="2"/>
    <x v="3"/>
    <x v="7"/>
    <s v="Tokyo"/>
    <s v="Enterprise"/>
    <x v="0"/>
    <x v="3"/>
    <x v="6"/>
    <x v="565"/>
    <n v="1144.3800000000001"/>
    <n v="2755.04"/>
    <x v="200"/>
    <b v="0"/>
    <n v="17"/>
    <n v="39810.328000000001"/>
    <n v="19454.460000000003"/>
    <n v="20355.867999999999"/>
    <n v="0.51132128326096682"/>
    <s v="High"/>
    <x v="1"/>
    <s v="Low Discount"/>
    <n v="0.15"/>
    <n v="1201.5990000000002"/>
    <n v="18.700000000000003"/>
    <n v="43791.360800000009"/>
    <n v="21321.459500000004"/>
  </r>
  <r>
    <x v="568"/>
    <x v="432"/>
    <x v="18"/>
    <s v="Q3-2025"/>
    <d v="2025-07-23T00:00:00"/>
    <d v="2025-07-23T00:00:00"/>
    <n v="6"/>
    <x v="2"/>
    <x v="11"/>
    <s v="Vancouver"/>
    <s v="Consumer"/>
    <x v="4"/>
    <x v="2"/>
    <x v="4"/>
    <x v="566"/>
    <n v="1364.89"/>
    <n v="2757.54"/>
    <x v="210"/>
    <b v="0"/>
    <n v="61"/>
    <n v="139277.83032000001"/>
    <n v="83258.290000000008"/>
    <n v="56019.54032"/>
    <n v="0.4022143379983118"/>
    <s v="High"/>
    <x v="1"/>
    <s v="Low Discount"/>
    <n v="0.17199999999999999"/>
    <n v="1433.1345000000001"/>
    <n v="67.100000000000009"/>
    <n v="153205.61335200001"/>
    <n v="57042.288401999991"/>
  </r>
  <r>
    <x v="569"/>
    <x v="433"/>
    <x v="1"/>
    <s v="Q1-2023"/>
    <d v="2023-02-11T00:00:00"/>
    <d v="2023-02-11T00:00:00"/>
    <n v="3"/>
    <x v="1"/>
    <x v="4"/>
    <s v="Cape Town"/>
    <s v="Corporate"/>
    <x v="2"/>
    <x v="7"/>
    <x v="1"/>
    <x v="567"/>
    <n v="1410.05"/>
    <n v="2763.95"/>
    <x v="201"/>
    <b v="0"/>
    <n v="26"/>
    <n v="60292.805299999993"/>
    <n v="36661.299999999996"/>
    <n v="23631.505299999997"/>
    <n v="0.39194569206750779"/>
    <s v="High"/>
    <x v="1"/>
    <s v="Low Discount"/>
    <n v="0.161"/>
    <n v="1480.5525"/>
    <n v="28.6"/>
    <n v="66322.085829999996"/>
    <n v="23978.284329999995"/>
  </r>
  <r>
    <x v="570"/>
    <x v="434"/>
    <x v="0"/>
    <s v="Q4-2024"/>
    <d v="2025-01-08T00:00:00"/>
    <d v="2025-01-08T00:00:00"/>
    <n v="11"/>
    <x v="3"/>
    <x v="10"/>
    <s v="Shenzhen"/>
    <s v="Enterprise"/>
    <x v="4"/>
    <x v="12"/>
    <x v="5"/>
    <x v="568"/>
    <n v="1201.31"/>
    <n v="2764.65"/>
    <x v="33"/>
    <b v="0"/>
    <n v="21"/>
    <n v="58057.65"/>
    <n v="25227.51"/>
    <n v="32830.14"/>
    <n v="0.56547483406579491"/>
    <s v="High"/>
    <x v="0"/>
    <s v="Low Discount"/>
    <n v="0"/>
    <n v="1261.3755000000001"/>
    <n v="23.1"/>
    <n v="63863.415000000008"/>
    <n v="34725.640950000001"/>
  </r>
  <r>
    <x v="571"/>
    <x v="220"/>
    <x v="11"/>
    <s v="Q3-2025"/>
    <d v="2025-09-03T00:00:00"/>
    <d v="2025-09-03T00:00:00"/>
    <n v="4"/>
    <x v="0"/>
    <x v="2"/>
    <s v="Marseille"/>
    <s v="Small Business"/>
    <x v="1"/>
    <x v="3"/>
    <x v="5"/>
    <x v="569"/>
    <n v="1286.56"/>
    <n v="2777.35"/>
    <x v="8"/>
    <b v="0"/>
    <n v="15"/>
    <n v="36161.096999999994"/>
    <n v="19298.399999999998"/>
    <n v="16862.696999999996"/>
    <n v="0.46632150014696733"/>
    <s v="High"/>
    <x v="1"/>
    <s v="Low Discount"/>
    <n v="0.13200000000000001"/>
    <n v="1350.8879999999999"/>
    <n v="16.5"/>
    <n v="39777.206699999995"/>
    <n v="17487.554699999997"/>
  </r>
  <r>
    <x v="572"/>
    <x v="435"/>
    <x v="23"/>
    <s v="Q2-2025"/>
    <d v="2025-06-05T00:00:00"/>
    <d v="2025-06-05T00:00:00"/>
    <n v="21"/>
    <x v="3"/>
    <x v="7"/>
    <s v="Osaka"/>
    <s v="Enterprise"/>
    <x v="2"/>
    <x v="2"/>
    <x v="3"/>
    <x v="570"/>
    <n v="1466.5"/>
    <n v="2778.74"/>
    <x v="35"/>
    <b v="0"/>
    <n v="4"/>
    <n v="9614.4403999999995"/>
    <n v="5866"/>
    <n v="3748.4403999999995"/>
    <n v="0.38987608680792279"/>
    <s v="High"/>
    <x v="0"/>
    <s v="Low Discount"/>
    <n v="0.13500000000000001"/>
    <n v="1539.825"/>
    <n v="4.4000000000000004"/>
    <n v="10575.88444"/>
    <n v="3800.6544399999993"/>
  </r>
  <r>
    <x v="573"/>
    <x v="436"/>
    <x v="32"/>
    <s v="Q4-2023"/>
    <d v="2023-12-18T00:00:00"/>
    <d v="2023-12-18T00:00:00"/>
    <n v="17"/>
    <x v="3"/>
    <x v="7"/>
    <s v="Nagoya"/>
    <s v="Small Business"/>
    <x v="2"/>
    <x v="9"/>
    <x v="5"/>
    <x v="571"/>
    <n v="1495.79"/>
    <n v="2783.12"/>
    <x v="113"/>
    <b v="0"/>
    <n v="5"/>
    <n v="13637.287999999999"/>
    <n v="7478.95"/>
    <n v="6158.3379999999988"/>
    <n v="0.45158084217331185"/>
    <s v="High"/>
    <x v="0"/>
    <s v="Low Discount"/>
    <n v="0.02"/>
    <n v="1570.5795000000001"/>
    <n v="5.5"/>
    <n v="15001.016799999998"/>
    <n v="6362.8295499999967"/>
  </r>
  <r>
    <x v="574"/>
    <x v="429"/>
    <x v="24"/>
    <s v="Q3-2023"/>
    <d v="2023-08-19T00:00:00"/>
    <d v="2023-08-19T00:00:00"/>
    <n v="20"/>
    <x v="0"/>
    <x v="2"/>
    <s v="Paris"/>
    <s v="Enterprise"/>
    <x v="1"/>
    <x v="14"/>
    <x v="1"/>
    <x v="572"/>
    <n v="1418.51"/>
    <n v="2789.61"/>
    <x v="211"/>
    <b v="0"/>
    <n v="8"/>
    <n v="18500.693520000001"/>
    <n v="11348.08"/>
    <n v="7152.6135200000008"/>
    <n v="0.38661326464695689"/>
    <s v="High"/>
    <x v="0"/>
    <s v="Low Discount"/>
    <n v="0.17100000000000001"/>
    <n v="1489.4355"/>
    <n v="8.8000000000000007"/>
    <n v="20350.762872000003"/>
    <n v="7243.7304720000011"/>
  </r>
  <r>
    <x v="575"/>
    <x v="437"/>
    <x v="12"/>
    <s v="Q1-2025"/>
    <d v="2025-03-01T00:00:00"/>
    <d v="2025-03-01T00:00:00"/>
    <n v="20"/>
    <x v="2"/>
    <x v="5"/>
    <s v="São Paulo"/>
    <s v="Corporate"/>
    <x v="3"/>
    <x v="4"/>
    <x v="5"/>
    <x v="573"/>
    <n v="1154.6400000000001"/>
    <n v="2794.13"/>
    <x v="212"/>
    <b v="0"/>
    <n v="11"/>
    <n v="29659.68995"/>
    <n v="12701.04"/>
    <n v="16958.649949999999"/>
    <n v="0.57177435025749479"/>
    <s v="High"/>
    <x v="0"/>
    <s v="Low Discount"/>
    <n v="3.5000000000000003E-2"/>
    <n v="1212.3720000000001"/>
    <n v="12.100000000000001"/>
    <n v="32625.658945000003"/>
    <n v="17955.957745"/>
  </r>
  <r>
    <x v="576"/>
    <x v="438"/>
    <x v="24"/>
    <s v="Q3-2023"/>
    <d v="2023-07-09T00:00:00"/>
    <d v="2023-07-09T00:00:00"/>
    <n v="1"/>
    <x v="1"/>
    <x v="1"/>
    <s v="Nairobi"/>
    <s v="Consumer"/>
    <x v="4"/>
    <x v="0"/>
    <x v="5"/>
    <x v="574"/>
    <n v="1258.72"/>
    <n v="2797.41"/>
    <x v="33"/>
    <b v="0"/>
    <n v="7"/>
    <n v="19581.87"/>
    <n v="8811.0400000000009"/>
    <n v="10770.829999999998"/>
    <n v="0.55004093071805704"/>
    <s v="High"/>
    <x v="1"/>
    <s v="Low Discount"/>
    <n v="0"/>
    <n v="1321.6560000000002"/>
    <n v="7.7000000000000011"/>
    <n v="21540.057000000001"/>
    <n v="11363.305799999998"/>
  </r>
  <r>
    <x v="577"/>
    <x v="78"/>
    <x v="2"/>
    <s v="Q2-2025"/>
    <d v="2025-07-14T00:00:00"/>
    <d v="2025-07-14T00:00:00"/>
    <n v="20"/>
    <x v="1"/>
    <x v="4"/>
    <s v="Johannesburg"/>
    <s v="Enterprise"/>
    <x v="1"/>
    <x v="3"/>
    <x v="5"/>
    <x v="575"/>
    <n v="1151.06"/>
    <n v="2821.36"/>
    <x v="213"/>
    <b v="0"/>
    <n v="20"/>
    <n v="42433.254400000005"/>
    <n v="23021.199999999997"/>
    <n v="19412.054400000008"/>
    <n v="0.45747267501594235"/>
    <s v="High"/>
    <x v="0"/>
    <s v="High Discount"/>
    <n v="0.2"/>
    <n v="1208.6130000000001"/>
    <n v="22"/>
    <n v="49655.936000000002"/>
    <n v="23066.45"/>
  </r>
  <r>
    <x v="578"/>
    <x v="439"/>
    <x v="8"/>
    <s v="Q1-2024"/>
    <d v="2024-02-20T00:00:00"/>
    <d v="2024-02-20T00:00:00"/>
    <n v="0"/>
    <x v="2"/>
    <x v="3"/>
    <s v="New York"/>
    <s v="Enterprise"/>
    <x v="4"/>
    <x v="8"/>
    <x v="1"/>
    <x v="576"/>
    <n v="1407.05"/>
    <n v="2858.93"/>
    <x v="33"/>
    <b v="0"/>
    <n v="12"/>
    <n v="34307.159999999996"/>
    <n v="16884.599999999999"/>
    <n v="17422.559999999998"/>
    <n v="0.50784034586366222"/>
    <s v="High"/>
    <x v="1"/>
    <s v="Low Discount"/>
    <n v="0"/>
    <n v="1477.4024999999999"/>
    <n v="13.200000000000001"/>
    <n v="37737.876000000004"/>
    <n v="18236.163000000004"/>
  </r>
  <r>
    <x v="579"/>
    <x v="202"/>
    <x v="5"/>
    <s v="Q3-2025"/>
    <d v="2025-09-23T00:00:00"/>
    <d v="2025-09-23T00:00:00"/>
    <n v="9"/>
    <x v="1"/>
    <x v="4"/>
    <s v="Durban"/>
    <s v="Non-Profit"/>
    <x v="4"/>
    <x v="0"/>
    <x v="4"/>
    <x v="577"/>
    <n v="1310.3"/>
    <n v="2875.8"/>
    <x v="121"/>
    <b v="0"/>
    <n v="5"/>
    <n v="13185.543000000001"/>
    <n v="6551.5"/>
    <n v="6634.0430000000015"/>
    <n v="0.50313005691157364"/>
    <s v="High"/>
    <x v="0"/>
    <s v="Low Discount"/>
    <n v="8.3000000000000004E-2"/>
    <n v="1375.8150000000001"/>
    <n v="5.5"/>
    <n v="14504.097300000003"/>
    <n v="6937.114800000003"/>
  </r>
  <r>
    <x v="580"/>
    <x v="9"/>
    <x v="7"/>
    <s v="Q2-2023"/>
    <d v="2023-05-28T00:00:00"/>
    <d v="2023-05-28T00:00:00"/>
    <n v="17"/>
    <x v="3"/>
    <x v="10"/>
    <s v="Shenzhen"/>
    <s v="Enterprise"/>
    <x v="1"/>
    <x v="10"/>
    <x v="1"/>
    <x v="578"/>
    <n v="1331.19"/>
    <n v="2903.09"/>
    <x v="153"/>
    <b v="0"/>
    <n v="8"/>
    <n v="19903.585040000002"/>
    <n v="10649.52"/>
    <n v="9254.0650400000013"/>
    <n v="0.46494463290920784"/>
    <s v="High"/>
    <x v="0"/>
    <s v="Low Discount"/>
    <n v="0.14299999999999999"/>
    <n v="1397.7495000000001"/>
    <n v="8.8000000000000007"/>
    <n v="21893.943544000005"/>
    <n v="9593.7479440000025"/>
  </r>
  <r>
    <x v="581"/>
    <x v="440"/>
    <x v="7"/>
    <s v="Q2-2023"/>
    <d v="2023-06-20T00:00:00"/>
    <d v="2023-06-20T00:00:00"/>
    <n v="22"/>
    <x v="0"/>
    <x v="0"/>
    <s v="London"/>
    <s v="Small Business"/>
    <x v="2"/>
    <x v="12"/>
    <x v="4"/>
    <x v="579"/>
    <n v="1295.3900000000001"/>
    <n v="2905.06"/>
    <x v="19"/>
    <b v="0"/>
    <n v="8"/>
    <n v="19800.88896"/>
    <n v="10363.120000000001"/>
    <n v="9437.7689599999994"/>
    <n v="0.47663359857556614"/>
    <s v="High"/>
    <x v="0"/>
    <s v="Low Discount"/>
    <n v="0.14799999999999999"/>
    <n v="1360.1595000000002"/>
    <n v="8.8000000000000007"/>
    <n v="21780.977856000001"/>
    <n v="9811.5742559999981"/>
  </r>
  <r>
    <x v="582"/>
    <x v="441"/>
    <x v="18"/>
    <s v="Q3-2025"/>
    <d v="2025-07-17T00:00:00"/>
    <d v="2025-07-17T00:00:00"/>
    <n v="1"/>
    <x v="1"/>
    <x v="4"/>
    <s v="Durban"/>
    <s v="Small Business"/>
    <x v="3"/>
    <x v="4"/>
    <x v="1"/>
    <x v="580"/>
    <n v="1198.9000000000001"/>
    <n v="2941.2"/>
    <x v="131"/>
    <b v="0"/>
    <n v="24"/>
    <n v="66988.771199999988"/>
    <n v="28773.600000000002"/>
    <n v="38215.171199999982"/>
    <n v="0.57047129713583977"/>
    <s v="High"/>
    <x v="1"/>
    <s v="Low Discount"/>
    <n v="5.0999999999999997E-2"/>
    <n v="1258.8450000000003"/>
    <n v="26.400000000000002"/>
    <n v="73687.648319999993"/>
    <n v="40454.140319999984"/>
  </r>
  <r>
    <x v="583"/>
    <x v="442"/>
    <x v="25"/>
    <s v="Q3-2024"/>
    <d v="2024-09-26T00:00:00"/>
    <d v="2024-09-26T00:00:00"/>
    <n v="26"/>
    <x v="3"/>
    <x v="7"/>
    <s v="Tokyo"/>
    <s v="Education"/>
    <x v="4"/>
    <x v="1"/>
    <x v="3"/>
    <x v="581"/>
    <n v="1189.03"/>
    <n v="2949.62"/>
    <x v="80"/>
    <b v="0"/>
    <n v="13"/>
    <n v="33551.927499999998"/>
    <n v="15457.39"/>
    <n v="18094.537499999999"/>
    <n v="0.53929949330034765"/>
    <s v="High"/>
    <x v="0"/>
    <s v="Low Discount"/>
    <n v="0.125"/>
    <n v="1248.4815000000001"/>
    <n v="14.3"/>
    <n v="36907.12025"/>
    <n v="19053.834799999997"/>
  </r>
  <r>
    <x v="584"/>
    <x v="443"/>
    <x v="19"/>
    <s v="Q3-2024"/>
    <d v="2024-10-05T00:00:00"/>
    <d v="2024-10-05T00:00:00"/>
    <n v="21"/>
    <x v="3"/>
    <x v="10"/>
    <s v="Shanghai"/>
    <s v="Small Business"/>
    <x v="4"/>
    <x v="2"/>
    <x v="5"/>
    <x v="582"/>
    <n v="1405.56"/>
    <n v="2968.87"/>
    <x v="84"/>
    <b v="0"/>
    <n v="5"/>
    <n v="12335.654849999999"/>
    <n v="7027.7999999999993"/>
    <n v="5307.8548499999997"/>
    <n v="0.4302856163327235"/>
    <s v="High"/>
    <x v="0"/>
    <s v="Low Discount"/>
    <n v="0.16900000000000001"/>
    <n v="1475.838"/>
    <n v="5.5"/>
    <n v="13569.220334999998"/>
    <n v="5452.1113349999987"/>
  </r>
  <r>
    <x v="585"/>
    <x v="116"/>
    <x v="17"/>
    <s v="Q2-2023"/>
    <d v="2023-07-04T00:00:00"/>
    <d v="2023-07-04T00:00:00"/>
    <n v="14"/>
    <x v="2"/>
    <x v="5"/>
    <s v="Brasília"/>
    <s v="Non-Profit"/>
    <x v="2"/>
    <x v="8"/>
    <x v="1"/>
    <x v="583"/>
    <n v="1292.8599999999999"/>
    <n v="2981.01"/>
    <x v="85"/>
    <b v="0"/>
    <n v="12"/>
    <n v="30692.47896"/>
    <n v="15514.32"/>
    <n v="15178.158960000001"/>
    <n v="0.49452372288927687"/>
    <s v="High"/>
    <x v="0"/>
    <s v="Low Discount"/>
    <n v="0.14199999999999999"/>
    <n v="1357.5029999999999"/>
    <n v="13.200000000000001"/>
    <n v="33761.726856000001"/>
    <n v="15842.687256000001"/>
  </r>
  <r>
    <x v="586"/>
    <x v="85"/>
    <x v="4"/>
    <s v="Q2-2024"/>
    <d v="2024-06-15T00:00:00"/>
    <d v="2024-06-15T00:00:00"/>
    <n v="13"/>
    <x v="1"/>
    <x v="1"/>
    <s v="Mombasa"/>
    <s v="Education"/>
    <x v="4"/>
    <x v="11"/>
    <x v="3"/>
    <x v="584"/>
    <n v="1295.18"/>
    <n v="3024.03"/>
    <x v="100"/>
    <b v="0"/>
    <n v="8"/>
    <n v="19547.329920000004"/>
    <n v="10361.44"/>
    <n v="9185.8899200000033"/>
    <n v="0.46993067378483178"/>
    <s v="High"/>
    <x v="0"/>
    <s v="Low Discount"/>
    <n v="0.192"/>
    <n v="1359.9390000000001"/>
    <n v="8.8000000000000007"/>
    <n v="21502.062912000005"/>
    <n v="9534.5997120000029"/>
  </r>
  <r>
    <x v="587"/>
    <x v="444"/>
    <x v="27"/>
    <s v="Q1-2025"/>
    <d v="2025-01-05T00:00:00"/>
    <d v="2025-01-05T00:00:00"/>
    <n v="1"/>
    <x v="3"/>
    <x v="9"/>
    <s v="Delhi"/>
    <s v="Education"/>
    <x v="0"/>
    <x v="1"/>
    <x v="4"/>
    <x v="585"/>
    <n v="1428.33"/>
    <n v="3028.05"/>
    <x v="33"/>
    <b v="0"/>
    <n v="11"/>
    <n v="33308.550000000003"/>
    <n v="15711.63"/>
    <n v="17596.920000000006"/>
    <n v="0.52830039134096207"/>
    <s v="High"/>
    <x v="1"/>
    <s v="Low Discount"/>
    <n v="0"/>
    <n v="1499.7465"/>
    <n v="12.100000000000001"/>
    <n v="36639.405000000006"/>
    <n v="18492.472350000004"/>
  </r>
  <r>
    <x v="588"/>
    <x v="445"/>
    <x v="25"/>
    <s v="Q3-2024"/>
    <d v="2024-08-21T00:00:00"/>
    <d v="2024-09-06T00:00:00"/>
    <n v="14"/>
    <x v="1"/>
    <x v="4"/>
    <s v="Johannesburg"/>
    <s v="Education"/>
    <x v="0"/>
    <x v="10"/>
    <x v="4"/>
    <x v="586"/>
    <n v="1432.52"/>
    <n v="3036.87"/>
    <x v="33"/>
    <b v="0"/>
    <n v="9"/>
    <n v="27331.829999999998"/>
    <n v="12892.68"/>
    <n v="14439.149999999998"/>
    <n v="0.52829064135112791"/>
    <s v="High"/>
    <x v="0"/>
    <s v="Low Discount"/>
    <n v="0"/>
    <n v="1504.146"/>
    <n v="9.9"/>
    <n v="30065.012999999999"/>
    <n v="15173.967599999998"/>
  </r>
  <r>
    <x v="589"/>
    <x v="408"/>
    <x v="4"/>
    <s v="Q2-2024"/>
    <d v="2024-06-21T00:00:00"/>
    <d v="2024-06-21T00:00:00"/>
    <n v="5"/>
    <x v="3"/>
    <x v="7"/>
    <s v="Tokyo"/>
    <s v="Small Business"/>
    <x v="3"/>
    <x v="6"/>
    <x v="3"/>
    <x v="587"/>
    <n v="1367.13"/>
    <n v="3062.01"/>
    <x v="172"/>
    <b v="0"/>
    <n v="25"/>
    <n v="68665.574250000005"/>
    <n v="34178.25"/>
    <n v="34487.324250000005"/>
    <n v="0.50225057645971705"/>
    <s v="High"/>
    <x v="1"/>
    <s v="Low Discount"/>
    <n v="0.10299999999999999"/>
    <n v="1435.4865000000002"/>
    <n v="27.500000000000004"/>
    <n v="75532.131675000026"/>
    <n v="36056.252925000015"/>
  </r>
  <r>
    <x v="590"/>
    <x v="60"/>
    <x v="28"/>
    <s v="Q3-2023"/>
    <d v="2023-10-09T00:00:00"/>
    <d v="2023-10-09T00:00:00"/>
    <n v="14"/>
    <x v="2"/>
    <x v="3"/>
    <s v="New York"/>
    <s v="Small Business"/>
    <x v="1"/>
    <x v="3"/>
    <x v="5"/>
    <x v="588"/>
    <n v="1279.56"/>
    <n v="3083.8"/>
    <x v="161"/>
    <b v="0"/>
    <n v="5"/>
    <n v="13784.586000000001"/>
    <n v="6397.7999999999993"/>
    <n v="7386.7860000000019"/>
    <n v="0.53587289455047848"/>
    <s v="High"/>
    <x v="0"/>
    <s v="Low Discount"/>
    <n v="0.106"/>
    <n v="1343.538"/>
    <n v="5.5"/>
    <n v="15163.044600000001"/>
    <n v="7773.5856000000013"/>
  </r>
  <r>
    <x v="591"/>
    <x v="446"/>
    <x v="4"/>
    <s v="Q2-2024"/>
    <d v="2024-06-24T00:00:00"/>
    <d v="2024-06-24T00:00:00"/>
    <n v="18"/>
    <x v="3"/>
    <x v="9"/>
    <s v="Bengaluru"/>
    <s v="Small Business"/>
    <x v="2"/>
    <x v="2"/>
    <x v="1"/>
    <x v="589"/>
    <n v="1253.25"/>
    <n v="3087.13"/>
    <x v="13"/>
    <b v="0"/>
    <n v="11"/>
    <n v="31513.423040000005"/>
    <n v="13785.75"/>
    <n v="17727.673040000005"/>
    <n v="0.562543555408064"/>
    <s v="High"/>
    <x v="0"/>
    <s v="Low Discount"/>
    <n v="7.1999999999999995E-2"/>
    <n v="1315.9125000000001"/>
    <n v="12.100000000000001"/>
    <n v="34664.765344000007"/>
    <n v="18742.224094000005"/>
  </r>
  <r>
    <x v="592"/>
    <x v="189"/>
    <x v="7"/>
    <s v="Q2-2023"/>
    <d v="2023-05-27T00:00:00"/>
    <d v="2023-05-27T00:00:00"/>
    <n v="17"/>
    <x v="3"/>
    <x v="9"/>
    <s v="Mumbai"/>
    <s v="Consumer"/>
    <x v="0"/>
    <x v="7"/>
    <x v="5"/>
    <x v="590"/>
    <n v="1286.1600000000001"/>
    <n v="3101.11"/>
    <x v="194"/>
    <b v="0"/>
    <n v="23"/>
    <n v="64192.977000000006"/>
    <n v="29581.68"/>
    <n v="34611.297000000006"/>
    <n v="0.53917575749758428"/>
    <s v="High"/>
    <x v="0"/>
    <s v="Low Discount"/>
    <n v="0.1"/>
    <n v="1350.4680000000001"/>
    <n v="25.3"/>
    <n v="70612.274700000009"/>
    <n v="36445.434300000008"/>
  </r>
  <r>
    <x v="593"/>
    <x v="447"/>
    <x v="27"/>
    <s v="Q1-2025"/>
    <d v="2025-02-15T00:00:00"/>
    <d v="2025-02-15T00:00:00"/>
    <n v="19"/>
    <x v="3"/>
    <x v="10"/>
    <s v="Shenzhen"/>
    <s v="Non-Profit"/>
    <x v="2"/>
    <x v="5"/>
    <x v="3"/>
    <x v="591"/>
    <n v="1253.22"/>
    <n v="3104.71"/>
    <x v="33"/>
    <b v="0"/>
    <n v="17"/>
    <n v="52780.07"/>
    <n v="21304.74"/>
    <n v="31475.329999999998"/>
    <n v="0.59634877331538205"/>
    <s v="High"/>
    <x v="0"/>
    <s v="Low Discount"/>
    <n v="0"/>
    <n v="1315.8810000000001"/>
    <n v="18.700000000000003"/>
    <n v="58058.077000000012"/>
    <n v="33451.102300000006"/>
  </r>
  <r>
    <x v="594"/>
    <x v="95"/>
    <x v="11"/>
    <s v="Q3-2025"/>
    <d v="2025-09-14T00:00:00"/>
    <d v="2025-09-14T00:00:00"/>
    <n v="24"/>
    <x v="0"/>
    <x v="6"/>
    <s v="Berlin"/>
    <s v="Non-Profit"/>
    <x v="4"/>
    <x v="13"/>
    <x v="0"/>
    <x v="592"/>
    <n v="1397.67"/>
    <n v="3131.37"/>
    <x v="172"/>
    <b v="0"/>
    <n v="20"/>
    <n v="56176.777799999996"/>
    <n v="27953.4"/>
    <n v="28223.377799999995"/>
    <n v="0.50240293062874808"/>
    <s v="High"/>
    <x v="0"/>
    <s v="Low Discount"/>
    <n v="0.10299999999999999"/>
    <n v="1467.5535000000002"/>
    <n v="22"/>
    <n v="61794.455580000002"/>
    <n v="29508.278579999998"/>
  </r>
  <r>
    <x v="595"/>
    <x v="1"/>
    <x v="1"/>
    <s v="Q1-2023"/>
    <d v="2023-02-27T00:00:00"/>
    <d v="2023-03-14T00:00:00"/>
    <n v="14"/>
    <x v="0"/>
    <x v="2"/>
    <s v="Marseille"/>
    <s v="Corporate"/>
    <x v="0"/>
    <x v="12"/>
    <x v="1"/>
    <x v="593"/>
    <n v="1299.81"/>
    <n v="3149.13"/>
    <x v="172"/>
    <b v="0"/>
    <n v="14"/>
    <n v="39546.774540000006"/>
    <n v="18197.34"/>
    <n v="21349.434540000006"/>
    <n v="0.5398527386451174"/>
    <s v="High"/>
    <x v="0"/>
    <s v="Low Discount"/>
    <n v="0.10299999999999999"/>
    <n v="1364.8005000000001"/>
    <n v="15.400000000000002"/>
    <n v="43501.45199400001"/>
    <n v="22483.524294000006"/>
  </r>
  <r>
    <x v="596"/>
    <x v="448"/>
    <x v="0"/>
    <s v="Q4-2024"/>
    <d v="2025-01-12T00:00:00"/>
    <d v="2025-01-12T00:00:00"/>
    <n v="14"/>
    <x v="0"/>
    <x v="0"/>
    <s v="Manchester"/>
    <s v="Corporate"/>
    <x v="2"/>
    <x v="4"/>
    <x v="0"/>
    <x v="594"/>
    <n v="1399.72"/>
    <n v="3149.21"/>
    <x v="117"/>
    <b v="0"/>
    <n v="12"/>
    <n v="30799.273800000003"/>
    <n v="16796.64"/>
    <n v="14002.633800000003"/>
    <n v="0.45464168703873797"/>
    <s v="High"/>
    <x v="0"/>
    <s v="Low Discount"/>
    <n v="0.185"/>
    <n v="1469.7060000000001"/>
    <n v="13.200000000000001"/>
    <n v="33879.201180000004"/>
    <n v="14479.081979999999"/>
  </r>
  <r>
    <x v="597"/>
    <x v="449"/>
    <x v="10"/>
    <s v="Q4-2023"/>
    <d v="2023-11-16T00:00:00"/>
    <d v="2023-11-16T00:00:00"/>
    <n v="25"/>
    <x v="2"/>
    <x v="11"/>
    <s v="Toronto"/>
    <s v="Small Business"/>
    <x v="1"/>
    <x v="1"/>
    <x v="5"/>
    <x v="595"/>
    <n v="1373.31"/>
    <n v="3154.14"/>
    <x v="167"/>
    <b v="0"/>
    <n v="11"/>
    <n v="27756.432000000001"/>
    <n v="15106.41"/>
    <n v="12650.022000000001"/>
    <n v="0.45575101295440279"/>
    <s v="High"/>
    <x v="0"/>
    <s v="Low Discount"/>
    <n v="0.2"/>
    <n v="1441.9755"/>
    <n v="12.100000000000001"/>
    <n v="30532.075200000003"/>
    <n v="13084.17165"/>
  </r>
  <r>
    <x v="598"/>
    <x v="450"/>
    <x v="8"/>
    <s v="Q1-2024"/>
    <d v="2024-03-06T00:00:00"/>
    <d v="2024-03-06T00:00:00"/>
    <n v="16"/>
    <x v="3"/>
    <x v="10"/>
    <s v="Beijing"/>
    <s v="Education"/>
    <x v="1"/>
    <x v="11"/>
    <x v="6"/>
    <x v="596"/>
    <n v="1477.84"/>
    <n v="3197.47"/>
    <x v="142"/>
    <b v="0"/>
    <n v="24"/>
    <n v="58091.634959999996"/>
    <n v="35468.159999999996"/>
    <n v="22623.47496"/>
    <n v="0.38944462443823086"/>
    <s v="High"/>
    <x v="0"/>
    <s v="High Discount"/>
    <n v="0.2"/>
    <n v="1551.732"/>
    <n v="26.400000000000002"/>
    <n v="67530.566400000011"/>
    <n v="26564.841600000007"/>
  </r>
  <r>
    <x v="599"/>
    <x v="120"/>
    <x v="20"/>
    <s v="Q4-2024"/>
    <d v="2024-11-14T00:00:00"/>
    <d v="2024-11-14T00:00:00"/>
    <n v="20"/>
    <x v="1"/>
    <x v="1"/>
    <s v="Mombasa"/>
    <s v="Corporate"/>
    <x v="2"/>
    <x v="2"/>
    <x v="6"/>
    <x v="597"/>
    <n v="1396.48"/>
    <n v="3204.5"/>
    <x v="33"/>
    <b v="0"/>
    <n v="14"/>
    <n v="44863"/>
    <n v="19550.72"/>
    <n v="25312.28"/>
    <n v="0.56421282571383991"/>
    <s v="High"/>
    <x v="0"/>
    <s v="Low Discount"/>
    <n v="0"/>
    <n v="1466.3040000000001"/>
    <n v="15.400000000000002"/>
    <n v="49349.30000000001"/>
    <n v="26768.218400000005"/>
  </r>
  <r>
    <x v="600"/>
    <x v="451"/>
    <x v="4"/>
    <s v="Q2-2024"/>
    <d v="2024-06-30T00:00:00"/>
    <d v="2024-06-30T00:00:00"/>
    <n v="5"/>
    <x v="1"/>
    <x v="1"/>
    <s v="Kisumu"/>
    <s v="Education"/>
    <x v="2"/>
    <x v="7"/>
    <x v="1"/>
    <x v="598"/>
    <n v="1323.55"/>
    <n v="3230.35"/>
    <x v="56"/>
    <b v="0"/>
    <n v="26"/>
    <n v="82141.339800000002"/>
    <n v="34412.299999999996"/>
    <n v="47729.039800000006"/>
    <n v="0.58105991351263553"/>
    <s v="High"/>
    <x v="1"/>
    <s v="Low Discount"/>
    <n v="2.1999999999999999E-2"/>
    <n v="1389.7275"/>
    <n v="28.6"/>
    <n v="90355.47378"/>
    <n v="50609.26728"/>
  </r>
  <r>
    <x v="601"/>
    <x v="452"/>
    <x v="6"/>
    <s v="Q2-2025"/>
    <d v="2025-05-04T00:00:00"/>
    <d v="2025-05-04T00:00:00"/>
    <n v="20"/>
    <x v="0"/>
    <x v="0"/>
    <s v="Birmingham"/>
    <s v="Enterprise"/>
    <x v="1"/>
    <x v="12"/>
    <x v="0"/>
    <x v="599"/>
    <n v="1413.87"/>
    <n v="3275"/>
    <x v="191"/>
    <b v="0"/>
    <n v="38"/>
    <n v="92715.25"/>
    <n v="53727.06"/>
    <n v="38988.19"/>
    <n v="0.42051539525590453"/>
    <s v="High"/>
    <x v="0"/>
    <s v="High Discount"/>
    <n v="0.2"/>
    <n v="1484.5635"/>
    <n v="41.800000000000004"/>
    <n v="109516.00000000001"/>
    <n v="47461.245700000007"/>
  </r>
  <r>
    <x v="602"/>
    <x v="169"/>
    <x v="2"/>
    <s v="Q2-2025"/>
    <d v="2025-06-27T00:00:00"/>
    <d v="2025-06-27T00:00:00"/>
    <n v="26"/>
    <x v="0"/>
    <x v="6"/>
    <s v="Munich"/>
    <s v="Consumer"/>
    <x v="3"/>
    <x v="10"/>
    <x v="5"/>
    <x v="600"/>
    <n v="1362.31"/>
    <n v="3294.57"/>
    <x v="61"/>
    <b v="0"/>
    <n v="7"/>
    <n v="20455.985130000001"/>
    <n v="9536.17"/>
    <n v="10919.815130000001"/>
    <n v="0.5338200561157721"/>
    <s v="High"/>
    <x v="0"/>
    <s v="Low Discount"/>
    <n v="0.113"/>
    <n v="1430.4255000000001"/>
    <n v="7.7000000000000011"/>
    <n v="22501.583643000002"/>
    <n v="11487.307293"/>
  </r>
  <r>
    <x v="603"/>
    <x v="453"/>
    <x v="9"/>
    <s v="Q3-2023"/>
    <d v="2023-09-20T00:00:00"/>
    <d v="2023-09-20T00:00:00"/>
    <n v="27"/>
    <x v="1"/>
    <x v="4"/>
    <s v="Durban"/>
    <s v="Small Business"/>
    <x v="1"/>
    <x v="7"/>
    <x v="6"/>
    <x v="601"/>
    <n v="1399.64"/>
    <n v="3342.11"/>
    <x v="33"/>
    <b v="0"/>
    <n v="10"/>
    <n v="33421.1"/>
    <n v="13996.400000000001"/>
    <n v="19424.699999999997"/>
    <n v="0.58121067229983447"/>
    <s v="High"/>
    <x v="0"/>
    <s v="Low Discount"/>
    <n v="0"/>
    <n v="1469.6220000000001"/>
    <n v="11"/>
    <n v="36763.21"/>
    <n v="20597.367999999999"/>
  </r>
  <r>
    <x v="604"/>
    <x v="454"/>
    <x v="26"/>
    <s v="Q1-2023"/>
    <d v="2023-03-05T00:00:00"/>
    <d v="2023-03-05T00:00:00"/>
    <n v="3"/>
    <x v="2"/>
    <x v="5"/>
    <s v="Brasília"/>
    <s v="Enterprise"/>
    <x v="2"/>
    <x v="14"/>
    <x v="0"/>
    <x v="602"/>
    <n v="1473.58"/>
    <n v="3436.52"/>
    <x v="92"/>
    <b v="0"/>
    <n v="8"/>
    <n v="24523.006720000001"/>
    <n v="11788.64"/>
    <n v="12734.366720000002"/>
    <n v="0.51928243813652564"/>
    <s v="High"/>
    <x v="1"/>
    <s v="Low Discount"/>
    <n v="0.108"/>
    <n v="1547.259"/>
    <n v="8.8000000000000007"/>
    <n v="26975.307392000002"/>
    <n v="13359.428192000001"/>
  </r>
  <r>
    <x v="605"/>
    <x v="150"/>
    <x v="0"/>
    <s v="Q4-2024"/>
    <d v="2025-01-02T00:00:00"/>
    <d v="2025-01-02T00:00:00"/>
    <n v="6"/>
    <x v="0"/>
    <x v="6"/>
    <s v="Frankfurt"/>
    <s v="Education"/>
    <x v="2"/>
    <x v="6"/>
    <x v="5"/>
    <x v="603"/>
    <n v="1391.99"/>
    <n v="3469.7"/>
    <x v="129"/>
    <b v="0"/>
    <n v="23"/>
    <n v="65119.329599999997"/>
    <n v="32015.77"/>
    <n v="33103.559599999993"/>
    <n v="0.50835227886006973"/>
    <s v="High"/>
    <x v="1"/>
    <s v="Low Discount"/>
    <n v="0.184"/>
    <n v="1461.5895"/>
    <n v="25.3"/>
    <n v="71631.262560000003"/>
    <n v="34653.048210000001"/>
  </r>
  <r>
    <x v="606"/>
    <x v="455"/>
    <x v="15"/>
    <s v="Q2-2024"/>
    <d v="2024-05-27T00:00:00"/>
    <d v="2024-05-27T00:00:00"/>
    <n v="10"/>
    <x v="2"/>
    <x v="3"/>
    <s v="Austin"/>
    <s v="Non-Profit"/>
    <x v="4"/>
    <x v="8"/>
    <x v="3"/>
    <x v="604"/>
    <n v="1484.23"/>
    <n v="3472.81"/>
    <x v="214"/>
    <b v="0"/>
    <n v="12"/>
    <n v="31005.247679999997"/>
    <n v="17810.760000000002"/>
    <n v="13194.487679999995"/>
    <n v="0.42555659661803408"/>
    <s v="High"/>
    <x v="0"/>
    <s v="High Discount"/>
    <n v="0.2"/>
    <n v="1558.4415000000001"/>
    <n v="13.200000000000001"/>
    <n v="36672.873600000006"/>
    <n v="16101.445800000001"/>
  </r>
  <r>
    <x v="607"/>
    <x v="456"/>
    <x v="15"/>
    <s v="Q2-2024"/>
    <d v="2024-05-28T00:00:00"/>
    <d v="2024-05-28T00:00:00"/>
    <n v="14"/>
    <x v="0"/>
    <x v="0"/>
    <s v="Birmingham"/>
    <s v="Consumer"/>
    <x v="0"/>
    <x v="4"/>
    <x v="1"/>
    <x v="605"/>
    <n v="1421.14"/>
    <n v="3524"/>
    <x v="33"/>
    <b v="0"/>
    <n v="31"/>
    <n v="109244"/>
    <n v="44055.340000000004"/>
    <n v="65188.659999999996"/>
    <n v="0.59672531214528945"/>
    <s v="High"/>
    <x v="0"/>
    <s v="Low Discount"/>
    <n v="0"/>
    <n v="1492.1970000000001"/>
    <n v="34.1"/>
    <n v="120168.40000000001"/>
    <n v="69284.482300000003"/>
  </r>
  <r>
    <x v="608"/>
    <x v="382"/>
    <x v="29"/>
    <s v="Q3-2024"/>
    <d v="2024-07-24T00:00:00"/>
    <d v="2024-08-08T00:00:00"/>
    <n v="14"/>
    <x v="1"/>
    <x v="1"/>
    <s v="Mombasa"/>
    <s v="Non-Profit"/>
    <x v="2"/>
    <x v="3"/>
    <x v="5"/>
    <x v="606"/>
    <n v="1494.4"/>
    <n v="3661.07"/>
    <x v="13"/>
    <b v="0"/>
    <n v="7"/>
    <n v="23782.310720000005"/>
    <n v="10460.800000000001"/>
    <n v="13321.510720000004"/>
    <n v="0.56014366630897339"/>
    <s v="High"/>
    <x v="0"/>
    <s v="Low Discount"/>
    <n v="7.1999999999999995E-2"/>
    <n v="1569.1200000000001"/>
    <n v="7.7000000000000011"/>
    <n v="26160.541792000007"/>
    <n v="14078.317792000005"/>
  </r>
  <r>
    <x v="609"/>
    <x v="457"/>
    <x v="33"/>
    <m/>
    <m/>
    <m/>
    <m/>
    <x v="4"/>
    <x v="12"/>
    <m/>
    <m/>
    <x v="5"/>
    <x v="15"/>
    <x v="7"/>
    <x v="607"/>
    <m/>
    <m/>
    <x v="215"/>
    <m/>
    <m/>
    <m/>
    <m/>
    <m/>
    <m/>
    <m/>
    <x v="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8C3B5F-B876-45FA-BB98-7BADD00CCEF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35">
    <pivotField showAll="0"/>
    <pivotField showAll="0">
      <items count="459">
        <item x="137"/>
        <item x="162"/>
        <item x="179"/>
        <item x="306"/>
        <item x="201"/>
        <item x="17"/>
        <item x="391"/>
        <item x="325"/>
        <item x="83"/>
        <item x="88"/>
        <item x="154"/>
        <item x="27"/>
        <item x="317"/>
        <item x="323"/>
        <item x="390"/>
        <item x="433"/>
        <item x="190"/>
        <item x="173"/>
        <item x="384"/>
        <item x="118"/>
        <item x="107"/>
        <item x="104"/>
        <item x="7"/>
        <item x="409"/>
        <item x="1"/>
        <item x="454"/>
        <item x="381"/>
        <item x="211"/>
        <item x="383"/>
        <item x="213"/>
        <item x="335"/>
        <item x="86"/>
        <item x="262"/>
        <item x="277"/>
        <item x="264"/>
        <item x="75"/>
        <item x="51"/>
        <item x="89"/>
        <item x="139"/>
        <item x="114"/>
        <item x="329"/>
        <item x="224"/>
        <item x="407"/>
        <item x="24"/>
        <item x="101"/>
        <item x="159"/>
        <item x="91"/>
        <item x="171"/>
        <item x="275"/>
        <item x="302"/>
        <item x="193"/>
        <item x="33"/>
        <item x="74"/>
        <item x="174"/>
        <item x="37"/>
        <item x="43"/>
        <item x="106"/>
        <item x="217"/>
        <item x="189"/>
        <item x="9"/>
        <item x="212"/>
        <item x="22"/>
        <item x="199"/>
        <item x="19"/>
        <item x="328"/>
        <item x="421"/>
        <item x="440"/>
        <item x="237"/>
        <item x="387"/>
        <item x="178"/>
        <item x="147"/>
        <item x="304"/>
        <item x="110"/>
        <item x="161"/>
        <item x="255"/>
        <item x="103"/>
        <item x="116"/>
        <item x="204"/>
        <item x="129"/>
        <item x="165"/>
        <item x="25"/>
        <item x="152"/>
        <item x="48"/>
        <item x="283"/>
        <item x="238"/>
        <item x="305"/>
        <item x="438"/>
        <item x="52"/>
        <item x="357"/>
        <item x="314"/>
        <item x="418"/>
        <item x="235"/>
        <item x="402"/>
        <item x="394"/>
        <item x="339"/>
        <item x="102"/>
        <item x="341"/>
        <item x="429"/>
        <item x="84"/>
        <item x="81"/>
        <item x="225"/>
        <item x="375"/>
        <item x="158"/>
        <item x="32"/>
        <item x="285"/>
        <item x="142"/>
        <item x="71"/>
        <item x="117"/>
        <item x="453"/>
        <item x="416"/>
        <item x="113"/>
        <item x="374"/>
        <item x="365"/>
        <item x="12"/>
        <item x="96"/>
        <item x="167"/>
        <item x="155"/>
        <item x="253"/>
        <item x="143"/>
        <item x="385"/>
        <item x="60"/>
        <item x="228"/>
        <item x="320"/>
        <item x="420"/>
        <item x="300"/>
        <item x="208"/>
        <item x="349"/>
        <item x="181"/>
        <item x="210"/>
        <item x="69"/>
        <item x="449"/>
        <item x="141"/>
        <item x="13"/>
        <item x="388"/>
        <item x="293"/>
        <item x="180"/>
        <item x="263"/>
        <item x="261"/>
        <item x="425"/>
        <item x="65"/>
        <item x="197"/>
        <item x="98"/>
        <item x="436"/>
        <item x="252"/>
        <item x="260"/>
        <item x="111"/>
        <item x="183"/>
        <item x="192"/>
        <item x="378"/>
        <item x="396"/>
        <item x="207"/>
        <item x="282"/>
        <item x="231"/>
        <item x="112"/>
        <item x="166"/>
        <item x="405"/>
        <item x="346"/>
        <item x="273"/>
        <item x="288"/>
        <item x="100"/>
        <item x="140"/>
        <item x="209"/>
        <item x="353"/>
        <item x="146"/>
        <item x="82"/>
        <item x="186"/>
        <item x="296"/>
        <item x="311"/>
        <item x="254"/>
        <item x="276"/>
        <item x="249"/>
        <item x="38"/>
        <item x="318"/>
        <item x="10"/>
        <item x="331"/>
        <item x="324"/>
        <item x="194"/>
        <item x="26"/>
        <item x="399"/>
        <item x="380"/>
        <item x="23"/>
        <item x="450"/>
        <item x="439"/>
        <item x="92"/>
        <item x="406"/>
        <item x="77"/>
        <item x="8"/>
        <item x="80"/>
        <item x="268"/>
        <item x="248"/>
        <item x="44"/>
        <item x="216"/>
        <item x="258"/>
        <item x="372"/>
        <item x="145"/>
        <item x="351"/>
        <item x="185"/>
        <item x="148"/>
        <item x="284"/>
        <item x="133"/>
        <item x="3"/>
        <item x="400"/>
        <item x="67"/>
        <item x="309"/>
        <item x="291"/>
        <item x="221"/>
        <item x="227"/>
        <item x="345"/>
        <item x="431"/>
        <item x="315"/>
        <item x="188"/>
        <item x="301"/>
        <item x="76"/>
        <item x="266"/>
        <item x="205"/>
        <item x="344"/>
        <item x="336"/>
        <item x="417"/>
        <item x="369"/>
        <item x="334"/>
        <item x="56"/>
        <item x="46"/>
        <item x="456"/>
        <item x="455"/>
        <item x="187"/>
        <item x="279"/>
        <item x="236"/>
        <item x="299"/>
        <item x="274"/>
        <item x="21"/>
        <item x="151"/>
        <item x="370"/>
        <item x="87"/>
        <item x="85"/>
        <item x="398"/>
        <item x="322"/>
        <item x="333"/>
        <item x="446"/>
        <item x="366"/>
        <item x="168"/>
        <item x="243"/>
        <item x="359"/>
        <item x="247"/>
        <item x="319"/>
        <item x="408"/>
        <item x="123"/>
        <item x="136"/>
        <item x="451"/>
        <item x="4"/>
        <item x="356"/>
        <item x="232"/>
        <item x="295"/>
        <item x="64"/>
        <item x="272"/>
        <item x="206"/>
        <item x="175"/>
        <item x="267"/>
        <item x="382"/>
        <item x="326"/>
        <item x="362"/>
        <item x="303"/>
        <item x="256"/>
        <item x="172"/>
        <item x="119"/>
        <item x="393"/>
        <item x="131"/>
        <item x="203"/>
        <item x="401"/>
        <item x="426"/>
        <item x="68"/>
        <item x="332"/>
        <item x="153"/>
        <item x="50"/>
        <item x="445"/>
        <item x="330"/>
        <item x="198"/>
        <item x="442"/>
        <item x="242"/>
        <item x="29"/>
        <item x="94"/>
        <item x="340"/>
        <item x="49"/>
        <item x="229"/>
        <item x="360"/>
        <item x="354"/>
        <item x="443"/>
        <item x="219"/>
        <item x="376"/>
        <item x="413"/>
        <item x="245"/>
        <item x="410"/>
        <item x="397"/>
        <item x="226"/>
        <item x="415"/>
        <item x="124"/>
        <item x="355"/>
        <item x="115"/>
        <item x="241"/>
        <item x="364"/>
        <item x="45"/>
        <item x="31"/>
        <item x="294"/>
        <item x="177"/>
        <item x="422"/>
        <item x="120"/>
        <item x="176"/>
        <item x="363"/>
        <item x="271"/>
        <item x="289"/>
        <item x="308"/>
        <item x="321"/>
        <item x="265"/>
        <item x="423"/>
        <item x="39"/>
        <item x="240"/>
        <item x="79"/>
        <item x="368"/>
        <item x="367"/>
        <item x="379"/>
        <item x="427"/>
        <item x="184"/>
        <item x="61"/>
        <item x="47"/>
        <item x="36"/>
        <item x="63"/>
        <item x="412"/>
        <item x="73"/>
        <item x="234"/>
        <item x="312"/>
        <item x="338"/>
        <item x="127"/>
        <item x="0"/>
        <item x="352"/>
        <item x="135"/>
        <item x="214"/>
        <item x="70"/>
        <item x="150"/>
        <item x="434"/>
        <item x="448"/>
        <item x="157"/>
        <item x="444"/>
        <item x="246"/>
        <item x="122"/>
        <item x="327"/>
        <item x="58"/>
        <item x="55"/>
        <item x="200"/>
        <item x="62"/>
        <item x="57"/>
        <item x="447"/>
        <item x="428"/>
        <item x="126"/>
        <item x="373"/>
        <item x="163"/>
        <item x="371"/>
        <item x="34"/>
        <item x="437"/>
        <item x="244"/>
        <item x="313"/>
        <item x="223"/>
        <item x="348"/>
        <item x="125"/>
        <item x="298"/>
        <item x="347"/>
        <item x="16"/>
        <item x="105"/>
        <item x="128"/>
        <item x="121"/>
        <item x="270"/>
        <item x="41"/>
        <item x="430"/>
        <item x="404"/>
        <item x="269"/>
        <item x="239"/>
        <item x="18"/>
        <item x="361"/>
        <item x="66"/>
        <item x="35"/>
        <item x="377"/>
        <item x="59"/>
        <item x="6"/>
        <item x="230"/>
        <item x="343"/>
        <item x="54"/>
        <item x="250"/>
        <item x="286"/>
        <item x="72"/>
        <item x="452"/>
        <item x="132"/>
        <item x="97"/>
        <item x="11"/>
        <item x="14"/>
        <item x="218"/>
        <item x="281"/>
        <item x="109"/>
        <item x="310"/>
        <item x="389"/>
        <item x="307"/>
        <item x="138"/>
        <item x="90"/>
        <item x="435"/>
        <item x="290"/>
        <item x="42"/>
        <item x="130"/>
        <item x="222"/>
        <item x="395"/>
        <item x="191"/>
        <item x="259"/>
        <item x="169"/>
        <item x="20"/>
        <item x="182"/>
        <item x="2"/>
        <item x="280"/>
        <item x="160"/>
        <item x="403"/>
        <item x="30"/>
        <item x="233"/>
        <item x="78"/>
        <item x="93"/>
        <item x="392"/>
        <item x="156"/>
        <item x="297"/>
        <item x="28"/>
        <item x="108"/>
        <item x="40"/>
        <item x="441"/>
        <item x="432"/>
        <item x="195"/>
        <item x="411"/>
        <item x="386"/>
        <item x="99"/>
        <item x="170"/>
        <item x="424"/>
        <item x="144"/>
        <item x="419"/>
        <item x="358"/>
        <item x="196"/>
        <item x="15"/>
        <item x="53"/>
        <item x="257"/>
        <item x="316"/>
        <item x="134"/>
        <item x="292"/>
        <item x="414"/>
        <item x="350"/>
        <item x="95"/>
        <item x="287"/>
        <item x="278"/>
        <item x="220"/>
        <item x="149"/>
        <item x="215"/>
        <item x="337"/>
        <item x="251"/>
        <item x="164"/>
        <item x="342"/>
        <item x="202"/>
        <item x="5"/>
        <item x="457"/>
        <item t="default"/>
      </items>
    </pivotField>
    <pivotField showAll="0">
      <items count="35">
        <item x="16"/>
        <item x="31"/>
        <item x="6"/>
        <item x="9"/>
        <item x="25"/>
        <item x="11"/>
        <item x="32"/>
        <item x="0"/>
        <item x="1"/>
        <item x="8"/>
        <item x="12"/>
        <item x="13"/>
        <item x="21"/>
        <item x="27"/>
        <item x="24"/>
        <item x="29"/>
        <item x="18"/>
        <item x="17"/>
        <item x="4"/>
        <item x="2"/>
        <item x="26"/>
        <item x="3"/>
        <item x="14"/>
        <item x="7"/>
        <item x="15"/>
        <item x="23"/>
        <item x="30"/>
        <item x="22"/>
        <item x="10"/>
        <item x="20"/>
        <item x="28"/>
        <item x="19"/>
        <item x="5"/>
        <item x="33"/>
        <item t="default"/>
      </items>
    </pivotField>
    <pivotField showAll="0"/>
    <pivotField showAll="0"/>
    <pivotField showAll="0"/>
    <pivotField showAll="0"/>
    <pivotField showAll="0">
      <items count="6">
        <item x="1"/>
        <item x="2"/>
        <item x="3"/>
        <item x="0"/>
        <item x="4"/>
        <item t="default"/>
      </items>
    </pivotField>
    <pivotField showAll="0">
      <items count="14">
        <item x="5"/>
        <item x="11"/>
        <item x="10"/>
        <item x="2"/>
        <item x="6"/>
        <item x="9"/>
        <item x="7"/>
        <item x="1"/>
        <item x="8"/>
        <item x="4"/>
        <item x="0"/>
        <item x="3"/>
        <item x="12"/>
        <item t="default"/>
      </items>
    </pivotField>
    <pivotField showAll="0"/>
    <pivotField showAll="0"/>
    <pivotField showAll="0">
      <items count="7">
        <item x="2"/>
        <item x="3"/>
        <item x="1"/>
        <item x="4"/>
        <item x="0"/>
        <item x="5"/>
        <item t="default"/>
      </items>
    </pivotField>
    <pivotField axis="axisRow" showAll="0" sortType="descending">
      <items count="17">
        <item x="13"/>
        <item x="4"/>
        <item x="8"/>
        <item x="0"/>
        <item x="10"/>
        <item x="6"/>
        <item x="14"/>
        <item x="2"/>
        <item x="1"/>
        <item x="3"/>
        <item x="12"/>
        <item x="5"/>
        <item x="7"/>
        <item x="9"/>
        <item x="11"/>
        <item h="1" x="1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2"/>
  </rowFields>
  <rowItems count="16">
    <i>
      <x v="12"/>
    </i>
    <i>
      <x v="1"/>
    </i>
    <i>
      <x v="11"/>
    </i>
    <i>
      <x v="9"/>
    </i>
    <i>
      <x v="10"/>
    </i>
    <i>
      <x v="2"/>
    </i>
    <i>
      <x/>
    </i>
    <i>
      <x v="5"/>
    </i>
    <i>
      <x v="4"/>
    </i>
    <i>
      <x v="7"/>
    </i>
    <i>
      <x v="14"/>
    </i>
    <i>
      <x v="6"/>
    </i>
    <i>
      <x v="3"/>
    </i>
    <i>
      <x v="8"/>
    </i>
    <i>
      <x v="13"/>
    </i>
    <i t="grand">
      <x/>
    </i>
  </rowItems>
  <colFields count="1">
    <field x="-2"/>
  </colFields>
  <colItems count="2">
    <i>
      <x/>
    </i>
    <i i="1">
      <x v="1"/>
    </i>
  </colItems>
  <dataFields count="2">
    <dataField name="Sum of GrossRevenue" fld="20" baseField="0" baseItem="0"/>
    <dataField name="Sum of Gross Profit" fld="22" baseField="0" baseItem="0"/>
  </dataFields>
  <formats count="6">
    <format dxfId="167">
      <pivotArea collapsedLevelsAreSubtotals="1" fieldPosition="0">
        <references count="1">
          <reference field="12" count="3">
            <x v="1"/>
            <x v="11"/>
            <x v="12"/>
          </reference>
        </references>
      </pivotArea>
    </format>
    <format dxfId="166">
      <pivotArea dataOnly="0" labelOnly="1" fieldPosition="0">
        <references count="1">
          <reference field="12" count="3">
            <x v="1"/>
            <x v="11"/>
            <x v="12"/>
          </reference>
        </references>
      </pivotArea>
    </format>
    <format dxfId="165">
      <pivotArea collapsedLevelsAreSubtotals="1" fieldPosition="0">
        <references count="1">
          <reference field="12" count="3">
            <x v="3"/>
            <x v="8"/>
            <x v="13"/>
          </reference>
        </references>
      </pivotArea>
    </format>
    <format dxfId="164">
      <pivotArea dataOnly="0" labelOnly="1" fieldPosition="0">
        <references count="1">
          <reference field="12" count="3">
            <x v="3"/>
            <x v="8"/>
            <x v="13"/>
          </reference>
        </references>
      </pivotArea>
    </format>
    <format dxfId="163">
      <pivotArea collapsedLevelsAreSubtotals="1" fieldPosition="0">
        <references count="1">
          <reference field="12" count="15">
            <x v="0"/>
            <x v="1"/>
            <x v="2"/>
            <x v="3"/>
            <x v="4"/>
            <x v="5"/>
            <x v="6"/>
            <x v="7"/>
            <x v="8"/>
            <x v="9"/>
            <x v="10"/>
            <x v="11"/>
            <x v="12"/>
            <x v="13"/>
            <x v="14"/>
          </reference>
        </references>
      </pivotArea>
    </format>
    <format dxfId="162">
      <pivotArea dataOnly="0" labelOnly="1" fieldPosition="0">
        <references count="1">
          <reference field="12" count="15">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79EB50-5F0F-4F20-82A0-67405783810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13" firstHeaderRow="1" firstDataRow="1" firstDataCol="1"/>
  <pivotFields count="35">
    <pivotField axis="axisRow" showAll="0">
      <items count="611">
        <item x="355"/>
        <item x="494"/>
        <item x="17"/>
        <item x="77"/>
        <item x="228"/>
        <item x="139"/>
        <item x="590"/>
        <item x="255"/>
        <item x="475"/>
        <item x="241"/>
        <item x="116"/>
        <item x="97"/>
        <item x="569"/>
        <item x="432"/>
        <item x="597"/>
        <item x="392"/>
        <item x="291"/>
        <item x="93"/>
        <item x="420"/>
        <item x="301"/>
        <item x="508"/>
        <item x="105"/>
        <item x="184"/>
        <item x="540"/>
        <item x="251"/>
        <item x="482"/>
        <item x="286"/>
        <item x="166"/>
        <item x="12"/>
        <item x="299"/>
        <item x="78"/>
        <item x="447"/>
        <item x="481"/>
        <item x="259"/>
        <item x="9"/>
        <item x="86"/>
        <item x="188"/>
        <item x="26"/>
        <item x="407"/>
        <item x="487"/>
        <item x="61"/>
        <item x="33"/>
        <item x="234"/>
        <item x="402"/>
        <item x="576"/>
        <item x="7"/>
        <item x="560"/>
        <item x="177"/>
        <item x="435"/>
        <item x="249"/>
        <item x="379"/>
        <item x="352"/>
        <item x="354"/>
        <item x="267"/>
        <item x="347"/>
        <item x="34"/>
        <item x="382"/>
        <item x="281"/>
        <item x="410"/>
        <item x="115"/>
        <item x="495"/>
        <item x="264"/>
        <item x="431"/>
        <item x="1"/>
        <item x="356"/>
        <item x="126"/>
        <item x="232"/>
        <item x="38"/>
        <item x="221"/>
        <item x="342"/>
        <item x="196"/>
        <item x="533"/>
        <item x="224"/>
        <item x="300"/>
        <item x="95"/>
        <item x="473"/>
        <item x="159"/>
        <item x="168"/>
        <item x="322"/>
        <item x="585"/>
        <item x="479"/>
        <item x="574"/>
        <item x="298"/>
        <item x="592"/>
        <item x="323"/>
        <item x="545"/>
        <item x="370"/>
        <item x="191"/>
        <item x="534"/>
        <item x="324"/>
        <item x="284"/>
        <item x="230"/>
        <item x="154"/>
        <item x="548"/>
        <item x="269"/>
        <item x="327"/>
        <item x="358"/>
        <item x="53"/>
        <item x="393"/>
        <item x="317"/>
        <item x="136"/>
        <item x="169"/>
        <item x="555"/>
        <item x="437"/>
        <item x="256"/>
        <item x="542"/>
        <item x="573"/>
        <item x="250"/>
        <item x="374"/>
        <item x="565"/>
        <item x="335"/>
        <item x="120"/>
        <item x="388"/>
        <item x="331"/>
        <item x="484"/>
        <item x="328"/>
        <item x="211"/>
        <item x="152"/>
        <item x="125"/>
        <item x="74"/>
        <item x="19"/>
        <item x="173"/>
        <item x="182"/>
        <item x="98"/>
        <item x="88"/>
        <item x="254"/>
        <item x="524"/>
        <item x="303"/>
        <item x="359"/>
        <item x="424"/>
        <item x="535"/>
        <item x="483"/>
        <item x="603"/>
        <item x="111"/>
        <item x="198"/>
        <item x="72"/>
        <item x="110"/>
        <item x="460"/>
        <item x="362"/>
        <item x="490"/>
        <item x="467"/>
        <item x="219"/>
        <item x="179"/>
        <item x="360"/>
        <item x="556"/>
        <item x="22"/>
        <item x="122"/>
        <item x="89"/>
        <item x="498"/>
        <item x="289"/>
        <item x="148"/>
        <item x="150"/>
        <item x="500"/>
        <item x="539"/>
        <item x="112"/>
        <item x="418"/>
        <item x="240"/>
        <item x="153"/>
        <item x="315"/>
        <item x="103"/>
        <item x="25"/>
        <item x="119"/>
        <item x="489"/>
        <item x="91"/>
        <item x="313"/>
        <item x="453"/>
        <item x="94"/>
        <item x="183"/>
        <item x="201"/>
        <item x="162"/>
        <item x="513"/>
        <item x="304"/>
        <item x="13"/>
        <item x="330"/>
        <item x="343"/>
        <item x="127"/>
        <item x="477"/>
        <item x="386"/>
        <item x="28"/>
        <item x="52"/>
        <item x="108"/>
        <item x="462"/>
        <item x="522"/>
        <item x="580"/>
        <item x="266"/>
        <item x="536"/>
        <item x="604"/>
        <item x="192"/>
        <item x="172"/>
        <item x="197"/>
        <item x="478"/>
        <item x="515"/>
        <item x="595"/>
        <item x="206"/>
        <item x="109"/>
        <item x="44"/>
        <item x="511"/>
        <item x="409"/>
        <item x="208"/>
        <item x="49"/>
        <item x="364"/>
        <item x="199"/>
        <item x="581"/>
        <item x="235"/>
        <item x="302"/>
        <item x="213"/>
        <item x="531"/>
        <item x="396"/>
        <item x="236"/>
        <item x="549"/>
        <item x="209"/>
        <item x="528"/>
        <item x="217"/>
        <item x="121"/>
        <item x="520"/>
        <item x="67"/>
        <item x="562"/>
        <item x="123"/>
        <item x="368"/>
        <item x="564"/>
        <item x="384"/>
        <item x="128"/>
        <item x="527"/>
        <item x="157"/>
        <item x="351"/>
        <item x="145"/>
        <item x="596"/>
        <item x="90"/>
        <item x="588"/>
        <item x="305"/>
        <item x="164"/>
        <item x="472"/>
        <item x="81"/>
        <item x="496"/>
        <item x="452"/>
        <item x="288"/>
        <item x="277"/>
        <item x="23"/>
        <item x="464"/>
        <item x="3"/>
        <item x="316"/>
        <item x="30"/>
        <item x="175"/>
        <item x="245"/>
        <item x="223"/>
        <item x="550"/>
        <item x="340"/>
        <item x="203"/>
        <item x="438"/>
        <item x="40"/>
        <item x="27"/>
        <item x="504"/>
        <item x="426"/>
        <item x="79"/>
        <item x="458"/>
        <item x="129"/>
        <item x="421"/>
        <item x="485"/>
        <item x="32"/>
        <item x="62"/>
        <item x="156"/>
        <item x="398"/>
        <item x="510"/>
        <item x="325"/>
        <item x="176"/>
        <item x="429"/>
        <item x="442"/>
        <item x="141"/>
        <item x="253"/>
        <item x="270"/>
        <item x="449"/>
        <item x="446"/>
        <item x="400"/>
        <item x="566"/>
        <item x="443"/>
        <item x="212"/>
        <item x="600"/>
        <item x="294"/>
        <item x="314"/>
        <item x="194"/>
        <item x="557"/>
        <item x="190"/>
        <item x="247"/>
        <item x="311"/>
        <item x="195"/>
        <item x="207"/>
        <item x="385"/>
        <item x="205"/>
        <item x="337"/>
        <item x="76"/>
        <item x="376"/>
        <item x="265"/>
        <item x="428"/>
        <item x="227"/>
        <item x="404"/>
        <item x="21"/>
        <item x="279"/>
        <item x="83"/>
        <item x="185"/>
        <item x="189"/>
        <item x="578"/>
        <item x="529"/>
        <item x="434"/>
        <item x="465"/>
        <item x="143"/>
        <item x="488"/>
        <item x="591"/>
        <item x="553"/>
        <item x="260"/>
        <item x="598"/>
        <item x="605"/>
        <item x="64"/>
        <item x="84"/>
        <item x="412"/>
        <item x="544"/>
        <item x="538"/>
        <item x="537"/>
        <item x="319"/>
        <item x="558"/>
        <item x="275"/>
        <item x="503"/>
        <item x="521"/>
        <item x="8"/>
        <item x="401"/>
        <item x="280"/>
        <item x="583"/>
        <item x="218"/>
        <item x="507"/>
        <item x="607"/>
        <item x="326"/>
        <item x="413"/>
        <item x="415"/>
        <item x="278"/>
        <item x="225"/>
        <item x="101"/>
        <item x="346"/>
        <item x="589"/>
        <item x="165"/>
        <item x="523"/>
        <item x="50"/>
        <item x="448"/>
        <item x="71"/>
        <item x="363"/>
        <item x="541"/>
        <item x="518"/>
        <item x="419"/>
        <item x="353"/>
        <item x="290"/>
        <item x="92"/>
        <item x="312"/>
        <item x="295"/>
        <item x="505"/>
        <item x="394"/>
        <item x="454"/>
        <item x="344"/>
        <item x="57"/>
        <item x="474"/>
        <item x="395"/>
        <item x="570"/>
        <item x="229"/>
        <item x="272"/>
        <item x="391"/>
        <item x="307"/>
        <item x="525"/>
        <item x="378"/>
        <item x="440"/>
        <item x="292"/>
        <item x="606"/>
        <item x="239"/>
        <item x="411"/>
        <item x="399"/>
        <item x="107"/>
        <item x="124"/>
        <item x="257"/>
        <item x="552"/>
        <item x="51"/>
        <item x="365"/>
        <item x="204"/>
        <item x="271"/>
        <item x="334"/>
        <item x="375"/>
        <item x="445"/>
        <item x="584"/>
        <item x="451"/>
        <item x="243"/>
        <item x="450"/>
        <item x="147"/>
        <item x="48"/>
        <item x="113"/>
        <item x="167"/>
        <item x="46"/>
        <item x="608"/>
        <item x="137"/>
        <item x="430"/>
        <item x="99"/>
        <item x="389"/>
        <item x="586"/>
        <item x="530"/>
        <item x="306"/>
        <item x="161"/>
        <item x="406"/>
        <item x="262"/>
        <item x="39"/>
        <item x="87"/>
        <item x="493"/>
        <item x="45"/>
        <item x="193"/>
        <item x="417"/>
        <item x="547"/>
        <item x="37"/>
        <item x="308"/>
        <item x="151"/>
        <item x="132"/>
        <item x="231"/>
        <item x="506"/>
        <item x="367"/>
        <item x="348"/>
        <item x="383"/>
        <item x="65"/>
        <item x="70"/>
        <item x="476"/>
        <item x="237"/>
        <item x="457"/>
        <item x="439"/>
        <item x="273"/>
        <item x="492"/>
        <item x="4"/>
        <item x="336"/>
        <item x="381"/>
        <item x="0"/>
        <item x="372"/>
        <item x="133"/>
        <item x="357"/>
        <item x="509"/>
        <item x="10"/>
        <item x="85"/>
        <item x="202"/>
        <item x="433"/>
        <item x="444"/>
        <item x="214"/>
        <item x="66"/>
        <item x="73"/>
        <item x="408"/>
        <item x="47"/>
        <item x="387"/>
        <item x="338"/>
        <item x="397"/>
        <item x="252"/>
        <item x="599"/>
        <item x="160"/>
        <item x="96"/>
        <item x="309"/>
        <item x="568"/>
        <item x="587"/>
        <item x="55"/>
        <item x="546"/>
        <item x="390"/>
        <item x="283"/>
        <item x="117"/>
        <item x="69"/>
        <item x="75"/>
        <item x="18"/>
        <item x="170"/>
        <item x="501"/>
        <item x="144"/>
        <item x="361"/>
        <item x="135"/>
        <item x="186"/>
        <item x="561"/>
        <item x="181"/>
        <item x="142"/>
        <item x="296"/>
        <item x="414"/>
        <item x="118"/>
        <item x="572"/>
        <item x="68"/>
        <item x="422"/>
        <item x="261"/>
        <item x="502"/>
        <item x="216"/>
        <item x="373"/>
        <item x="82"/>
        <item x="577"/>
        <item x="593"/>
        <item x="441"/>
        <item x="461"/>
        <item x="369"/>
        <item x="248"/>
        <item x="131"/>
        <item x="140"/>
        <item x="602"/>
        <item x="200"/>
        <item x="58"/>
        <item x="571"/>
        <item x="178"/>
        <item x="543"/>
        <item x="54"/>
        <item x="471"/>
        <item x="35"/>
        <item x="80"/>
        <item x="403"/>
        <item x="554"/>
        <item x="516"/>
        <item x="134"/>
        <item x="377"/>
        <item x="210"/>
        <item x="282"/>
        <item x="138"/>
        <item x="14"/>
        <item x="155"/>
        <item x="114"/>
        <item x="339"/>
        <item x="130"/>
        <item x="171"/>
        <item x="321"/>
        <item x="233"/>
        <item x="455"/>
        <item x="15"/>
        <item x="6"/>
        <item x="106"/>
        <item x="416"/>
        <item x="559"/>
        <item x="63"/>
        <item x="320"/>
        <item x="41"/>
        <item x="579"/>
        <item x="100"/>
        <item x="332"/>
        <item x="517"/>
        <item x="329"/>
        <item x="480"/>
        <item x="263"/>
        <item x="276"/>
        <item x="2"/>
        <item x="158"/>
        <item x="436"/>
        <item x="56"/>
        <item x="215"/>
        <item x="274"/>
        <item x="102"/>
        <item x="59"/>
        <item x="180"/>
        <item x="466"/>
        <item x="5"/>
        <item x="486"/>
        <item x="594"/>
        <item x="226"/>
        <item x="582"/>
        <item x="310"/>
        <item x="341"/>
        <item x="345"/>
        <item x="563"/>
        <item x="20"/>
        <item x="514"/>
        <item x="187"/>
        <item x="423"/>
        <item x="427"/>
        <item x="285"/>
        <item x="16"/>
        <item x="222"/>
        <item x="497"/>
        <item x="567"/>
        <item x="36"/>
        <item x="242"/>
        <item x="333"/>
        <item x="366"/>
        <item x="258"/>
        <item x="469"/>
        <item x="24"/>
        <item x="246"/>
        <item x="551"/>
        <item x="349"/>
        <item x="371"/>
        <item x="499"/>
        <item x="463"/>
        <item x="297"/>
        <item x="293"/>
        <item x="405"/>
        <item x="43"/>
        <item x="380"/>
        <item x="163"/>
        <item x="526"/>
        <item x="601"/>
        <item x="174"/>
        <item x="60"/>
        <item x="149"/>
        <item x="468"/>
        <item x="350"/>
        <item x="238"/>
        <item x="459"/>
        <item x="104"/>
        <item x="31"/>
        <item x="220"/>
        <item x="456"/>
        <item x="318"/>
        <item x="42"/>
        <item x="491"/>
        <item x="575"/>
        <item x="146"/>
        <item x="470"/>
        <item x="11"/>
        <item x="268"/>
        <item x="532"/>
        <item x="29"/>
        <item x="425"/>
        <item x="512"/>
        <item x="287"/>
        <item x="244"/>
        <item x="519"/>
        <item x="609"/>
        <item t="default"/>
      </items>
    </pivotField>
    <pivotField showAll="0">
      <items count="459">
        <item x="137"/>
        <item x="162"/>
        <item x="179"/>
        <item x="306"/>
        <item x="201"/>
        <item x="17"/>
        <item x="391"/>
        <item x="325"/>
        <item x="83"/>
        <item x="88"/>
        <item x="154"/>
        <item x="27"/>
        <item x="317"/>
        <item x="323"/>
        <item x="390"/>
        <item x="433"/>
        <item x="190"/>
        <item x="173"/>
        <item x="384"/>
        <item x="118"/>
        <item x="107"/>
        <item x="104"/>
        <item x="7"/>
        <item x="409"/>
        <item x="1"/>
        <item x="454"/>
        <item x="381"/>
        <item x="211"/>
        <item x="383"/>
        <item x="213"/>
        <item x="335"/>
        <item x="86"/>
        <item x="262"/>
        <item x="277"/>
        <item x="264"/>
        <item x="75"/>
        <item x="51"/>
        <item x="89"/>
        <item x="139"/>
        <item x="114"/>
        <item x="329"/>
        <item x="224"/>
        <item x="407"/>
        <item x="24"/>
        <item x="101"/>
        <item x="159"/>
        <item x="91"/>
        <item x="171"/>
        <item x="275"/>
        <item x="302"/>
        <item x="193"/>
        <item x="33"/>
        <item x="74"/>
        <item x="174"/>
        <item x="37"/>
        <item x="43"/>
        <item x="106"/>
        <item x="217"/>
        <item x="189"/>
        <item x="9"/>
        <item x="212"/>
        <item x="22"/>
        <item x="199"/>
        <item x="19"/>
        <item x="328"/>
        <item x="421"/>
        <item x="440"/>
        <item x="237"/>
        <item x="387"/>
        <item x="178"/>
        <item x="147"/>
        <item x="304"/>
        <item x="110"/>
        <item x="161"/>
        <item x="255"/>
        <item x="103"/>
        <item x="116"/>
        <item x="204"/>
        <item x="129"/>
        <item x="165"/>
        <item x="25"/>
        <item x="152"/>
        <item x="48"/>
        <item x="283"/>
        <item x="238"/>
        <item x="305"/>
        <item x="438"/>
        <item x="52"/>
        <item x="357"/>
        <item x="314"/>
        <item x="418"/>
        <item x="235"/>
        <item x="402"/>
        <item x="394"/>
        <item x="339"/>
        <item x="102"/>
        <item x="341"/>
        <item x="429"/>
        <item x="84"/>
        <item x="81"/>
        <item x="225"/>
        <item x="375"/>
        <item x="158"/>
        <item x="32"/>
        <item x="285"/>
        <item x="142"/>
        <item x="71"/>
        <item x="117"/>
        <item x="453"/>
        <item x="416"/>
        <item x="113"/>
        <item x="374"/>
        <item x="365"/>
        <item x="12"/>
        <item x="96"/>
        <item x="167"/>
        <item x="155"/>
        <item x="253"/>
        <item x="143"/>
        <item x="385"/>
        <item x="60"/>
        <item x="228"/>
        <item x="320"/>
        <item x="420"/>
        <item x="300"/>
        <item x="208"/>
        <item x="349"/>
        <item x="181"/>
        <item x="210"/>
        <item x="69"/>
        <item x="449"/>
        <item x="141"/>
        <item x="13"/>
        <item x="388"/>
        <item x="293"/>
        <item x="180"/>
        <item x="263"/>
        <item x="261"/>
        <item x="425"/>
        <item x="65"/>
        <item x="197"/>
        <item x="98"/>
        <item x="436"/>
        <item x="252"/>
        <item x="260"/>
        <item x="111"/>
        <item x="183"/>
        <item x="192"/>
        <item x="378"/>
        <item x="396"/>
        <item x="207"/>
        <item x="282"/>
        <item x="231"/>
        <item x="112"/>
        <item x="166"/>
        <item x="405"/>
        <item x="346"/>
        <item x="273"/>
        <item x="288"/>
        <item x="100"/>
        <item x="140"/>
        <item x="209"/>
        <item x="353"/>
        <item x="146"/>
        <item x="82"/>
        <item x="186"/>
        <item x="296"/>
        <item x="311"/>
        <item x="254"/>
        <item x="276"/>
        <item x="249"/>
        <item x="38"/>
        <item x="318"/>
        <item x="10"/>
        <item x="331"/>
        <item x="324"/>
        <item x="194"/>
        <item x="26"/>
        <item x="399"/>
        <item x="380"/>
        <item x="23"/>
        <item x="450"/>
        <item x="439"/>
        <item x="92"/>
        <item x="406"/>
        <item x="77"/>
        <item x="8"/>
        <item x="80"/>
        <item x="268"/>
        <item x="248"/>
        <item x="44"/>
        <item x="216"/>
        <item x="258"/>
        <item x="372"/>
        <item x="145"/>
        <item x="351"/>
        <item x="185"/>
        <item x="148"/>
        <item x="284"/>
        <item x="133"/>
        <item x="3"/>
        <item x="400"/>
        <item x="67"/>
        <item x="309"/>
        <item x="291"/>
        <item x="221"/>
        <item x="227"/>
        <item x="345"/>
        <item x="431"/>
        <item x="315"/>
        <item x="188"/>
        <item x="301"/>
        <item x="76"/>
        <item x="266"/>
        <item x="205"/>
        <item x="344"/>
        <item x="336"/>
        <item x="417"/>
        <item x="369"/>
        <item x="334"/>
        <item x="56"/>
        <item x="46"/>
        <item x="456"/>
        <item x="455"/>
        <item x="187"/>
        <item x="279"/>
        <item x="236"/>
        <item x="299"/>
        <item x="274"/>
        <item x="21"/>
        <item x="151"/>
        <item x="370"/>
        <item x="87"/>
        <item x="85"/>
        <item x="398"/>
        <item x="322"/>
        <item x="333"/>
        <item x="446"/>
        <item x="366"/>
        <item x="168"/>
        <item x="243"/>
        <item x="359"/>
        <item x="247"/>
        <item x="319"/>
        <item x="408"/>
        <item x="123"/>
        <item x="136"/>
        <item x="451"/>
        <item x="4"/>
        <item x="356"/>
        <item x="232"/>
        <item x="295"/>
        <item x="64"/>
        <item x="272"/>
        <item x="206"/>
        <item x="175"/>
        <item x="267"/>
        <item x="382"/>
        <item x="326"/>
        <item x="362"/>
        <item x="303"/>
        <item x="256"/>
        <item x="172"/>
        <item x="119"/>
        <item x="393"/>
        <item x="131"/>
        <item x="203"/>
        <item x="401"/>
        <item x="426"/>
        <item x="68"/>
        <item x="332"/>
        <item x="153"/>
        <item x="50"/>
        <item x="445"/>
        <item x="330"/>
        <item x="198"/>
        <item x="442"/>
        <item x="242"/>
        <item x="29"/>
        <item x="94"/>
        <item x="340"/>
        <item x="49"/>
        <item x="229"/>
        <item x="360"/>
        <item x="354"/>
        <item x="443"/>
        <item x="219"/>
        <item x="376"/>
        <item x="413"/>
        <item x="245"/>
        <item x="410"/>
        <item x="397"/>
        <item x="226"/>
        <item x="415"/>
        <item x="124"/>
        <item x="355"/>
        <item x="115"/>
        <item x="241"/>
        <item x="364"/>
        <item x="45"/>
        <item x="31"/>
        <item x="294"/>
        <item x="177"/>
        <item x="422"/>
        <item x="120"/>
        <item x="176"/>
        <item x="363"/>
        <item x="271"/>
        <item x="289"/>
        <item x="308"/>
        <item x="321"/>
        <item x="265"/>
        <item x="423"/>
        <item x="39"/>
        <item x="240"/>
        <item x="79"/>
        <item x="368"/>
        <item x="367"/>
        <item x="379"/>
        <item x="427"/>
        <item x="184"/>
        <item x="61"/>
        <item x="47"/>
        <item x="36"/>
        <item x="63"/>
        <item x="412"/>
        <item x="73"/>
        <item x="234"/>
        <item x="312"/>
        <item x="338"/>
        <item x="127"/>
        <item x="0"/>
        <item x="352"/>
        <item x="135"/>
        <item x="214"/>
        <item x="70"/>
        <item x="150"/>
        <item x="434"/>
        <item x="448"/>
        <item x="157"/>
        <item x="444"/>
        <item x="246"/>
        <item x="122"/>
        <item x="327"/>
        <item x="58"/>
        <item x="55"/>
        <item x="200"/>
        <item x="62"/>
        <item x="57"/>
        <item x="447"/>
        <item x="428"/>
        <item x="126"/>
        <item x="373"/>
        <item x="163"/>
        <item x="371"/>
        <item x="34"/>
        <item x="437"/>
        <item x="244"/>
        <item x="313"/>
        <item x="223"/>
        <item x="348"/>
        <item x="125"/>
        <item x="298"/>
        <item x="347"/>
        <item x="16"/>
        <item x="105"/>
        <item x="128"/>
        <item x="121"/>
        <item x="270"/>
        <item x="41"/>
        <item x="430"/>
        <item x="404"/>
        <item x="269"/>
        <item x="239"/>
        <item x="18"/>
        <item x="361"/>
        <item x="66"/>
        <item x="35"/>
        <item x="377"/>
        <item x="59"/>
        <item x="6"/>
        <item x="230"/>
        <item x="343"/>
        <item x="54"/>
        <item x="250"/>
        <item x="286"/>
        <item x="72"/>
        <item x="452"/>
        <item x="132"/>
        <item x="97"/>
        <item x="11"/>
        <item x="14"/>
        <item x="218"/>
        <item x="281"/>
        <item x="109"/>
        <item x="310"/>
        <item x="389"/>
        <item x="307"/>
        <item x="138"/>
        <item x="90"/>
        <item x="435"/>
        <item x="290"/>
        <item x="42"/>
        <item x="130"/>
        <item x="222"/>
        <item x="395"/>
        <item x="191"/>
        <item x="259"/>
        <item x="169"/>
        <item x="20"/>
        <item x="182"/>
        <item x="2"/>
        <item x="280"/>
        <item x="160"/>
        <item x="403"/>
        <item x="30"/>
        <item x="233"/>
        <item x="78"/>
        <item x="93"/>
        <item x="392"/>
        <item x="156"/>
        <item x="297"/>
        <item x="28"/>
        <item x="108"/>
        <item x="40"/>
        <item x="441"/>
        <item x="432"/>
        <item x="195"/>
        <item x="411"/>
        <item x="386"/>
        <item x="99"/>
        <item x="170"/>
        <item x="424"/>
        <item x="144"/>
        <item x="419"/>
        <item x="358"/>
        <item x="196"/>
        <item x="15"/>
        <item x="53"/>
        <item x="257"/>
        <item x="316"/>
        <item x="134"/>
        <item x="292"/>
        <item x="414"/>
        <item x="350"/>
        <item x="95"/>
        <item x="287"/>
        <item x="278"/>
        <item x="220"/>
        <item x="149"/>
        <item x="215"/>
        <item x="337"/>
        <item x="251"/>
        <item x="164"/>
        <item x="342"/>
        <item x="202"/>
        <item x="5"/>
        <item x="457"/>
        <item t="default"/>
      </items>
    </pivotField>
    <pivotField showAll="0">
      <items count="35">
        <item x="16"/>
        <item x="31"/>
        <item x="6"/>
        <item x="9"/>
        <item x="25"/>
        <item x="11"/>
        <item x="32"/>
        <item x="0"/>
        <item x="1"/>
        <item x="8"/>
        <item x="12"/>
        <item x="13"/>
        <item x="21"/>
        <item x="27"/>
        <item x="24"/>
        <item x="29"/>
        <item x="18"/>
        <item x="17"/>
        <item x="4"/>
        <item x="2"/>
        <item x="26"/>
        <item x="3"/>
        <item x="14"/>
        <item x="7"/>
        <item x="15"/>
        <item x="23"/>
        <item x="30"/>
        <item x="22"/>
        <item x="10"/>
        <item x="20"/>
        <item x="28"/>
        <item x="19"/>
        <item x="5"/>
        <item x="33"/>
        <item t="default"/>
      </items>
    </pivotField>
    <pivotField showAll="0"/>
    <pivotField showAll="0"/>
    <pivotField showAll="0"/>
    <pivotField showAll="0"/>
    <pivotField showAll="0">
      <items count="6">
        <item x="1"/>
        <item x="2"/>
        <item x="3"/>
        <item x="0"/>
        <item x="4"/>
        <item t="default"/>
      </items>
    </pivotField>
    <pivotField showAll="0">
      <items count="14">
        <item x="5"/>
        <item x="11"/>
        <item x="10"/>
        <item x="2"/>
        <item x="6"/>
        <item x="9"/>
        <item x="7"/>
        <item x="1"/>
        <item x="8"/>
        <item x="4"/>
        <item x="0"/>
        <item x="3"/>
        <item x="12"/>
        <item t="default"/>
      </items>
    </pivotField>
    <pivotField showAll="0"/>
    <pivotField showAll="0"/>
    <pivotField showAll="0">
      <items count="7">
        <item x="2"/>
        <item x="3"/>
        <item x="1"/>
        <item x="4"/>
        <item x="0"/>
        <item x="5"/>
        <item t="default"/>
      </items>
    </pivotField>
    <pivotField showAll="0">
      <items count="17">
        <item x="13"/>
        <item x="4"/>
        <item x="8"/>
        <item x="0"/>
        <item x="10"/>
        <item x="6"/>
        <item x="14"/>
        <item x="2"/>
        <item x="1"/>
        <item x="3"/>
        <item x="12"/>
        <item x="5"/>
        <item x="7"/>
        <item x="9"/>
        <item x="11"/>
        <item h="1" x="1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6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t="grand">
      <x/>
    </i>
  </rowItems>
  <colItems count="1">
    <i/>
  </colItems>
  <dataFields count="1">
    <dataField name="Sum of GrossRevenu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6DA560-EDD7-4351-A56E-6300C046FC1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2" firstHeaderRow="1" firstDataRow="1" firstDataCol="1"/>
  <pivotFields count="35">
    <pivotField showAll="0"/>
    <pivotField showAll="0">
      <items count="459">
        <item x="137"/>
        <item x="162"/>
        <item x="179"/>
        <item x="306"/>
        <item x="201"/>
        <item x="17"/>
        <item x="391"/>
        <item x="325"/>
        <item x="83"/>
        <item x="88"/>
        <item x="154"/>
        <item x="27"/>
        <item x="317"/>
        <item x="323"/>
        <item x="390"/>
        <item x="433"/>
        <item x="190"/>
        <item x="173"/>
        <item x="384"/>
        <item x="118"/>
        <item x="107"/>
        <item x="104"/>
        <item x="7"/>
        <item x="409"/>
        <item x="1"/>
        <item x="454"/>
        <item x="381"/>
        <item x="211"/>
        <item x="383"/>
        <item x="213"/>
        <item x="335"/>
        <item x="86"/>
        <item x="262"/>
        <item x="277"/>
        <item x="264"/>
        <item x="75"/>
        <item x="51"/>
        <item x="89"/>
        <item x="139"/>
        <item x="114"/>
        <item x="329"/>
        <item x="224"/>
        <item x="407"/>
        <item x="24"/>
        <item x="101"/>
        <item x="159"/>
        <item x="91"/>
        <item x="171"/>
        <item x="275"/>
        <item x="302"/>
        <item x="193"/>
        <item x="33"/>
        <item x="74"/>
        <item x="174"/>
        <item x="37"/>
        <item x="43"/>
        <item x="106"/>
        <item x="217"/>
        <item x="189"/>
        <item x="9"/>
        <item x="212"/>
        <item x="22"/>
        <item x="199"/>
        <item x="19"/>
        <item x="328"/>
        <item x="421"/>
        <item x="440"/>
        <item x="237"/>
        <item x="387"/>
        <item x="178"/>
        <item x="147"/>
        <item x="304"/>
        <item x="110"/>
        <item x="161"/>
        <item x="255"/>
        <item x="103"/>
        <item x="116"/>
        <item x="204"/>
        <item x="129"/>
        <item x="165"/>
        <item x="25"/>
        <item x="152"/>
        <item x="48"/>
        <item x="283"/>
        <item x="238"/>
        <item x="305"/>
        <item x="438"/>
        <item x="52"/>
        <item x="357"/>
        <item x="314"/>
        <item x="418"/>
        <item x="235"/>
        <item x="402"/>
        <item x="394"/>
        <item x="339"/>
        <item x="102"/>
        <item x="341"/>
        <item x="429"/>
        <item x="84"/>
        <item x="81"/>
        <item x="225"/>
        <item x="375"/>
        <item x="158"/>
        <item x="32"/>
        <item x="285"/>
        <item x="142"/>
        <item x="71"/>
        <item x="117"/>
        <item x="453"/>
        <item x="416"/>
        <item x="113"/>
        <item x="374"/>
        <item x="365"/>
        <item x="12"/>
        <item x="96"/>
        <item x="167"/>
        <item x="155"/>
        <item x="253"/>
        <item x="143"/>
        <item x="385"/>
        <item x="60"/>
        <item x="228"/>
        <item x="320"/>
        <item x="420"/>
        <item x="300"/>
        <item x="208"/>
        <item x="349"/>
        <item x="181"/>
        <item x="210"/>
        <item x="69"/>
        <item x="449"/>
        <item x="141"/>
        <item x="13"/>
        <item x="388"/>
        <item x="293"/>
        <item x="180"/>
        <item x="263"/>
        <item x="261"/>
        <item x="425"/>
        <item x="65"/>
        <item x="197"/>
        <item x="98"/>
        <item x="436"/>
        <item x="252"/>
        <item x="260"/>
        <item x="111"/>
        <item x="183"/>
        <item x="192"/>
        <item x="378"/>
        <item x="396"/>
        <item x="207"/>
        <item x="282"/>
        <item x="231"/>
        <item x="112"/>
        <item x="166"/>
        <item x="405"/>
        <item x="346"/>
        <item x="273"/>
        <item x="288"/>
        <item x="100"/>
        <item x="140"/>
        <item x="209"/>
        <item x="353"/>
        <item x="146"/>
        <item x="82"/>
        <item x="186"/>
        <item x="296"/>
        <item x="311"/>
        <item x="254"/>
        <item x="276"/>
        <item x="249"/>
        <item x="38"/>
        <item x="318"/>
        <item x="10"/>
        <item x="331"/>
        <item x="324"/>
        <item x="194"/>
        <item x="26"/>
        <item x="399"/>
        <item x="380"/>
        <item x="23"/>
        <item x="450"/>
        <item x="439"/>
        <item x="92"/>
        <item x="406"/>
        <item x="77"/>
        <item x="8"/>
        <item x="80"/>
        <item x="268"/>
        <item x="248"/>
        <item x="44"/>
        <item x="216"/>
        <item x="258"/>
        <item x="372"/>
        <item x="145"/>
        <item x="351"/>
        <item x="185"/>
        <item x="148"/>
        <item x="284"/>
        <item x="133"/>
        <item x="3"/>
        <item x="400"/>
        <item x="67"/>
        <item x="309"/>
        <item x="291"/>
        <item x="221"/>
        <item x="227"/>
        <item x="345"/>
        <item x="431"/>
        <item x="315"/>
        <item x="188"/>
        <item x="301"/>
        <item x="76"/>
        <item x="266"/>
        <item x="205"/>
        <item x="344"/>
        <item x="336"/>
        <item x="417"/>
        <item x="369"/>
        <item x="334"/>
        <item x="56"/>
        <item x="46"/>
        <item x="456"/>
        <item x="455"/>
        <item x="187"/>
        <item x="279"/>
        <item x="236"/>
        <item x="299"/>
        <item x="274"/>
        <item x="21"/>
        <item x="151"/>
        <item x="370"/>
        <item x="87"/>
        <item x="85"/>
        <item x="398"/>
        <item x="322"/>
        <item x="333"/>
        <item x="446"/>
        <item x="366"/>
        <item x="168"/>
        <item x="243"/>
        <item x="359"/>
        <item x="247"/>
        <item x="319"/>
        <item x="408"/>
        <item x="123"/>
        <item x="136"/>
        <item x="451"/>
        <item x="4"/>
        <item x="356"/>
        <item x="232"/>
        <item x="295"/>
        <item x="64"/>
        <item x="272"/>
        <item x="206"/>
        <item x="175"/>
        <item x="267"/>
        <item x="382"/>
        <item x="326"/>
        <item x="362"/>
        <item x="303"/>
        <item x="256"/>
        <item x="172"/>
        <item x="119"/>
        <item x="393"/>
        <item x="131"/>
        <item x="203"/>
        <item x="401"/>
        <item x="426"/>
        <item x="68"/>
        <item x="332"/>
        <item x="153"/>
        <item x="50"/>
        <item x="445"/>
        <item x="330"/>
        <item x="198"/>
        <item x="442"/>
        <item x="242"/>
        <item x="29"/>
        <item x="94"/>
        <item x="340"/>
        <item x="49"/>
        <item x="229"/>
        <item x="360"/>
        <item x="354"/>
        <item x="443"/>
        <item x="219"/>
        <item x="376"/>
        <item x="413"/>
        <item x="245"/>
        <item x="410"/>
        <item x="397"/>
        <item x="226"/>
        <item x="415"/>
        <item x="124"/>
        <item x="355"/>
        <item x="115"/>
        <item x="241"/>
        <item x="364"/>
        <item x="45"/>
        <item x="31"/>
        <item x="294"/>
        <item x="177"/>
        <item x="422"/>
        <item x="120"/>
        <item x="176"/>
        <item x="363"/>
        <item x="271"/>
        <item x="289"/>
        <item x="308"/>
        <item x="321"/>
        <item x="265"/>
        <item x="423"/>
        <item x="39"/>
        <item x="240"/>
        <item x="79"/>
        <item x="368"/>
        <item x="367"/>
        <item x="379"/>
        <item x="427"/>
        <item x="184"/>
        <item x="61"/>
        <item x="47"/>
        <item x="36"/>
        <item x="63"/>
        <item x="412"/>
        <item x="73"/>
        <item x="234"/>
        <item x="312"/>
        <item x="338"/>
        <item x="127"/>
        <item x="0"/>
        <item x="352"/>
        <item x="135"/>
        <item x="214"/>
        <item x="70"/>
        <item x="150"/>
        <item x="434"/>
        <item x="448"/>
        <item x="157"/>
        <item x="444"/>
        <item x="246"/>
        <item x="122"/>
        <item x="327"/>
        <item x="58"/>
        <item x="55"/>
        <item x="200"/>
        <item x="62"/>
        <item x="57"/>
        <item x="447"/>
        <item x="428"/>
        <item x="126"/>
        <item x="373"/>
        <item x="163"/>
        <item x="371"/>
        <item x="34"/>
        <item x="437"/>
        <item x="244"/>
        <item x="313"/>
        <item x="223"/>
        <item x="348"/>
        <item x="125"/>
        <item x="298"/>
        <item x="347"/>
        <item x="16"/>
        <item x="105"/>
        <item x="128"/>
        <item x="121"/>
        <item x="270"/>
        <item x="41"/>
        <item x="430"/>
        <item x="404"/>
        <item x="269"/>
        <item x="239"/>
        <item x="18"/>
        <item x="361"/>
        <item x="66"/>
        <item x="35"/>
        <item x="377"/>
        <item x="59"/>
        <item x="6"/>
        <item x="230"/>
        <item x="343"/>
        <item x="54"/>
        <item x="250"/>
        <item x="286"/>
        <item x="72"/>
        <item x="452"/>
        <item x="132"/>
        <item x="97"/>
        <item x="11"/>
        <item x="14"/>
        <item x="218"/>
        <item x="281"/>
        <item x="109"/>
        <item x="310"/>
        <item x="389"/>
        <item x="307"/>
        <item x="138"/>
        <item x="90"/>
        <item x="435"/>
        <item x="290"/>
        <item x="42"/>
        <item x="130"/>
        <item x="222"/>
        <item x="395"/>
        <item x="191"/>
        <item x="259"/>
        <item x="169"/>
        <item x="20"/>
        <item x="182"/>
        <item x="2"/>
        <item x="280"/>
        <item x="160"/>
        <item x="403"/>
        <item x="30"/>
        <item x="233"/>
        <item x="78"/>
        <item x="93"/>
        <item x="392"/>
        <item x="156"/>
        <item x="297"/>
        <item x="28"/>
        <item x="108"/>
        <item x="40"/>
        <item x="441"/>
        <item x="432"/>
        <item x="195"/>
        <item x="411"/>
        <item x="386"/>
        <item x="99"/>
        <item x="170"/>
        <item x="424"/>
        <item x="144"/>
        <item x="419"/>
        <item x="358"/>
        <item x="196"/>
        <item x="15"/>
        <item x="53"/>
        <item x="257"/>
        <item x="316"/>
        <item x="134"/>
        <item x="292"/>
        <item x="414"/>
        <item x="350"/>
        <item x="95"/>
        <item x="287"/>
        <item x="278"/>
        <item x="220"/>
        <item x="149"/>
        <item x="215"/>
        <item x="337"/>
        <item x="251"/>
        <item x="164"/>
        <item x="342"/>
        <item x="202"/>
        <item x="5"/>
        <item x="457"/>
        <item t="default"/>
      </items>
    </pivotField>
    <pivotField showAll="0">
      <items count="35">
        <item x="16"/>
        <item x="31"/>
        <item x="6"/>
        <item x="9"/>
        <item x="25"/>
        <item x="11"/>
        <item x="32"/>
        <item x="0"/>
        <item x="1"/>
        <item x="8"/>
        <item x="12"/>
        <item x="13"/>
        <item x="21"/>
        <item x="27"/>
        <item x="24"/>
        <item x="29"/>
        <item x="18"/>
        <item x="17"/>
        <item x="4"/>
        <item x="2"/>
        <item x="26"/>
        <item x="3"/>
        <item x="14"/>
        <item x="7"/>
        <item x="15"/>
        <item x="23"/>
        <item x="30"/>
        <item x="22"/>
        <item x="10"/>
        <item x="20"/>
        <item x="28"/>
        <item x="19"/>
        <item x="5"/>
        <item x="33"/>
        <item t="default"/>
      </items>
    </pivotField>
    <pivotField showAll="0"/>
    <pivotField showAll="0"/>
    <pivotField showAll="0"/>
    <pivotField showAll="0"/>
    <pivotField showAll="0">
      <items count="6">
        <item x="1"/>
        <item x="2"/>
        <item x="3"/>
        <item x="0"/>
        <item x="4"/>
        <item t="default"/>
      </items>
    </pivotField>
    <pivotField showAll="0">
      <items count="14">
        <item x="5"/>
        <item x="11"/>
        <item x="10"/>
        <item x="2"/>
        <item x="6"/>
        <item x="9"/>
        <item x="7"/>
        <item x="1"/>
        <item x="8"/>
        <item x="4"/>
        <item x="0"/>
        <item x="3"/>
        <item x="12"/>
        <item t="default"/>
      </items>
    </pivotField>
    <pivotField showAll="0"/>
    <pivotField showAll="0"/>
    <pivotField showAll="0">
      <items count="7">
        <item x="2"/>
        <item x="3"/>
        <item x="1"/>
        <item x="4"/>
        <item x="0"/>
        <item x="5"/>
        <item t="default"/>
      </items>
    </pivotField>
    <pivotField showAll="0">
      <items count="17">
        <item x="13"/>
        <item x="4"/>
        <item x="8"/>
        <item x="0"/>
        <item x="10"/>
        <item x="6"/>
        <item x="14"/>
        <item x="2"/>
        <item x="1"/>
        <item x="3"/>
        <item x="12"/>
        <item x="5"/>
        <item x="7"/>
        <item x="9"/>
        <item x="11"/>
        <item h="1" x="15"/>
        <item t="default"/>
      </items>
    </pivotField>
    <pivotField showAll="0"/>
    <pivotField axis="axisRow" showAll="0" measureFilter="1" sortType="descending">
      <items count="609">
        <item x="27"/>
        <item x="214"/>
        <item x="300"/>
        <item x="228"/>
        <item x="406"/>
        <item x="209"/>
        <item x="126"/>
        <item x="186"/>
        <item x="501"/>
        <item x="545"/>
        <item x="163"/>
        <item x="173"/>
        <item x="2"/>
        <item x="547"/>
        <item x="365"/>
        <item x="240"/>
        <item x="64"/>
        <item x="311"/>
        <item x="324"/>
        <item x="299"/>
        <item x="199"/>
        <item x="205"/>
        <item x="303"/>
        <item x="79"/>
        <item x="530"/>
        <item x="335"/>
        <item x="43"/>
        <item x="223"/>
        <item x="533"/>
        <item x="61"/>
        <item x="488"/>
        <item x="259"/>
        <item x="290"/>
        <item x="86"/>
        <item x="319"/>
        <item x="468"/>
        <item x="114"/>
        <item x="342"/>
        <item x="317"/>
        <item x="56"/>
        <item x="265"/>
        <item x="103"/>
        <item x="150"/>
        <item x="378"/>
        <item x="368"/>
        <item x="247"/>
        <item x="453"/>
        <item x="22"/>
        <item x="197"/>
        <item x="369"/>
        <item x="146"/>
        <item x="176"/>
        <item x="397"/>
        <item x="552"/>
        <item x="244"/>
        <item x="312"/>
        <item x="475"/>
        <item x="5"/>
        <item x="201"/>
        <item x="408"/>
        <item x="165"/>
        <item x="414"/>
        <item x="147"/>
        <item x="354"/>
        <item x="410"/>
        <item x="174"/>
        <item x="175"/>
        <item x="225"/>
        <item x="525"/>
        <item x="110"/>
        <item x="208"/>
        <item x="489"/>
        <item x="484"/>
        <item x="549"/>
        <item x="479"/>
        <item x="251"/>
        <item x="316"/>
        <item x="487"/>
        <item x="548"/>
        <item x="358"/>
        <item x="469"/>
        <item x="458"/>
        <item x="466"/>
        <item x="90"/>
        <item x="288"/>
        <item x="133"/>
        <item x="585"/>
        <item x="348"/>
        <item x="480"/>
        <item x="39"/>
        <item x="258"/>
        <item x="586"/>
        <item x="7"/>
        <item x="527"/>
        <item x="304"/>
        <item x="447"/>
        <item x="494"/>
        <item x="74"/>
        <item x="76"/>
        <item x="463"/>
        <item x="401"/>
        <item x="486"/>
        <item x="96"/>
        <item x="536"/>
        <item x="85"/>
        <item x="516"/>
        <item x="451"/>
        <item x="138"/>
        <item x="405"/>
        <item x="518"/>
        <item x="281"/>
        <item x="412"/>
        <item x="556"/>
        <item x="524"/>
        <item x="185"/>
        <item x="498"/>
        <item x="329"/>
        <item x="310"/>
        <item x="482"/>
        <item x="544"/>
        <item x="34"/>
        <item x="332"/>
        <item x="270"/>
        <item x="422"/>
        <item x="157"/>
        <item x="341"/>
        <item x="478"/>
        <item x="243"/>
        <item x="167"/>
        <item x="77"/>
        <item x="155"/>
        <item x="135"/>
        <item x="382"/>
        <item x="386"/>
        <item x="264"/>
        <item x="15"/>
        <item x="172"/>
        <item x="272"/>
        <item x="75"/>
        <item x="252"/>
        <item x="53"/>
        <item x="492"/>
        <item x="577"/>
        <item x="164"/>
        <item x="19"/>
        <item x="550"/>
        <item x="308"/>
        <item x="122"/>
        <item x="49"/>
        <item x="452"/>
        <item x="271"/>
        <item x="238"/>
        <item x="456"/>
        <item x="350"/>
        <item x="432"/>
        <item x="87"/>
        <item x="418"/>
        <item x="395"/>
        <item x="156"/>
        <item x="426"/>
        <item x="579"/>
        <item x="314"/>
        <item x="219"/>
        <item x="263"/>
        <item x="91"/>
        <item x="566"/>
        <item x="425"/>
        <item x="10"/>
        <item x="360"/>
        <item x="534"/>
        <item x="129"/>
        <item x="23"/>
        <item x="57"/>
        <item x="541"/>
        <item x="575"/>
        <item x="97"/>
        <item x="162"/>
        <item x="600"/>
        <item x="212"/>
        <item x="398"/>
        <item x="334"/>
        <item x="291"/>
        <item x="574"/>
        <item x="515"/>
        <item x="29"/>
        <item x="481"/>
        <item x="506"/>
        <item x="218"/>
        <item x="70"/>
        <item x="182"/>
        <item x="16"/>
        <item x="569"/>
        <item x="180"/>
        <item x="496"/>
        <item x="190"/>
        <item x="470"/>
        <item x="108"/>
        <item x="189"/>
        <item x="571"/>
        <item x="472"/>
        <item x="63"/>
        <item x="431"/>
        <item x="262"/>
        <item x="517"/>
        <item x="158"/>
        <item x="196"/>
        <item x="132"/>
        <item x="297"/>
        <item x="435"/>
        <item x="105"/>
        <item x="169"/>
        <item x="543"/>
        <item x="416"/>
        <item x="450"/>
        <item x="582"/>
        <item x="333"/>
        <item x="315"/>
        <item x="253"/>
        <item x="233"/>
        <item x="323"/>
        <item x="590"/>
        <item x="433"/>
        <item x="588"/>
        <item x="573"/>
        <item x="217"/>
        <item x="411"/>
        <item x="513"/>
        <item x="465"/>
        <item x="13"/>
        <item x="389"/>
        <item x="490"/>
        <item x="462"/>
        <item x="95"/>
        <item x="222"/>
        <item x="130"/>
        <item x="603"/>
        <item x="367"/>
        <item x="520"/>
        <item x="371"/>
        <item x="148"/>
        <item x="438"/>
        <item x="568"/>
        <item x="286"/>
        <item x="595"/>
        <item x="400"/>
        <item x="437"/>
        <item x="283"/>
        <item x="168"/>
        <item x="606"/>
        <item x="306"/>
        <item x="384"/>
        <item x="444"/>
        <item x="184"/>
        <item x="134"/>
        <item x="356"/>
        <item x="321"/>
        <item x="532"/>
        <item x="476"/>
        <item x="448"/>
        <item x="510"/>
        <item x="153"/>
        <item x="394"/>
        <item x="207"/>
        <item x="88"/>
        <item x="602"/>
        <item x="11"/>
        <item x="71"/>
        <item x="26"/>
        <item x="245"/>
        <item x="413"/>
        <item x="521"/>
        <item x="430"/>
        <item x="99"/>
        <item x="14"/>
        <item x="407"/>
        <item x="563"/>
        <item x="136"/>
        <item x="203"/>
        <item x="0"/>
        <item x="318"/>
        <item x="285"/>
        <item x="54"/>
        <item x="125"/>
        <item x="32"/>
        <item x="202"/>
        <item x="392"/>
        <item x="261"/>
        <item x="249"/>
        <item x="257"/>
        <item x="511"/>
        <item x="191"/>
        <item x="273"/>
        <item x="457"/>
        <item x="101"/>
        <item x="123"/>
        <item x="55"/>
        <item x="505"/>
        <item x="497"/>
        <item x="3"/>
        <item x="346"/>
        <item x="293"/>
        <item x="376"/>
        <item x="409"/>
        <item x="227"/>
        <item x="305"/>
        <item x="287"/>
        <item x="594"/>
        <item x="464"/>
        <item x="477"/>
        <item x="313"/>
        <item x="391"/>
        <item x="540"/>
        <item x="599"/>
        <item x="377"/>
        <item x="80"/>
        <item x="28"/>
        <item x="250"/>
        <item x="351"/>
        <item x="226"/>
        <item x="170"/>
        <item x="41"/>
        <item x="512"/>
        <item x="471"/>
        <item x="278"/>
        <item x="211"/>
        <item x="364"/>
        <item x="504"/>
        <item x="72"/>
        <item x="343"/>
        <item x="188"/>
        <item x="193"/>
        <item x="289"/>
        <item x="159"/>
        <item x="24"/>
        <item x="78"/>
        <item x="404"/>
        <item x="60"/>
        <item x="592"/>
        <item x="537"/>
        <item x="127"/>
        <item x="393"/>
        <item x="256"/>
        <item x="21"/>
        <item x="583"/>
        <item x="523"/>
        <item x="292"/>
        <item x="428"/>
        <item x="580"/>
        <item x="558"/>
        <item x="483"/>
        <item x="106"/>
        <item x="25"/>
        <item x="137"/>
        <item x="562"/>
        <item x="328"/>
        <item x="353"/>
        <item x="605"/>
        <item x="266"/>
        <item x="187"/>
        <item x="554"/>
        <item x="116"/>
        <item x="179"/>
        <item x="269"/>
        <item x="461"/>
        <item x="84"/>
        <item x="67"/>
        <item x="578"/>
        <item x="331"/>
        <item x="373"/>
        <item x="500"/>
        <item x="89"/>
        <item x="551"/>
        <item x="140"/>
        <item x="215"/>
        <item x="327"/>
        <item x="502"/>
        <item x="302"/>
        <item x="268"/>
        <item x="403"/>
        <item x="4"/>
        <item x="526"/>
        <item x="107"/>
        <item x="388"/>
        <item x="514"/>
        <item x="567"/>
        <item x="593"/>
        <item x="424"/>
        <item x="443"/>
        <item x="572"/>
        <item x="455"/>
        <item x="508"/>
        <item x="93"/>
        <item x="598"/>
        <item x="499"/>
        <item x="387"/>
        <item x="144"/>
        <item x="309"/>
        <item x="46"/>
        <item x="166"/>
        <item x="589"/>
        <item x="440"/>
        <item x="474"/>
        <item x="81"/>
        <item x="275"/>
        <item x="128"/>
        <item x="553"/>
        <item x="50"/>
        <item x="460"/>
        <item x="561"/>
        <item x="362"/>
        <item x="104"/>
        <item x="374"/>
        <item x="94"/>
        <item x="229"/>
        <item x="491"/>
        <item x="221"/>
        <item x="576"/>
        <item x="279"/>
        <item x="65"/>
        <item x="1"/>
        <item x="415"/>
        <item x="73"/>
        <item x="546"/>
        <item x="12"/>
        <item x="421"/>
        <item x="559"/>
        <item x="33"/>
        <item x="44"/>
        <item x="557"/>
        <item x="473"/>
        <item x="109"/>
        <item x="445"/>
        <item x="280"/>
        <item x="254"/>
        <item x="385"/>
        <item x="357"/>
        <item x="509"/>
        <item x="277"/>
        <item x="216"/>
        <item x="118"/>
        <item x="241"/>
        <item x="379"/>
        <item x="131"/>
        <item x="42"/>
        <item x="121"/>
        <item x="396"/>
        <item x="220"/>
        <item x="420"/>
        <item x="232"/>
        <item x="338"/>
        <item x="6"/>
        <item x="31"/>
        <item x="538"/>
        <item x="143"/>
        <item x="92"/>
        <item x="18"/>
        <item x="69"/>
        <item x="295"/>
        <item x="528"/>
        <item x="298"/>
        <item x="363"/>
        <item x="45"/>
        <item x="436"/>
        <item x="307"/>
        <item x="213"/>
        <item x="260"/>
        <item x="38"/>
        <item x="100"/>
        <item x="339"/>
        <item x="177"/>
        <item x="485"/>
        <item x="349"/>
        <item x="152"/>
        <item x="581"/>
        <item x="115"/>
        <item x="59"/>
        <item x="570"/>
        <item x="120"/>
        <item x="181"/>
        <item x="522"/>
        <item x="192"/>
        <item x="584"/>
        <item x="284"/>
        <item x="171"/>
        <item x="239"/>
        <item x="539"/>
        <item x="503"/>
        <item x="117"/>
        <item x="345"/>
        <item x="8"/>
        <item x="419"/>
        <item x="604"/>
        <item x="98"/>
        <item x="236"/>
        <item x="326"/>
        <item x="320"/>
        <item x="591"/>
        <item x="423"/>
        <item x="301"/>
        <item x="402"/>
        <item x="429"/>
        <item x="231"/>
        <item x="9"/>
        <item x="224"/>
        <item x="542"/>
        <item x="529"/>
        <item x="340"/>
        <item x="587"/>
        <item x="390"/>
        <item x="417"/>
        <item x="564"/>
        <item x="83"/>
        <item x="141"/>
        <item x="330"/>
        <item x="237"/>
        <item x="434"/>
        <item x="359"/>
        <item x="519"/>
        <item x="204"/>
        <item x="255"/>
        <item x="35"/>
        <item x="507"/>
        <item x="372"/>
        <item x="380"/>
        <item x="493"/>
        <item x="467"/>
        <item x="336"/>
        <item x="139"/>
        <item x="206"/>
        <item x="242"/>
        <item x="441"/>
        <item x="58"/>
        <item x="337"/>
        <item x="597"/>
        <item x="267"/>
        <item x="195"/>
        <item x="82"/>
        <item x="66"/>
        <item x="30"/>
        <item x="383"/>
        <item x="48"/>
        <item x="183"/>
        <item x="375"/>
        <item x="52"/>
        <item x="601"/>
        <item x="178"/>
        <item x="145"/>
        <item x="51"/>
        <item x="442"/>
        <item x="399"/>
        <item x="449"/>
        <item x="198"/>
        <item x="154"/>
        <item x="248"/>
        <item x="459"/>
        <item x="454"/>
        <item x="37"/>
        <item x="62"/>
        <item x="294"/>
        <item x="124"/>
        <item x="282"/>
        <item x="47"/>
        <item x="370"/>
        <item x="439"/>
        <item x="565"/>
        <item x="142"/>
        <item x="17"/>
        <item x="596"/>
        <item x="20"/>
        <item x="355"/>
        <item x="111"/>
        <item x="151"/>
        <item x="347"/>
        <item x="230"/>
        <item x="276"/>
        <item x="246"/>
        <item x="555"/>
        <item x="235"/>
        <item x="446"/>
        <item x="495"/>
        <item x="352"/>
        <item x="112"/>
        <item x="113"/>
        <item x="119"/>
        <item x="200"/>
        <item x="102"/>
        <item x="210"/>
        <item x="366"/>
        <item x="160"/>
        <item x="68"/>
        <item x="161"/>
        <item x="36"/>
        <item x="149"/>
        <item x="535"/>
        <item x="361"/>
        <item x="194"/>
        <item x="427"/>
        <item x="234"/>
        <item x="531"/>
        <item x="274"/>
        <item x="322"/>
        <item x="381"/>
        <item x="296"/>
        <item x="325"/>
        <item x="344"/>
        <item x="40"/>
        <item x="560"/>
        <item x="60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11">
    <i>
      <x v="165"/>
    </i>
    <i>
      <x v="356"/>
    </i>
    <i>
      <x v="312"/>
    </i>
    <i>
      <x v="259"/>
    </i>
    <i>
      <x v="308"/>
    </i>
    <i>
      <x v="112"/>
    </i>
    <i>
      <x v="201"/>
    </i>
    <i>
      <x v="392"/>
    </i>
    <i>
      <x v="390"/>
    </i>
    <i>
      <x v="56"/>
    </i>
    <i t="grand">
      <x/>
    </i>
  </rowItems>
  <colItems count="1">
    <i/>
  </colItems>
  <dataFields count="1">
    <dataField name="Sum of GrossRevenue" fld="2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612AC7-7414-441F-B296-F4B888D9260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26" firstHeaderRow="1" firstDataRow="1" firstDataCol="1"/>
  <pivotFields count="35">
    <pivotField showAll="0"/>
    <pivotField showAll="0">
      <items count="459">
        <item x="137"/>
        <item x="162"/>
        <item x="179"/>
        <item x="306"/>
        <item x="201"/>
        <item x="17"/>
        <item x="391"/>
        <item x="325"/>
        <item x="83"/>
        <item x="88"/>
        <item x="154"/>
        <item x="27"/>
        <item x="317"/>
        <item x="323"/>
        <item x="390"/>
        <item x="433"/>
        <item x="190"/>
        <item x="173"/>
        <item x="384"/>
        <item x="118"/>
        <item x="107"/>
        <item x="104"/>
        <item x="7"/>
        <item x="409"/>
        <item x="1"/>
        <item x="454"/>
        <item x="381"/>
        <item x="211"/>
        <item x="383"/>
        <item x="213"/>
        <item x="335"/>
        <item x="86"/>
        <item x="262"/>
        <item x="277"/>
        <item x="264"/>
        <item x="75"/>
        <item x="51"/>
        <item x="89"/>
        <item x="139"/>
        <item x="114"/>
        <item x="329"/>
        <item x="224"/>
        <item x="407"/>
        <item x="24"/>
        <item x="101"/>
        <item x="159"/>
        <item x="91"/>
        <item x="171"/>
        <item x="275"/>
        <item x="302"/>
        <item x="193"/>
        <item x="33"/>
        <item x="74"/>
        <item x="174"/>
        <item x="37"/>
        <item x="43"/>
        <item x="106"/>
        <item x="217"/>
        <item x="189"/>
        <item x="9"/>
        <item x="212"/>
        <item x="22"/>
        <item x="199"/>
        <item x="19"/>
        <item x="328"/>
        <item x="421"/>
        <item x="440"/>
        <item x="237"/>
        <item x="387"/>
        <item x="178"/>
        <item x="147"/>
        <item x="304"/>
        <item x="110"/>
        <item x="161"/>
        <item x="255"/>
        <item x="103"/>
        <item x="116"/>
        <item x="204"/>
        <item x="129"/>
        <item x="165"/>
        <item x="25"/>
        <item x="152"/>
        <item x="48"/>
        <item x="283"/>
        <item x="238"/>
        <item x="305"/>
        <item x="438"/>
        <item x="52"/>
        <item x="357"/>
        <item x="314"/>
        <item x="418"/>
        <item x="235"/>
        <item x="402"/>
        <item x="394"/>
        <item x="339"/>
        <item x="102"/>
        <item x="341"/>
        <item x="429"/>
        <item x="84"/>
        <item x="81"/>
        <item x="225"/>
        <item x="375"/>
        <item x="158"/>
        <item x="32"/>
        <item x="285"/>
        <item x="142"/>
        <item x="71"/>
        <item x="117"/>
        <item x="453"/>
        <item x="416"/>
        <item x="113"/>
        <item x="374"/>
        <item x="365"/>
        <item x="12"/>
        <item x="96"/>
        <item x="167"/>
        <item x="155"/>
        <item x="253"/>
        <item x="143"/>
        <item x="385"/>
        <item x="60"/>
        <item x="228"/>
        <item x="320"/>
        <item x="420"/>
        <item x="300"/>
        <item x="208"/>
        <item x="349"/>
        <item x="181"/>
        <item x="210"/>
        <item x="69"/>
        <item x="449"/>
        <item x="141"/>
        <item x="13"/>
        <item x="388"/>
        <item x="293"/>
        <item x="180"/>
        <item x="263"/>
        <item x="261"/>
        <item x="425"/>
        <item x="65"/>
        <item x="197"/>
        <item x="98"/>
        <item x="436"/>
        <item x="252"/>
        <item x="260"/>
        <item x="111"/>
        <item x="183"/>
        <item x="192"/>
        <item x="378"/>
        <item x="396"/>
        <item x="207"/>
        <item x="282"/>
        <item x="231"/>
        <item x="112"/>
        <item x="166"/>
        <item x="405"/>
        <item x="346"/>
        <item x="273"/>
        <item x="288"/>
        <item x="100"/>
        <item x="140"/>
        <item x="209"/>
        <item x="353"/>
        <item x="146"/>
        <item x="82"/>
        <item x="186"/>
        <item x="296"/>
        <item x="311"/>
        <item x="254"/>
        <item x="276"/>
        <item x="249"/>
        <item x="38"/>
        <item x="318"/>
        <item x="10"/>
        <item x="331"/>
        <item x="324"/>
        <item x="194"/>
        <item x="26"/>
        <item x="399"/>
        <item x="380"/>
        <item x="23"/>
        <item x="450"/>
        <item x="439"/>
        <item x="92"/>
        <item x="406"/>
        <item x="77"/>
        <item x="8"/>
        <item x="80"/>
        <item x="268"/>
        <item x="248"/>
        <item x="44"/>
        <item x="216"/>
        <item x="258"/>
        <item x="372"/>
        <item x="145"/>
        <item x="351"/>
        <item x="185"/>
        <item x="148"/>
        <item x="284"/>
        <item x="133"/>
        <item x="3"/>
        <item x="400"/>
        <item x="67"/>
        <item x="309"/>
        <item x="291"/>
        <item x="221"/>
        <item x="227"/>
        <item x="345"/>
        <item x="431"/>
        <item x="315"/>
        <item x="188"/>
        <item x="301"/>
        <item x="76"/>
        <item x="266"/>
        <item x="205"/>
        <item x="344"/>
        <item x="336"/>
        <item x="417"/>
        <item x="369"/>
        <item x="334"/>
        <item x="56"/>
        <item x="46"/>
        <item x="456"/>
        <item x="455"/>
        <item x="187"/>
        <item x="279"/>
        <item x="236"/>
        <item x="299"/>
        <item x="274"/>
        <item x="21"/>
        <item x="151"/>
        <item x="370"/>
        <item x="87"/>
        <item x="85"/>
        <item x="398"/>
        <item x="322"/>
        <item x="333"/>
        <item x="446"/>
        <item x="366"/>
        <item x="168"/>
        <item x="243"/>
        <item x="359"/>
        <item x="247"/>
        <item x="319"/>
        <item x="408"/>
        <item x="123"/>
        <item x="136"/>
        <item x="451"/>
        <item x="4"/>
        <item x="356"/>
        <item x="232"/>
        <item x="295"/>
        <item x="64"/>
        <item x="272"/>
        <item x="206"/>
        <item x="175"/>
        <item x="267"/>
        <item x="382"/>
        <item x="326"/>
        <item x="362"/>
        <item x="303"/>
        <item x="256"/>
        <item x="172"/>
        <item x="119"/>
        <item x="393"/>
        <item x="131"/>
        <item x="203"/>
        <item x="401"/>
        <item x="426"/>
        <item x="68"/>
        <item x="332"/>
        <item x="153"/>
        <item x="50"/>
        <item x="445"/>
        <item x="330"/>
        <item x="198"/>
        <item x="442"/>
        <item x="242"/>
        <item x="29"/>
        <item x="94"/>
        <item x="340"/>
        <item x="49"/>
        <item x="229"/>
        <item x="360"/>
        <item x="354"/>
        <item x="443"/>
        <item x="219"/>
        <item x="376"/>
        <item x="413"/>
        <item x="245"/>
        <item x="410"/>
        <item x="397"/>
        <item x="226"/>
        <item x="415"/>
        <item x="124"/>
        <item x="355"/>
        <item x="115"/>
        <item x="241"/>
        <item x="364"/>
        <item x="45"/>
        <item x="31"/>
        <item x="294"/>
        <item x="177"/>
        <item x="422"/>
        <item x="120"/>
        <item x="176"/>
        <item x="363"/>
        <item x="271"/>
        <item x="289"/>
        <item x="308"/>
        <item x="321"/>
        <item x="265"/>
        <item x="423"/>
        <item x="39"/>
        <item x="240"/>
        <item x="79"/>
        <item x="368"/>
        <item x="367"/>
        <item x="379"/>
        <item x="427"/>
        <item x="184"/>
        <item x="61"/>
        <item x="47"/>
        <item x="36"/>
        <item x="63"/>
        <item x="412"/>
        <item x="73"/>
        <item x="234"/>
        <item x="312"/>
        <item x="338"/>
        <item x="127"/>
        <item x="0"/>
        <item x="352"/>
        <item x="135"/>
        <item x="214"/>
        <item x="70"/>
        <item x="150"/>
        <item x="434"/>
        <item x="448"/>
        <item x="157"/>
        <item x="444"/>
        <item x="246"/>
        <item x="122"/>
        <item x="327"/>
        <item x="58"/>
        <item x="55"/>
        <item x="200"/>
        <item x="62"/>
        <item x="57"/>
        <item x="447"/>
        <item x="428"/>
        <item x="126"/>
        <item x="373"/>
        <item x="163"/>
        <item x="371"/>
        <item x="34"/>
        <item x="437"/>
        <item x="244"/>
        <item x="313"/>
        <item x="223"/>
        <item x="348"/>
        <item x="125"/>
        <item x="298"/>
        <item x="347"/>
        <item x="16"/>
        <item x="105"/>
        <item x="128"/>
        <item x="121"/>
        <item x="270"/>
        <item x="41"/>
        <item x="430"/>
        <item x="404"/>
        <item x="269"/>
        <item x="239"/>
        <item x="18"/>
        <item x="361"/>
        <item x="66"/>
        <item x="35"/>
        <item x="377"/>
        <item x="59"/>
        <item x="6"/>
        <item x="230"/>
        <item x="343"/>
        <item x="54"/>
        <item x="250"/>
        <item x="286"/>
        <item x="72"/>
        <item x="452"/>
        <item x="132"/>
        <item x="97"/>
        <item x="11"/>
        <item x="14"/>
        <item x="218"/>
        <item x="281"/>
        <item x="109"/>
        <item x="310"/>
        <item x="389"/>
        <item x="307"/>
        <item x="138"/>
        <item x="90"/>
        <item x="435"/>
        <item x="290"/>
        <item x="42"/>
        <item x="130"/>
        <item x="222"/>
        <item x="395"/>
        <item x="191"/>
        <item x="259"/>
        <item x="169"/>
        <item x="20"/>
        <item x="182"/>
        <item x="2"/>
        <item x="280"/>
        <item x="160"/>
        <item x="403"/>
        <item x="30"/>
        <item x="233"/>
        <item x="78"/>
        <item x="93"/>
        <item x="392"/>
        <item x="156"/>
        <item x="297"/>
        <item x="28"/>
        <item x="108"/>
        <item x="40"/>
        <item x="441"/>
        <item x="432"/>
        <item x="195"/>
        <item x="411"/>
        <item x="386"/>
        <item x="99"/>
        <item x="170"/>
        <item x="424"/>
        <item x="144"/>
        <item x="419"/>
        <item x="358"/>
        <item x="196"/>
        <item x="15"/>
        <item x="53"/>
        <item x="257"/>
        <item x="316"/>
        <item x="134"/>
        <item x="292"/>
        <item x="414"/>
        <item x="350"/>
        <item x="95"/>
        <item x="287"/>
        <item x="278"/>
        <item x="220"/>
        <item x="149"/>
        <item x="215"/>
        <item x="337"/>
        <item x="251"/>
        <item x="164"/>
        <item x="342"/>
        <item x="202"/>
        <item x="5"/>
        <item x="457"/>
        <item t="default"/>
      </items>
    </pivotField>
    <pivotField showAll="0">
      <items count="35">
        <item x="16"/>
        <item x="31"/>
        <item x="6"/>
        <item x="9"/>
        <item x="25"/>
        <item x="11"/>
        <item x="32"/>
        <item x="0"/>
        <item x="1"/>
        <item x="8"/>
        <item x="12"/>
        <item x="13"/>
        <item x="21"/>
        <item x="27"/>
        <item x="24"/>
        <item x="29"/>
        <item x="18"/>
        <item x="17"/>
        <item x="4"/>
        <item x="2"/>
        <item x="26"/>
        <item x="3"/>
        <item x="14"/>
        <item x="7"/>
        <item x="15"/>
        <item x="23"/>
        <item x="30"/>
        <item x="22"/>
        <item x="10"/>
        <item x="20"/>
        <item x="28"/>
        <item x="19"/>
        <item x="5"/>
        <item x="33"/>
        <item t="default"/>
      </items>
    </pivotField>
    <pivotField showAll="0"/>
    <pivotField showAll="0"/>
    <pivotField showAll="0"/>
    <pivotField showAll="0"/>
    <pivotField axis="axisRow" showAll="0">
      <items count="6">
        <item x="1"/>
        <item x="2"/>
        <item x="3"/>
        <item x="0"/>
        <item x="4"/>
        <item t="default"/>
      </items>
    </pivotField>
    <pivotField showAll="0">
      <items count="14">
        <item x="5"/>
        <item x="11"/>
        <item x="10"/>
        <item x="2"/>
        <item x="6"/>
        <item x="9"/>
        <item x="7"/>
        <item x="1"/>
        <item x="8"/>
        <item x="4"/>
        <item x="0"/>
        <item x="3"/>
        <item x="12"/>
        <item t="default"/>
      </items>
    </pivotField>
    <pivotField showAll="0"/>
    <pivotField showAll="0"/>
    <pivotField axis="axisRow" showAll="0">
      <items count="7">
        <item x="2"/>
        <item x="3"/>
        <item x="1"/>
        <item x="4"/>
        <item x="0"/>
        <item x="5"/>
        <item t="default"/>
      </items>
    </pivotField>
    <pivotField showAll="0">
      <items count="17">
        <item x="13"/>
        <item x="4"/>
        <item x="8"/>
        <item x="0"/>
        <item x="10"/>
        <item x="6"/>
        <item x="14"/>
        <item x="2"/>
        <item x="1"/>
        <item x="3"/>
        <item x="12"/>
        <item x="5"/>
        <item x="7"/>
        <item x="9"/>
        <item x="11"/>
        <item h="1" x="1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7"/>
    <field x="11"/>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Gross Profit" fld="22"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043C88-9FC4-42B1-9367-18F9A98BDF2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14" firstHeaderRow="1" firstDataRow="1" firstDataCol="1"/>
  <pivotFields count="35">
    <pivotField showAll="0"/>
    <pivotField axis="axisRow" showAll="0">
      <items count="459">
        <item x="137"/>
        <item x="162"/>
        <item x="179"/>
        <item x="306"/>
        <item x="201"/>
        <item x="17"/>
        <item x="391"/>
        <item x="325"/>
        <item x="83"/>
        <item x="88"/>
        <item x="154"/>
        <item x="27"/>
        <item x="317"/>
        <item x="323"/>
        <item x="390"/>
        <item x="433"/>
        <item x="190"/>
        <item x="173"/>
        <item x="384"/>
        <item x="118"/>
        <item x="107"/>
        <item x="104"/>
        <item x="7"/>
        <item x="409"/>
        <item x="1"/>
        <item x="454"/>
        <item x="381"/>
        <item x="211"/>
        <item x="383"/>
        <item x="213"/>
        <item x="335"/>
        <item x="86"/>
        <item x="262"/>
        <item x="277"/>
        <item x="264"/>
        <item x="75"/>
        <item x="51"/>
        <item x="89"/>
        <item x="139"/>
        <item x="114"/>
        <item x="329"/>
        <item x="224"/>
        <item x="407"/>
        <item x="24"/>
        <item x="101"/>
        <item x="159"/>
        <item x="91"/>
        <item x="171"/>
        <item x="275"/>
        <item x="302"/>
        <item x="193"/>
        <item x="33"/>
        <item x="74"/>
        <item x="174"/>
        <item x="37"/>
        <item x="43"/>
        <item x="106"/>
        <item x="217"/>
        <item x="189"/>
        <item x="9"/>
        <item x="212"/>
        <item x="22"/>
        <item x="199"/>
        <item x="19"/>
        <item x="328"/>
        <item x="421"/>
        <item x="440"/>
        <item x="237"/>
        <item x="387"/>
        <item x="178"/>
        <item x="147"/>
        <item x="304"/>
        <item x="110"/>
        <item x="161"/>
        <item x="255"/>
        <item x="103"/>
        <item x="116"/>
        <item x="204"/>
        <item x="129"/>
        <item x="165"/>
        <item x="25"/>
        <item x="152"/>
        <item x="48"/>
        <item x="283"/>
        <item x="238"/>
        <item x="305"/>
        <item x="438"/>
        <item x="52"/>
        <item x="357"/>
        <item x="314"/>
        <item x="418"/>
        <item x="235"/>
        <item x="402"/>
        <item x="394"/>
        <item x="339"/>
        <item x="102"/>
        <item x="341"/>
        <item x="429"/>
        <item x="84"/>
        <item x="81"/>
        <item x="225"/>
        <item x="375"/>
        <item x="158"/>
        <item x="32"/>
        <item x="285"/>
        <item x="142"/>
        <item x="71"/>
        <item x="117"/>
        <item x="453"/>
        <item x="416"/>
        <item x="113"/>
        <item x="374"/>
        <item x="365"/>
        <item x="12"/>
        <item x="96"/>
        <item x="167"/>
        <item x="155"/>
        <item x="253"/>
        <item x="143"/>
        <item x="385"/>
        <item x="60"/>
        <item x="228"/>
        <item x="320"/>
        <item x="420"/>
        <item x="300"/>
        <item x="208"/>
        <item x="349"/>
        <item x="181"/>
        <item x="210"/>
        <item x="69"/>
        <item x="449"/>
        <item x="141"/>
        <item x="13"/>
        <item x="388"/>
        <item x="293"/>
        <item x="180"/>
        <item x="263"/>
        <item x="261"/>
        <item x="425"/>
        <item x="65"/>
        <item x="197"/>
        <item x="98"/>
        <item x="436"/>
        <item x="252"/>
        <item x="260"/>
        <item x="111"/>
        <item x="183"/>
        <item x="192"/>
        <item x="378"/>
        <item x="396"/>
        <item x="207"/>
        <item x="282"/>
        <item x="231"/>
        <item x="112"/>
        <item x="166"/>
        <item x="405"/>
        <item x="346"/>
        <item x="273"/>
        <item x="288"/>
        <item x="100"/>
        <item x="140"/>
        <item x="209"/>
        <item x="353"/>
        <item x="146"/>
        <item x="82"/>
        <item x="186"/>
        <item x="296"/>
        <item x="311"/>
        <item x="254"/>
        <item x="276"/>
        <item x="249"/>
        <item x="38"/>
        <item x="318"/>
        <item x="10"/>
        <item x="331"/>
        <item x="324"/>
        <item x="194"/>
        <item x="26"/>
        <item x="399"/>
        <item x="380"/>
        <item x="23"/>
        <item x="450"/>
        <item x="439"/>
        <item x="92"/>
        <item x="406"/>
        <item x="77"/>
        <item x="8"/>
        <item x="80"/>
        <item x="268"/>
        <item x="248"/>
        <item x="44"/>
        <item x="216"/>
        <item x="258"/>
        <item x="372"/>
        <item x="145"/>
        <item x="351"/>
        <item x="185"/>
        <item x="148"/>
        <item x="284"/>
        <item x="133"/>
        <item x="3"/>
        <item x="400"/>
        <item x="67"/>
        <item x="309"/>
        <item x="291"/>
        <item x="221"/>
        <item x="227"/>
        <item x="345"/>
        <item x="431"/>
        <item x="315"/>
        <item x="188"/>
        <item x="301"/>
        <item x="76"/>
        <item x="266"/>
        <item x="205"/>
        <item x="344"/>
        <item x="336"/>
        <item x="417"/>
        <item x="369"/>
        <item x="334"/>
        <item x="56"/>
        <item x="46"/>
        <item x="456"/>
        <item x="455"/>
        <item x="187"/>
        <item x="279"/>
        <item x="236"/>
        <item x="299"/>
        <item x="274"/>
        <item x="21"/>
        <item x="151"/>
        <item x="370"/>
        <item x="87"/>
        <item x="85"/>
        <item x="398"/>
        <item x="322"/>
        <item x="333"/>
        <item x="446"/>
        <item x="366"/>
        <item x="168"/>
        <item x="243"/>
        <item x="359"/>
        <item x="247"/>
        <item x="319"/>
        <item x="408"/>
        <item x="123"/>
        <item x="136"/>
        <item x="451"/>
        <item x="4"/>
        <item x="356"/>
        <item x="232"/>
        <item x="295"/>
        <item x="64"/>
        <item x="272"/>
        <item x="206"/>
        <item x="175"/>
        <item x="267"/>
        <item x="382"/>
        <item x="326"/>
        <item x="362"/>
        <item x="303"/>
        <item x="256"/>
        <item x="172"/>
        <item x="119"/>
        <item x="393"/>
        <item x="131"/>
        <item x="203"/>
        <item x="401"/>
        <item x="426"/>
        <item x="68"/>
        <item x="332"/>
        <item x="153"/>
        <item x="50"/>
        <item x="445"/>
        <item x="330"/>
        <item x="198"/>
        <item x="442"/>
        <item x="242"/>
        <item x="29"/>
        <item x="94"/>
        <item x="340"/>
        <item x="49"/>
        <item x="229"/>
        <item x="360"/>
        <item x="354"/>
        <item x="443"/>
        <item x="219"/>
        <item x="376"/>
        <item x="413"/>
        <item x="245"/>
        <item x="410"/>
        <item x="397"/>
        <item x="226"/>
        <item x="415"/>
        <item x="124"/>
        <item x="355"/>
        <item x="115"/>
        <item x="241"/>
        <item x="364"/>
        <item x="45"/>
        <item x="31"/>
        <item x="294"/>
        <item x="177"/>
        <item x="422"/>
        <item x="120"/>
        <item x="176"/>
        <item x="363"/>
        <item x="271"/>
        <item x="289"/>
        <item x="308"/>
        <item x="321"/>
        <item x="265"/>
        <item x="423"/>
        <item x="39"/>
        <item x="240"/>
        <item x="79"/>
        <item x="368"/>
        <item x="367"/>
        <item x="379"/>
        <item x="427"/>
        <item x="184"/>
        <item x="61"/>
        <item x="47"/>
        <item x="36"/>
        <item x="63"/>
        <item x="412"/>
        <item x="73"/>
        <item x="234"/>
        <item x="312"/>
        <item x="338"/>
        <item x="127"/>
        <item x="0"/>
        <item x="352"/>
        <item x="135"/>
        <item x="214"/>
        <item x="70"/>
        <item x="150"/>
        <item x="434"/>
        <item x="448"/>
        <item x="157"/>
        <item x="444"/>
        <item x="246"/>
        <item x="122"/>
        <item x="327"/>
        <item x="58"/>
        <item x="55"/>
        <item x="200"/>
        <item x="62"/>
        <item x="57"/>
        <item x="447"/>
        <item x="428"/>
        <item x="126"/>
        <item x="373"/>
        <item x="163"/>
        <item x="371"/>
        <item x="34"/>
        <item x="437"/>
        <item x="244"/>
        <item x="313"/>
        <item x="223"/>
        <item x="348"/>
        <item x="125"/>
        <item x="298"/>
        <item x="347"/>
        <item x="16"/>
        <item x="105"/>
        <item x="128"/>
        <item x="121"/>
        <item x="270"/>
        <item x="41"/>
        <item x="430"/>
        <item x="404"/>
        <item x="269"/>
        <item x="239"/>
        <item x="18"/>
        <item x="361"/>
        <item x="66"/>
        <item x="35"/>
        <item x="377"/>
        <item x="59"/>
        <item x="6"/>
        <item x="230"/>
        <item x="343"/>
        <item x="54"/>
        <item x="250"/>
        <item x="286"/>
        <item x="72"/>
        <item x="452"/>
        <item x="132"/>
        <item x="97"/>
        <item x="11"/>
        <item x="14"/>
        <item x="218"/>
        <item x="281"/>
        <item x="109"/>
        <item x="310"/>
        <item x="389"/>
        <item x="307"/>
        <item x="138"/>
        <item x="90"/>
        <item x="435"/>
        <item x="290"/>
        <item x="42"/>
        <item x="130"/>
        <item x="222"/>
        <item x="395"/>
        <item x="191"/>
        <item x="259"/>
        <item x="169"/>
        <item x="20"/>
        <item x="182"/>
        <item x="2"/>
        <item x="280"/>
        <item x="160"/>
        <item x="403"/>
        <item x="30"/>
        <item x="233"/>
        <item x="78"/>
        <item x="93"/>
        <item x="392"/>
        <item x="156"/>
        <item x="297"/>
        <item x="28"/>
        <item x="108"/>
        <item x="40"/>
        <item x="441"/>
        <item x="432"/>
        <item x="195"/>
        <item x="411"/>
        <item x="386"/>
        <item x="99"/>
        <item x="170"/>
        <item x="424"/>
        <item x="144"/>
        <item x="419"/>
        <item x="358"/>
        <item x="196"/>
        <item x="15"/>
        <item x="53"/>
        <item x="257"/>
        <item x="316"/>
        <item x="134"/>
        <item x="292"/>
        <item x="414"/>
        <item x="350"/>
        <item x="95"/>
        <item x="287"/>
        <item x="278"/>
        <item x="220"/>
        <item x="149"/>
        <item x="215"/>
        <item x="337"/>
        <item x="251"/>
        <item x="164"/>
        <item x="342"/>
        <item x="202"/>
        <item x="5"/>
        <item x="457"/>
        <item t="default"/>
      </items>
    </pivotField>
    <pivotField showAll="0">
      <items count="35">
        <item x="16"/>
        <item x="31"/>
        <item x="6"/>
        <item x="9"/>
        <item x="25"/>
        <item x="11"/>
        <item x="32"/>
        <item x="0"/>
        <item x="1"/>
        <item x="8"/>
        <item x="12"/>
        <item x="13"/>
        <item x="21"/>
        <item x="27"/>
        <item x="24"/>
        <item x="29"/>
        <item x="18"/>
        <item x="17"/>
        <item x="4"/>
        <item x="2"/>
        <item x="26"/>
        <item x="3"/>
        <item x="14"/>
        <item x="7"/>
        <item x="15"/>
        <item x="23"/>
        <item x="30"/>
        <item x="22"/>
        <item x="10"/>
        <item x="20"/>
        <item x="28"/>
        <item x="19"/>
        <item x="5"/>
        <item x="33"/>
        <item t="default"/>
      </items>
    </pivotField>
    <pivotField showAll="0"/>
    <pivotField showAll="0"/>
    <pivotField showAll="0"/>
    <pivotField showAll="0"/>
    <pivotField showAll="0">
      <items count="6">
        <item x="1"/>
        <item x="2"/>
        <item x="3"/>
        <item x="0"/>
        <item x="4"/>
        <item t="default"/>
      </items>
    </pivotField>
    <pivotField showAll="0">
      <items count="14">
        <item x="5"/>
        <item x="11"/>
        <item x="10"/>
        <item x="2"/>
        <item x="6"/>
        <item x="9"/>
        <item x="7"/>
        <item x="1"/>
        <item x="8"/>
        <item x="4"/>
        <item x="0"/>
        <item x="3"/>
        <item x="12"/>
        <item t="default"/>
      </items>
    </pivotField>
    <pivotField showAll="0"/>
    <pivotField showAll="0"/>
    <pivotField showAll="0">
      <items count="7">
        <item x="2"/>
        <item x="3"/>
        <item x="1"/>
        <item x="4"/>
        <item x="0"/>
        <item x="5"/>
        <item t="default"/>
      </items>
    </pivotField>
    <pivotField showAll="0">
      <items count="17">
        <item x="13"/>
        <item x="4"/>
        <item x="8"/>
        <item x="0"/>
        <item x="10"/>
        <item x="6"/>
        <item x="14"/>
        <item x="2"/>
        <item x="1"/>
        <item x="3"/>
        <item x="12"/>
        <item x="5"/>
        <item x="7"/>
        <item x="9"/>
        <item x="11"/>
        <item h="1" x="1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sd="0" x="1"/>
        <item sd="0" x="2"/>
        <item sd="0" x="3"/>
        <item h="1" sd="0" x="4"/>
        <item t="default"/>
      </items>
    </pivotField>
  </pivotFields>
  <rowFields count="3">
    <field x="32"/>
    <field x="1"/>
    <field x="34"/>
  </rowFields>
  <rowItems count="13">
    <i>
      <x v="1"/>
    </i>
    <i>
      <x v="2"/>
    </i>
    <i>
      <x v="3"/>
    </i>
    <i>
      <x v="4"/>
    </i>
    <i>
      <x v="5"/>
    </i>
    <i>
      <x v="6"/>
    </i>
    <i>
      <x v="7"/>
    </i>
    <i>
      <x v="8"/>
    </i>
    <i>
      <x v="9"/>
    </i>
    <i>
      <x v="10"/>
    </i>
    <i>
      <x v="11"/>
    </i>
    <i>
      <x v="12"/>
    </i>
    <i t="grand">
      <x/>
    </i>
  </rowItems>
  <colItems count="1">
    <i/>
  </colItems>
  <dataFields count="1">
    <dataField name="Sum of GrossRevenue" fld="20" baseField="0" baseItem="0"/>
  </dataFields>
  <chartFormats count="2">
    <chartFormat chart="0"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043F49-69EF-4440-A757-04011E8F1F9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0" firstHeaderRow="1" firstDataRow="2" firstDataCol="1"/>
  <pivotFields count="27">
    <pivotField showAll="0"/>
    <pivotField showAll="0"/>
    <pivotField showAll="0"/>
    <pivotField showAll="0"/>
    <pivotField showAll="0"/>
    <pivotField showAll="0"/>
    <pivotField showAll="0"/>
    <pivotField axis="axisCol" showAll="0">
      <items count="6">
        <item x="1"/>
        <item x="2"/>
        <item x="3"/>
        <item x="0"/>
        <item x="4"/>
        <item t="default"/>
      </items>
    </pivotField>
    <pivotField showAll="0"/>
    <pivotField showAll="0"/>
    <pivotField showAll="0"/>
    <pivotField showAll="0"/>
    <pivotField axis="axisRow" showAll="0">
      <items count="17">
        <item x="13"/>
        <item x="4"/>
        <item x="8"/>
        <item x="0"/>
        <item x="10"/>
        <item x="6"/>
        <item x="14"/>
        <item x="2"/>
        <item x="1"/>
        <item x="3"/>
        <item x="12"/>
        <item x="5"/>
        <item x="7"/>
        <item x="9"/>
        <item x="11"/>
        <item h="1" x="15"/>
        <item t="default"/>
      </items>
    </pivotField>
    <pivotField showAll="0"/>
    <pivotField showAll="0"/>
    <pivotField showAll="0"/>
    <pivotField showAll="0"/>
    <pivotField showAll="0">
      <items count="217">
        <item x="33"/>
        <item x="91"/>
        <item x="114"/>
        <item x="197"/>
        <item x="163"/>
        <item x="141"/>
        <item x="166"/>
        <item x="50"/>
        <item x="180"/>
        <item x="176"/>
        <item x="185"/>
        <item x="113"/>
        <item x="203"/>
        <item x="56"/>
        <item x="136"/>
        <item x="89"/>
        <item x="62"/>
        <item x="158"/>
        <item x="119"/>
        <item x="156"/>
        <item x="57"/>
        <item x="212"/>
        <item x="181"/>
        <item x="44"/>
        <item x="175"/>
        <item x="87"/>
        <item x="106"/>
        <item x="29"/>
        <item x="174"/>
        <item x="21"/>
        <item x="151"/>
        <item x="7"/>
        <item x="64"/>
        <item x="189"/>
        <item x="131"/>
        <item x="88"/>
        <item x="193"/>
        <item x="168"/>
        <item x="60"/>
        <item x="31"/>
        <item x="118"/>
        <item x="93"/>
        <item x="202"/>
        <item x="154"/>
        <item x="18"/>
        <item x="49"/>
        <item x="26"/>
        <item x="70"/>
        <item x="116"/>
        <item x="184"/>
        <item x="164"/>
        <item x="55"/>
        <item x="13"/>
        <item x="188"/>
        <item x="130"/>
        <item x="2"/>
        <item x="204"/>
        <item x="186"/>
        <item x="78"/>
        <item x="96"/>
        <item x="190"/>
        <item x="150"/>
        <item x="121"/>
        <item x="76"/>
        <item x="103"/>
        <item x="108"/>
        <item x="127"/>
        <item x="47"/>
        <item x="120"/>
        <item x="30"/>
        <item x="63"/>
        <item x="90"/>
        <item x="75"/>
        <item x="169"/>
        <item x="173"/>
        <item x="81"/>
        <item x="147"/>
        <item x="194"/>
        <item x="46"/>
        <item x="0"/>
        <item x="172"/>
        <item x="101"/>
        <item x="99"/>
        <item x="161"/>
        <item x="41"/>
        <item x="92"/>
        <item x="144"/>
        <item x="152"/>
        <item x="94"/>
        <item x="105"/>
        <item x="61"/>
        <item x="24"/>
        <item x="68"/>
        <item x="69"/>
        <item x="4"/>
        <item x="3"/>
        <item x="38"/>
        <item x="34"/>
        <item x="40"/>
        <item x="148"/>
        <item x="80"/>
        <item x="162"/>
        <item x="182"/>
        <item x="39"/>
        <item x="22"/>
        <item x="58"/>
        <item x="1"/>
        <item x="8"/>
        <item x="59"/>
        <item x="6"/>
        <item x="35"/>
        <item x="123"/>
        <item x="9"/>
        <item x="170"/>
        <item x="97"/>
        <item x="65"/>
        <item x="86"/>
        <item x="85"/>
        <item x="153"/>
        <item x="12"/>
        <item x="95"/>
        <item x="160"/>
        <item x="115"/>
        <item x="19"/>
        <item x="109"/>
        <item x="200"/>
        <item x="11"/>
        <item x="146"/>
        <item x="48"/>
        <item x="138"/>
        <item x="179"/>
        <item x="36"/>
        <item x="20"/>
        <item x="209"/>
        <item x="149"/>
        <item x="157"/>
        <item x="201"/>
        <item x="52"/>
        <item x="187"/>
        <item x="73"/>
        <item x="42"/>
        <item x="178"/>
        <item x="84"/>
        <item x="192"/>
        <item x="211"/>
        <item x="210"/>
        <item x="16"/>
        <item x="98"/>
        <item x="143"/>
        <item x="23"/>
        <item x="10"/>
        <item x="15"/>
        <item x="54"/>
        <item x="207"/>
        <item x="53"/>
        <item x="208"/>
        <item x="129"/>
        <item x="117"/>
        <item x="79"/>
        <item x="74"/>
        <item x="83"/>
        <item x="140"/>
        <item x="134"/>
        <item x="100"/>
        <item x="17"/>
        <item x="71"/>
        <item x="43"/>
        <item x="167"/>
        <item x="67"/>
        <item x="139"/>
        <item x="51"/>
        <item x="111"/>
        <item x="122"/>
        <item x="206"/>
        <item x="128"/>
        <item x="177"/>
        <item x="5"/>
        <item x="45"/>
        <item x="14"/>
        <item x="155"/>
        <item x="183"/>
        <item x="110"/>
        <item x="102"/>
        <item x="125"/>
        <item x="28"/>
        <item x="72"/>
        <item x="198"/>
        <item x="132"/>
        <item x="135"/>
        <item x="124"/>
        <item x="37"/>
        <item x="126"/>
        <item x="82"/>
        <item x="133"/>
        <item x="142"/>
        <item x="137"/>
        <item x="213"/>
        <item x="112"/>
        <item x="165"/>
        <item x="191"/>
        <item x="214"/>
        <item x="104"/>
        <item x="107"/>
        <item x="27"/>
        <item x="196"/>
        <item x="199"/>
        <item x="77"/>
        <item x="145"/>
        <item x="205"/>
        <item x="159"/>
        <item x="171"/>
        <item x="25"/>
        <item x="195"/>
        <item x="66"/>
        <item x="32"/>
        <item x="215"/>
        <item t="default"/>
      </items>
    </pivotField>
    <pivotField showAll="0"/>
    <pivotField showAll="0"/>
    <pivotField showAll="0"/>
    <pivotField showAll="0"/>
    <pivotField showAll="0"/>
    <pivotField showAll="0"/>
    <pivotField showAll="0"/>
    <pivotField showAll="0"/>
    <pivotField dataField="1" showAll="0">
      <items count="4">
        <item x="1"/>
        <item x="0"/>
        <item x="2"/>
        <item t="default"/>
      </items>
    </pivotField>
  </pivotFields>
  <rowFields count="1">
    <field x="12"/>
  </rowFields>
  <rowItems count="16">
    <i>
      <x/>
    </i>
    <i>
      <x v="1"/>
    </i>
    <i>
      <x v="2"/>
    </i>
    <i>
      <x v="3"/>
    </i>
    <i>
      <x v="4"/>
    </i>
    <i>
      <x v="5"/>
    </i>
    <i>
      <x v="6"/>
    </i>
    <i>
      <x v="7"/>
    </i>
    <i>
      <x v="8"/>
    </i>
    <i>
      <x v="9"/>
    </i>
    <i>
      <x v="10"/>
    </i>
    <i>
      <x v="11"/>
    </i>
    <i>
      <x v="12"/>
    </i>
    <i>
      <x v="13"/>
    </i>
    <i>
      <x v="14"/>
    </i>
    <i t="grand">
      <x/>
    </i>
  </rowItems>
  <colFields count="1">
    <field x="7"/>
  </colFields>
  <colItems count="5">
    <i>
      <x/>
    </i>
    <i>
      <x v="1"/>
    </i>
    <i>
      <x v="2"/>
    </i>
    <i>
      <x v="3"/>
    </i>
    <i t="grand">
      <x/>
    </i>
  </colItems>
  <dataFields count="1">
    <dataField name="Count of Disc&gt;20" fld="26" subtotal="count" showDataAs="percentOfTotal"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D4560B-7072-49F1-B5B4-0168EF66F79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25">
    <pivotField showAll="0"/>
    <pivotField showAll="0"/>
    <pivotField showAll="0"/>
    <pivotField showAll="0"/>
    <pivotField showAll="0"/>
    <pivotField showAll="0"/>
    <pivotField showAll="0"/>
    <pivotField axis="axisCol" showAll="0">
      <items count="6">
        <item x="1"/>
        <item x="2"/>
        <item x="3"/>
        <item x="0"/>
        <item x="4"/>
        <item t="default"/>
      </items>
    </pivotField>
    <pivotField showAll="0"/>
    <pivotField showAll="0"/>
    <pivotField showAll="0">
      <items count="8">
        <item x="2"/>
        <item x="0"/>
        <item x="5"/>
        <item x="3"/>
        <item x="4"/>
        <item x="1"/>
        <item x="6"/>
        <item t="default"/>
      </items>
    </pivotField>
    <pivotField axis="axisRow" showAll="0">
      <items count="7">
        <item x="2"/>
        <item x="3"/>
        <item x="1"/>
        <item x="4"/>
        <item x="0"/>
        <item h="1" x="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1"/>
  </rowFields>
  <rowItems count="6">
    <i>
      <x/>
    </i>
    <i>
      <x v="1"/>
    </i>
    <i>
      <x v="2"/>
    </i>
    <i>
      <x v="3"/>
    </i>
    <i>
      <x v="4"/>
    </i>
    <i t="grand">
      <x/>
    </i>
  </rowItems>
  <colFields count="1">
    <field x="7"/>
  </colFields>
  <colItems count="5">
    <i>
      <x/>
    </i>
    <i>
      <x v="1"/>
    </i>
    <i>
      <x v="2"/>
    </i>
    <i>
      <x v="3"/>
    </i>
    <i t="grand">
      <x/>
    </i>
  </colItems>
  <dataFields count="1">
    <dataField name="Sum of GrossRevenue" fld="20" baseField="0" baseItem="0"/>
  </dataFields>
  <formats count="2">
    <format dxfId="157">
      <pivotArea collapsedLevelsAreSubtotals="1" fieldPosition="0">
        <references count="2">
          <reference field="7" count="1" selected="0">
            <x v="1"/>
          </reference>
          <reference field="11" count="1">
            <x v="3"/>
          </reference>
        </references>
      </pivotArea>
    </format>
    <format dxfId="156">
      <pivotArea collapsedLevelsAreSubtotals="1" fieldPosition="0">
        <references count="2">
          <reference field="7" count="1" selected="0">
            <x v="3"/>
          </reference>
          <reference field="11"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BD0698-0CA2-4388-81DC-3D5FE9C1823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7" firstHeaderRow="1" firstDataRow="2" firstDataCol="1"/>
  <pivotFields count="35">
    <pivotField showAll="0"/>
    <pivotField showAll="0">
      <items count="459">
        <item x="137"/>
        <item x="162"/>
        <item x="179"/>
        <item x="306"/>
        <item x="201"/>
        <item x="17"/>
        <item x="391"/>
        <item x="325"/>
        <item x="83"/>
        <item x="88"/>
        <item x="154"/>
        <item x="27"/>
        <item x="317"/>
        <item x="323"/>
        <item x="390"/>
        <item x="433"/>
        <item x="190"/>
        <item x="173"/>
        <item x="384"/>
        <item x="118"/>
        <item x="107"/>
        <item x="104"/>
        <item x="7"/>
        <item x="409"/>
        <item x="1"/>
        <item x="454"/>
        <item x="381"/>
        <item x="211"/>
        <item x="383"/>
        <item x="213"/>
        <item x="335"/>
        <item x="86"/>
        <item x="262"/>
        <item x="277"/>
        <item x="264"/>
        <item x="75"/>
        <item x="51"/>
        <item x="89"/>
        <item x="139"/>
        <item x="114"/>
        <item x="329"/>
        <item x="224"/>
        <item x="407"/>
        <item x="24"/>
        <item x="101"/>
        <item x="159"/>
        <item x="91"/>
        <item x="171"/>
        <item x="275"/>
        <item x="302"/>
        <item x="193"/>
        <item x="33"/>
        <item x="74"/>
        <item x="174"/>
        <item x="37"/>
        <item x="43"/>
        <item x="106"/>
        <item x="217"/>
        <item x="189"/>
        <item x="9"/>
        <item x="212"/>
        <item x="22"/>
        <item x="199"/>
        <item x="19"/>
        <item x="328"/>
        <item x="421"/>
        <item x="440"/>
        <item x="237"/>
        <item x="387"/>
        <item x="178"/>
        <item x="147"/>
        <item x="304"/>
        <item x="110"/>
        <item x="161"/>
        <item x="255"/>
        <item x="103"/>
        <item x="116"/>
        <item x="204"/>
        <item x="129"/>
        <item x="165"/>
        <item x="25"/>
        <item x="152"/>
        <item x="48"/>
        <item x="283"/>
        <item x="238"/>
        <item x="305"/>
        <item x="438"/>
        <item x="52"/>
        <item x="357"/>
        <item x="314"/>
        <item x="418"/>
        <item x="235"/>
        <item x="402"/>
        <item x="394"/>
        <item x="339"/>
        <item x="102"/>
        <item x="341"/>
        <item x="429"/>
        <item x="84"/>
        <item x="81"/>
        <item x="225"/>
        <item x="375"/>
        <item x="158"/>
        <item x="32"/>
        <item x="285"/>
        <item x="142"/>
        <item x="71"/>
        <item x="117"/>
        <item x="453"/>
        <item x="416"/>
        <item x="113"/>
        <item x="374"/>
        <item x="365"/>
        <item x="12"/>
        <item x="96"/>
        <item x="167"/>
        <item x="155"/>
        <item x="253"/>
        <item x="143"/>
        <item x="385"/>
        <item x="60"/>
        <item x="228"/>
        <item x="320"/>
        <item x="420"/>
        <item x="300"/>
        <item x="208"/>
        <item x="349"/>
        <item x="181"/>
        <item x="210"/>
        <item x="69"/>
        <item x="449"/>
        <item x="141"/>
        <item x="13"/>
        <item x="388"/>
        <item x="293"/>
        <item x="180"/>
        <item x="263"/>
        <item x="261"/>
        <item x="425"/>
        <item x="65"/>
        <item x="197"/>
        <item x="98"/>
        <item x="436"/>
        <item x="252"/>
        <item x="260"/>
        <item x="111"/>
        <item x="183"/>
        <item x="192"/>
        <item x="378"/>
        <item x="396"/>
        <item x="207"/>
        <item x="282"/>
        <item x="231"/>
        <item x="112"/>
        <item x="166"/>
        <item x="405"/>
        <item x="346"/>
        <item x="273"/>
        <item x="288"/>
        <item x="100"/>
        <item x="140"/>
        <item x="209"/>
        <item x="353"/>
        <item x="146"/>
        <item x="82"/>
        <item x="186"/>
        <item x="296"/>
        <item x="311"/>
        <item x="254"/>
        <item x="276"/>
        <item x="249"/>
        <item x="38"/>
        <item x="318"/>
        <item x="10"/>
        <item x="331"/>
        <item x="324"/>
        <item x="194"/>
        <item x="26"/>
        <item x="399"/>
        <item x="380"/>
        <item x="23"/>
        <item x="450"/>
        <item x="439"/>
        <item x="92"/>
        <item x="406"/>
        <item x="77"/>
        <item x="8"/>
        <item x="80"/>
        <item x="268"/>
        <item x="248"/>
        <item x="44"/>
        <item x="216"/>
        <item x="258"/>
        <item x="372"/>
        <item x="145"/>
        <item x="351"/>
        <item x="185"/>
        <item x="148"/>
        <item x="284"/>
        <item x="133"/>
        <item x="3"/>
        <item x="400"/>
        <item x="67"/>
        <item x="309"/>
        <item x="291"/>
        <item x="221"/>
        <item x="227"/>
        <item x="345"/>
        <item x="431"/>
        <item x="315"/>
        <item x="188"/>
        <item x="301"/>
        <item x="76"/>
        <item x="266"/>
        <item x="205"/>
        <item x="344"/>
        <item x="336"/>
        <item x="417"/>
        <item x="369"/>
        <item x="334"/>
        <item x="56"/>
        <item x="46"/>
        <item x="456"/>
        <item x="455"/>
        <item x="187"/>
        <item x="279"/>
        <item x="236"/>
        <item x="299"/>
        <item x="274"/>
        <item x="21"/>
        <item x="151"/>
        <item x="370"/>
        <item x="87"/>
        <item x="85"/>
        <item x="398"/>
        <item x="322"/>
        <item x="333"/>
        <item x="446"/>
        <item x="366"/>
        <item x="168"/>
        <item x="243"/>
        <item x="359"/>
        <item x="247"/>
        <item x="319"/>
        <item x="408"/>
        <item x="123"/>
        <item x="136"/>
        <item x="451"/>
        <item x="4"/>
        <item x="356"/>
        <item x="232"/>
        <item x="295"/>
        <item x="64"/>
        <item x="272"/>
        <item x="206"/>
        <item x="175"/>
        <item x="267"/>
        <item x="382"/>
        <item x="326"/>
        <item x="362"/>
        <item x="303"/>
        <item x="256"/>
        <item x="172"/>
        <item x="119"/>
        <item x="393"/>
        <item x="131"/>
        <item x="203"/>
        <item x="401"/>
        <item x="426"/>
        <item x="68"/>
        <item x="332"/>
        <item x="153"/>
        <item x="50"/>
        <item x="445"/>
        <item x="330"/>
        <item x="198"/>
        <item x="442"/>
        <item x="242"/>
        <item x="29"/>
        <item x="94"/>
        <item x="340"/>
        <item x="49"/>
        <item x="229"/>
        <item x="360"/>
        <item x="354"/>
        <item x="443"/>
        <item x="219"/>
        <item x="376"/>
        <item x="413"/>
        <item x="245"/>
        <item x="410"/>
        <item x="397"/>
        <item x="226"/>
        <item x="415"/>
        <item x="124"/>
        <item x="355"/>
        <item x="115"/>
        <item x="241"/>
        <item x="364"/>
        <item x="45"/>
        <item x="31"/>
        <item x="294"/>
        <item x="177"/>
        <item x="422"/>
        <item x="120"/>
        <item x="176"/>
        <item x="363"/>
        <item x="271"/>
        <item x="289"/>
        <item x="308"/>
        <item x="321"/>
        <item x="265"/>
        <item x="423"/>
        <item x="39"/>
        <item x="240"/>
        <item x="79"/>
        <item x="368"/>
        <item x="367"/>
        <item x="379"/>
        <item x="427"/>
        <item x="184"/>
        <item x="61"/>
        <item x="47"/>
        <item x="36"/>
        <item x="63"/>
        <item x="412"/>
        <item x="73"/>
        <item x="234"/>
        <item x="312"/>
        <item x="338"/>
        <item x="127"/>
        <item x="0"/>
        <item x="352"/>
        <item x="135"/>
        <item x="214"/>
        <item x="70"/>
        <item x="150"/>
        <item x="434"/>
        <item x="448"/>
        <item x="157"/>
        <item x="444"/>
        <item x="246"/>
        <item x="122"/>
        <item x="327"/>
        <item x="58"/>
        <item x="55"/>
        <item x="200"/>
        <item x="62"/>
        <item x="57"/>
        <item x="447"/>
        <item x="428"/>
        <item x="126"/>
        <item x="373"/>
        <item x="163"/>
        <item x="371"/>
        <item x="34"/>
        <item x="437"/>
        <item x="244"/>
        <item x="313"/>
        <item x="223"/>
        <item x="348"/>
        <item x="125"/>
        <item x="298"/>
        <item x="347"/>
        <item x="16"/>
        <item x="105"/>
        <item x="128"/>
        <item x="121"/>
        <item x="270"/>
        <item x="41"/>
        <item x="430"/>
        <item x="404"/>
        <item x="269"/>
        <item x="239"/>
        <item x="18"/>
        <item x="361"/>
        <item x="66"/>
        <item x="35"/>
        <item x="377"/>
        <item x="59"/>
        <item x="6"/>
        <item x="230"/>
        <item x="343"/>
        <item x="54"/>
        <item x="250"/>
        <item x="286"/>
        <item x="72"/>
        <item x="452"/>
        <item x="132"/>
        <item x="97"/>
        <item x="11"/>
        <item x="14"/>
        <item x="218"/>
        <item x="281"/>
        <item x="109"/>
        <item x="310"/>
        <item x="389"/>
        <item x="307"/>
        <item x="138"/>
        <item x="90"/>
        <item x="435"/>
        <item x="290"/>
        <item x="42"/>
        <item x="130"/>
        <item x="222"/>
        <item x="395"/>
        <item x="191"/>
        <item x="259"/>
        <item x="169"/>
        <item x="20"/>
        <item x="182"/>
        <item x="2"/>
        <item x="280"/>
        <item x="160"/>
        <item x="403"/>
        <item x="30"/>
        <item x="233"/>
        <item x="78"/>
        <item x="93"/>
        <item x="392"/>
        <item x="156"/>
        <item x="297"/>
        <item x="28"/>
        <item x="108"/>
        <item x="40"/>
        <item x="441"/>
        <item x="432"/>
        <item x="195"/>
        <item x="411"/>
        <item x="386"/>
        <item x="99"/>
        <item x="170"/>
        <item x="424"/>
        <item x="144"/>
        <item x="419"/>
        <item x="358"/>
        <item x="196"/>
        <item x="15"/>
        <item x="53"/>
        <item x="257"/>
        <item x="316"/>
        <item x="134"/>
        <item x="292"/>
        <item x="414"/>
        <item x="350"/>
        <item x="95"/>
        <item x="287"/>
        <item x="278"/>
        <item x="220"/>
        <item x="149"/>
        <item x="215"/>
        <item x="337"/>
        <item x="251"/>
        <item x="164"/>
        <item x="342"/>
        <item x="202"/>
        <item x="5"/>
        <item x="457"/>
        <item t="default"/>
      </items>
    </pivotField>
    <pivotField showAll="0">
      <items count="35">
        <item x="16"/>
        <item x="31"/>
        <item x="6"/>
        <item x="9"/>
        <item x="25"/>
        <item x="11"/>
        <item x="32"/>
        <item x="0"/>
        <item x="1"/>
        <item x="8"/>
        <item x="12"/>
        <item x="13"/>
        <item x="21"/>
        <item x="27"/>
        <item x="24"/>
        <item x="29"/>
        <item x="18"/>
        <item x="17"/>
        <item x="4"/>
        <item x="2"/>
        <item x="26"/>
        <item x="3"/>
        <item x="14"/>
        <item x="7"/>
        <item x="15"/>
        <item x="23"/>
        <item x="30"/>
        <item x="22"/>
        <item x="10"/>
        <item x="20"/>
        <item x="28"/>
        <item x="19"/>
        <item x="5"/>
        <item x="33"/>
        <item t="default"/>
      </items>
    </pivotField>
    <pivotField showAll="0"/>
    <pivotField showAll="0"/>
    <pivotField showAll="0"/>
    <pivotField showAll="0"/>
    <pivotField showAll="0">
      <items count="6">
        <item x="1"/>
        <item x="2"/>
        <item x="3"/>
        <item x="0"/>
        <item x="4"/>
        <item t="default"/>
      </items>
    </pivotField>
    <pivotField axis="axisRow" showAll="0">
      <items count="14">
        <item sd="0" x="5"/>
        <item sd="0" x="11"/>
        <item sd="0" x="10"/>
        <item sd="0" x="2"/>
        <item sd="0" x="6"/>
        <item sd="0" x="9"/>
        <item sd="0" x="7"/>
        <item sd="0" x="1"/>
        <item sd="0" x="8"/>
        <item sd="0" x="4"/>
        <item sd="0" x="0"/>
        <item sd="0" x="3"/>
        <item x="12"/>
        <item t="default"/>
      </items>
    </pivotField>
    <pivotField showAll="0"/>
    <pivotField showAll="0"/>
    <pivotField showAll="0">
      <items count="7">
        <item x="2"/>
        <item x="3"/>
        <item x="1"/>
        <item x="4"/>
        <item x="0"/>
        <item x="5"/>
        <item t="default"/>
      </items>
    </pivotField>
    <pivotField showAll="0">
      <items count="17">
        <item x="13"/>
        <item x="4"/>
        <item x="8"/>
        <item x="0"/>
        <item x="10"/>
        <item x="6"/>
        <item x="14"/>
        <item x="2"/>
        <item x="1"/>
        <item x="3"/>
        <item x="12"/>
        <item x="5"/>
        <item x="7"/>
        <item x="9"/>
        <item x="11"/>
        <item h="1" x="15"/>
        <item t="default"/>
      </items>
    </pivotField>
    <pivotField axis="axisRow" showAll="0">
      <items count="9">
        <item x="2"/>
        <item x="4"/>
        <item x="5"/>
        <item x="0"/>
        <item x="1"/>
        <item x="3"/>
        <item x="6"/>
        <item x="7"/>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0"/>
        <item h="1" x="2"/>
        <item t="default"/>
      </items>
    </pivotField>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2">
    <field x="8"/>
    <field x="13"/>
  </rowFields>
  <rowItems count="13">
    <i>
      <x/>
    </i>
    <i>
      <x v="1"/>
    </i>
    <i>
      <x v="2"/>
    </i>
    <i>
      <x v="3"/>
    </i>
    <i>
      <x v="4"/>
    </i>
    <i>
      <x v="5"/>
    </i>
    <i>
      <x v="6"/>
    </i>
    <i>
      <x v="7"/>
    </i>
    <i>
      <x v="8"/>
    </i>
    <i>
      <x v="9"/>
    </i>
    <i>
      <x v="10"/>
    </i>
    <i>
      <x v="11"/>
    </i>
    <i t="grand">
      <x/>
    </i>
  </rowItems>
  <colFields count="1">
    <field x="25"/>
  </colFields>
  <colItems count="3">
    <i>
      <x/>
    </i>
    <i>
      <x v="1"/>
    </i>
    <i t="grand">
      <x/>
    </i>
  </colItems>
  <dataFields count="1">
    <dataField name="Count of Met Target" fld="2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8F4166-8EF3-4F6C-B4BC-8287273D3C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19" firstHeaderRow="1" firstDataRow="4" firstDataCol="1"/>
  <pivotFields count="28">
    <pivotField showAll="0"/>
    <pivotField axis="axisCol" numFmtId="14" showAll="0">
      <items count="458">
        <item x="137"/>
        <item x="162"/>
        <item x="179"/>
        <item x="306"/>
        <item x="201"/>
        <item x="17"/>
        <item x="391"/>
        <item x="325"/>
        <item x="83"/>
        <item x="88"/>
        <item x="154"/>
        <item x="27"/>
        <item x="317"/>
        <item x="323"/>
        <item x="390"/>
        <item x="433"/>
        <item x="190"/>
        <item x="173"/>
        <item x="384"/>
        <item x="118"/>
        <item x="107"/>
        <item x="104"/>
        <item x="7"/>
        <item x="409"/>
        <item x="1"/>
        <item x="454"/>
        <item x="381"/>
        <item x="211"/>
        <item x="383"/>
        <item x="213"/>
        <item x="335"/>
        <item x="86"/>
        <item x="262"/>
        <item x="277"/>
        <item x="264"/>
        <item x="75"/>
        <item x="51"/>
        <item x="89"/>
        <item x="139"/>
        <item x="114"/>
        <item x="329"/>
        <item x="224"/>
        <item x="407"/>
        <item x="24"/>
        <item x="101"/>
        <item x="159"/>
        <item x="91"/>
        <item x="171"/>
        <item x="275"/>
        <item x="302"/>
        <item x="193"/>
        <item x="33"/>
        <item x="74"/>
        <item x="174"/>
        <item x="37"/>
        <item x="43"/>
        <item x="106"/>
        <item x="217"/>
        <item x="189"/>
        <item x="9"/>
        <item x="212"/>
        <item x="22"/>
        <item x="199"/>
        <item x="19"/>
        <item x="328"/>
        <item x="421"/>
        <item x="440"/>
        <item x="237"/>
        <item x="387"/>
        <item x="178"/>
        <item x="147"/>
        <item x="304"/>
        <item x="110"/>
        <item x="161"/>
        <item x="255"/>
        <item x="103"/>
        <item x="116"/>
        <item x="204"/>
        <item x="129"/>
        <item x="165"/>
        <item x="25"/>
        <item x="152"/>
        <item x="48"/>
        <item x="283"/>
        <item x="238"/>
        <item x="305"/>
        <item x="438"/>
        <item x="52"/>
        <item x="357"/>
        <item x="314"/>
        <item x="418"/>
        <item x="235"/>
        <item x="402"/>
        <item x="394"/>
        <item x="339"/>
        <item x="102"/>
        <item x="341"/>
        <item x="429"/>
        <item x="84"/>
        <item x="81"/>
        <item x="225"/>
        <item x="375"/>
        <item x="158"/>
        <item x="32"/>
        <item x="285"/>
        <item x="142"/>
        <item x="71"/>
        <item x="117"/>
        <item x="453"/>
        <item x="416"/>
        <item x="113"/>
        <item x="374"/>
        <item x="365"/>
        <item x="12"/>
        <item x="96"/>
        <item x="167"/>
        <item x="155"/>
        <item x="253"/>
        <item x="143"/>
        <item x="385"/>
        <item x="60"/>
        <item x="228"/>
        <item x="320"/>
        <item x="420"/>
        <item x="300"/>
        <item x="208"/>
        <item x="349"/>
        <item x="181"/>
        <item x="210"/>
        <item x="69"/>
        <item x="449"/>
        <item x="141"/>
        <item x="13"/>
        <item x="388"/>
        <item x="293"/>
        <item x="180"/>
        <item x="263"/>
        <item x="261"/>
        <item x="425"/>
        <item x="65"/>
        <item x="197"/>
        <item x="98"/>
        <item x="436"/>
        <item x="252"/>
        <item x="260"/>
        <item x="111"/>
        <item x="183"/>
        <item x="192"/>
        <item x="378"/>
        <item x="396"/>
        <item x="207"/>
        <item x="282"/>
        <item x="231"/>
        <item x="112"/>
        <item x="166"/>
        <item x="405"/>
        <item x="346"/>
        <item x="273"/>
        <item x="288"/>
        <item x="100"/>
        <item x="140"/>
        <item x="209"/>
        <item x="353"/>
        <item x="146"/>
        <item x="82"/>
        <item x="186"/>
        <item x="296"/>
        <item x="311"/>
        <item x="254"/>
        <item x="276"/>
        <item x="249"/>
        <item x="38"/>
        <item x="318"/>
        <item x="10"/>
        <item x="331"/>
        <item x="324"/>
        <item x="194"/>
        <item x="26"/>
        <item x="399"/>
        <item x="380"/>
        <item x="23"/>
        <item x="450"/>
        <item x="439"/>
        <item x="92"/>
        <item x="406"/>
        <item x="77"/>
        <item x="8"/>
        <item x="80"/>
        <item x="268"/>
        <item x="248"/>
        <item x="44"/>
        <item x="216"/>
        <item x="258"/>
        <item x="372"/>
        <item x="145"/>
        <item x="351"/>
        <item x="185"/>
        <item x="148"/>
        <item x="284"/>
        <item x="133"/>
        <item x="3"/>
        <item x="400"/>
        <item x="67"/>
        <item x="309"/>
        <item x="291"/>
        <item x="221"/>
        <item x="227"/>
        <item x="345"/>
        <item x="431"/>
        <item x="315"/>
        <item x="188"/>
        <item x="301"/>
        <item x="76"/>
        <item x="266"/>
        <item x="205"/>
        <item x="344"/>
        <item x="336"/>
        <item x="417"/>
        <item x="369"/>
        <item x="334"/>
        <item x="56"/>
        <item x="46"/>
        <item x="456"/>
        <item x="455"/>
        <item x="187"/>
        <item x="279"/>
        <item x="236"/>
        <item x="299"/>
        <item x="274"/>
        <item x="21"/>
        <item x="151"/>
        <item x="370"/>
        <item x="87"/>
        <item x="85"/>
        <item x="398"/>
        <item x="322"/>
        <item x="333"/>
        <item x="446"/>
        <item x="366"/>
        <item x="168"/>
        <item x="243"/>
        <item x="359"/>
        <item x="247"/>
        <item x="319"/>
        <item x="408"/>
        <item x="123"/>
        <item x="136"/>
        <item x="451"/>
        <item x="4"/>
        <item x="356"/>
        <item x="232"/>
        <item x="295"/>
        <item x="64"/>
        <item x="272"/>
        <item x="206"/>
        <item x="175"/>
        <item x="267"/>
        <item x="382"/>
        <item x="326"/>
        <item x="362"/>
        <item x="303"/>
        <item x="256"/>
        <item x="172"/>
        <item x="119"/>
        <item x="393"/>
        <item x="131"/>
        <item x="203"/>
        <item x="401"/>
        <item x="426"/>
        <item x="68"/>
        <item x="332"/>
        <item x="153"/>
        <item x="50"/>
        <item x="445"/>
        <item x="330"/>
        <item x="198"/>
        <item x="442"/>
        <item x="242"/>
        <item x="29"/>
        <item x="94"/>
        <item x="340"/>
        <item x="49"/>
        <item x="229"/>
        <item x="360"/>
        <item x="354"/>
        <item x="443"/>
        <item x="219"/>
        <item x="376"/>
        <item x="413"/>
        <item x="245"/>
        <item x="410"/>
        <item x="397"/>
        <item x="226"/>
        <item x="415"/>
        <item x="124"/>
        <item x="355"/>
        <item x="115"/>
        <item x="241"/>
        <item x="364"/>
        <item x="45"/>
        <item x="31"/>
        <item x="294"/>
        <item x="177"/>
        <item x="422"/>
        <item x="120"/>
        <item x="176"/>
        <item x="363"/>
        <item x="271"/>
        <item x="289"/>
        <item x="308"/>
        <item x="321"/>
        <item x="265"/>
        <item x="423"/>
        <item x="39"/>
        <item x="240"/>
        <item x="79"/>
        <item x="368"/>
        <item x="367"/>
        <item x="379"/>
        <item x="427"/>
        <item x="184"/>
        <item x="61"/>
        <item x="47"/>
        <item x="36"/>
        <item x="63"/>
        <item x="412"/>
        <item x="73"/>
        <item x="234"/>
        <item x="312"/>
        <item x="338"/>
        <item x="127"/>
        <item x="0"/>
        <item x="352"/>
        <item x="135"/>
        <item x="214"/>
        <item x="70"/>
        <item x="150"/>
        <item x="434"/>
        <item x="448"/>
        <item x="157"/>
        <item x="444"/>
        <item x="246"/>
        <item x="122"/>
        <item x="327"/>
        <item x="58"/>
        <item x="55"/>
        <item x="200"/>
        <item x="62"/>
        <item x="57"/>
        <item x="447"/>
        <item x="428"/>
        <item x="126"/>
        <item x="373"/>
        <item x="163"/>
        <item x="371"/>
        <item x="34"/>
        <item x="437"/>
        <item x="244"/>
        <item x="313"/>
        <item x="223"/>
        <item x="348"/>
        <item x="125"/>
        <item x="298"/>
        <item x="347"/>
        <item x="16"/>
        <item x="105"/>
        <item x="128"/>
        <item x="121"/>
        <item x="270"/>
        <item x="41"/>
        <item x="430"/>
        <item x="404"/>
        <item x="269"/>
        <item x="239"/>
        <item x="18"/>
        <item x="361"/>
        <item x="66"/>
        <item x="35"/>
        <item x="377"/>
        <item x="59"/>
        <item x="6"/>
        <item x="230"/>
        <item x="343"/>
        <item x="54"/>
        <item x="250"/>
        <item x="286"/>
        <item x="72"/>
        <item x="452"/>
        <item x="132"/>
        <item x="97"/>
        <item x="11"/>
        <item x="14"/>
        <item x="218"/>
        <item x="281"/>
        <item x="109"/>
        <item x="310"/>
        <item x="389"/>
        <item x="307"/>
        <item x="138"/>
        <item x="90"/>
        <item x="435"/>
        <item x="290"/>
        <item x="42"/>
        <item x="130"/>
        <item x="222"/>
        <item x="395"/>
        <item x="191"/>
        <item x="259"/>
        <item x="169"/>
        <item x="20"/>
        <item x="182"/>
        <item x="2"/>
        <item x="280"/>
        <item x="160"/>
        <item x="403"/>
        <item x="30"/>
        <item x="233"/>
        <item x="78"/>
        <item x="93"/>
        <item x="392"/>
        <item x="156"/>
        <item x="297"/>
        <item x="28"/>
        <item x="108"/>
        <item x="40"/>
        <item x="441"/>
        <item x="432"/>
        <item x="195"/>
        <item x="411"/>
        <item x="386"/>
        <item x="99"/>
        <item x="170"/>
        <item x="424"/>
        <item x="144"/>
        <item x="419"/>
        <item x="358"/>
        <item x="196"/>
        <item x="15"/>
        <item x="53"/>
        <item x="257"/>
        <item x="316"/>
        <item x="134"/>
        <item x="292"/>
        <item x="414"/>
        <item x="350"/>
        <item x="95"/>
        <item x="287"/>
        <item x="278"/>
        <item x="220"/>
        <item x="149"/>
        <item x="215"/>
        <item x="337"/>
        <item x="251"/>
        <item x="164"/>
        <item x="342"/>
        <item x="202"/>
        <item x="5"/>
        <item t="default"/>
      </items>
    </pivotField>
    <pivotField showAll="0" sortType="ascending">
      <items count="34">
        <item x="16"/>
        <item x="31"/>
        <item x="6"/>
        <item x="9"/>
        <item x="25"/>
        <item x="11"/>
        <item x="32"/>
        <item x="0"/>
        <item x="1"/>
        <item x="8"/>
        <item x="12"/>
        <item x="13"/>
        <item x="21"/>
        <item x="27"/>
        <item x="24"/>
        <item x="29"/>
        <item x="18"/>
        <item x="17"/>
        <item x="4"/>
        <item x="2"/>
        <item x="26"/>
        <item x="3"/>
        <item x="14"/>
        <item x="7"/>
        <item x="15"/>
        <item x="23"/>
        <item x="30"/>
        <item x="22"/>
        <item x="10"/>
        <item x="20"/>
        <item x="28"/>
        <item x="19"/>
        <item x="5"/>
        <item t="default"/>
      </items>
    </pivotField>
    <pivotField showAll="0">
      <items count="12">
        <item x="1"/>
        <item x="3"/>
        <item x="9"/>
        <item x="6"/>
        <item x="4"/>
        <item x="2"/>
        <item x="7"/>
        <item x="10"/>
        <item x="5"/>
        <item x="8"/>
        <item x="0"/>
        <item t="default"/>
      </items>
    </pivotField>
    <pivotField numFmtId="14" showAll="0"/>
    <pivotField numFmtId="14" showAll="0"/>
    <pivotField numFmtId="1" showAll="0"/>
    <pivotField showAll="0"/>
    <pivotField axis="axisRow" showAll="0">
      <items count="13">
        <item x="5"/>
        <item x="11"/>
        <item x="10"/>
        <item x="2"/>
        <item x="6"/>
        <item x="9"/>
        <item x="7"/>
        <item x="1"/>
        <item x="8"/>
        <item x="4"/>
        <item x="0"/>
        <item x="3"/>
        <item t="default"/>
      </items>
    </pivotField>
    <pivotField showAll="0"/>
    <pivotField showAll="0"/>
    <pivotField showAll="0"/>
    <pivotField showAll="0"/>
    <pivotField showAll="0"/>
    <pivotField showAll="0"/>
    <pivotField numFmtId="2" showAll="0"/>
    <pivotField numFmtId="2" showAll="0"/>
    <pivotField numFmtId="10" showAll="0"/>
    <pivotField showAll="0"/>
    <pivotField numFmtId="1" showAll="0"/>
    <pivotField dataField="1" showAll="0"/>
    <pivotField showAll="0"/>
    <pivotField showAll="0"/>
    <pivotField numFmtId="10"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8"/>
  </rowFields>
  <rowItems count="13">
    <i>
      <x/>
    </i>
    <i>
      <x v="1"/>
    </i>
    <i>
      <x v="2"/>
    </i>
    <i>
      <x v="3"/>
    </i>
    <i>
      <x v="4"/>
    </i>
    <i>
      <x v="5"/>
    </i>
    <i>
      <x v="6"/>
    </i>
    <i>
      <x v="7"/>
    </i>
    <i>
      <x v="8"/>
    </i>
    <i>
      <x v="9"/>
    </i>
    <i>
      <x v="10"/>
    </i>
    <i>
      <x v="11"/>
    </i>
    <i t="grand">
      <x/>
    </i>
  </rowItems>
  <colFields count="3">
    <field x="27"/>
    <field x="25"/>
    <field x="1"/>
  </colFields>
  <colItems count="4">
    <i>
      <x v="1"/>
    </i>
    <i>
      <x v="2"/>
    </i>
    <i>
      <x v="3"/>
    </i>
    <i t="grand">
      <x/>
    </i>
  </colItems>
  <dataFields count="1">
    <dataField name="Sum of GrossRevenu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8CF1B2-ACD4-475C-B86A-52801BCBD39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46"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sd="0" x="2"/>
        <item sd="0" x="4"/>
        <item x="5"/>
        <item x="0"/>
        <item x="1"/>
        <item x="3"/>
        <item x="6"/>
        <item h="1" x="7"/>
        <item t="default"/>
      </items>
    </pivotField>
    <pivotField axis="axisRow" showAll="0" sortType="descending">
      <items count="609">
        <item x="27"/>
        <item x="214"/>
        <item x="300"/>
        <item x="228"/>
        <item x="406"/>
        <item x="209"/>
        <item x="126"/>
        <item x="186"/>
        <item x="501"/>
        <item x="545"/>
        <item x="163"/>
        <item x="173"/>
        <item x="2"/>
        <item x="547"/>
        <item x="365"/>
        <item x="240"/>
        <item x="64"/>
        <item x="311"/>
        <item x="324"/>
        <item x="299"/>
        <item x="199"/>
        <item x="205"/>
        <item x="303"/>
        <item x="79"/>
        <item x="530"/>
        <item x="335"/>
        <item x="43"/>
        <item x="223"/>
        <item x="533"/>
        <item x="61"/>
        <item x="488"/>
        <item x="259"/>
        <item x="290"/>
        <item x="86"/>
        <item x="319"/>
        <item x="468"/>
        <item x="114"/>
        <item x="342"/>
        <item x="317"/>
        <item x="56"/>
        <item x="265"/>
        <item x="103"/>
        <item x="150"/>
        <item x="378"/>
        <item x="368"/>
        <item x="247"/>
        <item x="453"/>
        <item x="22"/>
        <item x="197"/>
        <item x="369"/>
        <item x="146"/>
        <item x="176"/>
        <item x="397"/>
        <item x="552"/>
        <item x="244"/>
        <item x="312"/>
        <item x="475"/>
        <item x="5"/>
        <item x="201"/>
        <item x="408"/>
        <item x="165"/>
        <item x="414"/>
        <item x="147"/>
        <item x="354"/>
        <item x="410"/>
        <item x="174"/>
        <item x="175"/>
        <item x="225"/>
        <item x="525"/>
        <item x="110"/>
        <item x="208"/>
        <item x="489"/>
        <item x="484"/>
        <item x="549"/>
        <item x="479"/>
        <item x="251"/>
        <item x="316"/>
        <item x="487"/>
        <item x="548"/>
        <item x="358"/>
        <item x="469"/>
        <item x="458"/>
        <item x="466"/>
        <item x="90"/>
        <item x="288"/>
        <item x="133"/>
        <item x="585"/>
        <item x="348"/>
        <item x="480"/>
        <item x="39"/>
        <item x="258"/>
        <item x="586"/>
        <item x="7"/>
        <item x="527"/>
        <item x="304"/>
        <item x="447"/>
        <item x="494"/>
        <item x="74"/>
        <item x="76"/>
        <item x="463"/>
        <item x="401"/>
        <item x="486"/>
        <item x="96"/>
        <item x="536"/>
        <item x="85"/>
        <item x="516"/>
        <item x="451"/>
        <item x="138"/>
        <item x="405"/>
        <item x="518"/>
        <item x="281"/>
        <item x="412"/>
        <item x="556"/>
        <item x="524"/>
        <item x="185"/>
        <item x="498"/>
        <item x="329"/>
        <item x="310"/>
        <item x="482"/>
        <item x="544"/>
        <item x="34"/>
        <item x="332"/>
        <item x="270"/>
        <item x="422"/>
        <item x="157"/>
        <item x="341"/>
        <item x="478"/>
        <item x="243"/>
        <item x="167"/>
        <item x="77"/>
        <item x="155"/>
        <item x="135"/>
        <item x="382"/>
        <item x="386"/>
        <item x="264"/>
        <item x="15"/>
        <item x="172"/>
        <item x="272"/>
        <item x="75"/>
        <item x="252"/>
        <item x="53"/>
        <item x="492"/>
        <item x="577"/>
        <item x="164"/>
        <item x="19"/>
        <item x="550"/>
        <item x="308"/>
        <item x="122"/>
        <item x="49"/>
        <item x="452"/>
        <item x="271"/>
        <item x="238"/>
        <item x="456"/>
        <item x="350"/>
        <item x="432"/>
        <item x="87"/>
        <item x="418"/>
        <item x="395"/>
        <item x="156"/>
        <item x="426"/>
        <item x="579"/>
        <item x="314"/>
        <item x="219"/>
        <item x="263"/>
        <item x="91"/>
        <item x="566"/>
        <item x="425"/>
        <item x="10"/>
        <item x="360"/>
        <item x="534"/>
        <item x="129"/>
        <item x="23"/>
        <item x="57"/>
        <item x="541"/>
        <item x="575"/>
        <item x="97"/>
        <item x="162"/>
        <item x="600"/>
        <item x="212"/>
        <item x="398"/>
        <item x="334"/>
        <item x="291"/>
        <item x="574"/>
        <item x="515"/>
        <item x="29"/>
        <item x="481"/>
        <item x="506"/>
        <item x="218"/>
        <item x="70"/>
        <item x="182"/>
        <item x="16"/>
        <item x="569"/>
        <item x="180"/>
        <item x="496"/>
        <item x="190"/>
        <item x="470"/>
        <item x="108"/>
        <item x="189"/>
        <item x="571"/>
        <item x="472"/>
        <item x="63"/>
        <item x="431"/>
        <item x="262"/>
        <item x="517"/>
        <item x="158"/>
        <item x="196"/>
        <item x="132"/>
        <item x="297"/>
        <item x="435"/>
        <item x="105"/>
        <item x="169"/>
        <item x="543"/>
        <item x="416"/>
        <item x="450"/>
        <item x="582"/>
        <item x="333"/>
        <item x="315"/>
        <item x="253"/>
        <item x="233"/>
        <item x="323"/>
        <item x="590"/>
        <item x="433"/>
        <item x="588"/>
        <item x="573"/>
        <item x="217"/>
        <item x="411"/>
        <item x="513"/>
        <item x="465"/>
        <item x="13"/>
        <item x="389"/>
        <item x="490"/>
        <item x="462"/>
        <item x="95"/>
        <item x="222"/>
        <item x="130"/>
        <item x="603"/>
        <item x="367"/>
        <item x="520"/>
        <item x="371"/>
        <item x="148"/>
        <item x="438"/>
        <item x="568"/>
        <item x="286"/>
        <item x="595"/>
        <item x="400"/>
        <item x="437"/>
        <item x="283"/>
        <item x="168"/>
        <item x="606"/>
        <item x="306"/>
        <item x="384"/>
        <item x="444"/>
        <item x="184"/>
        <item x="134"/>
        <item x="356"/>
        <item x="321"/>
        <item x="532"/>
        <item x="476"/>
        <item x="448"/>
        <item x="510"/>
        <item x="153"/>
        <item x="394"/>
        <item x="207"/>
        <item x="88"/>
        <item x="602"/>
        <item x="11"/>
        <item x="71"/>
        <item x="26"/>
        <item x="245"/>
        <item x="413"/>
        <item x="521"/>
        <item x="430"/>
        <item x="99"/>
        <item x="14"/>
        <item x="407"/>
        <item x="563"/>
        <item x="136"/>
        <item x="203"/>
        <item x="0"/>
        <item x="318"/>
        <item x="285"/>
        <item x="54"/>
        <item x="125"/>
        <item x="32"/>
        <item x="202"/>
        <item x="392"/>
        <item x="261"/>
        <item x="249"/>
        <item x="257"/>
        <item x="511"/>
        <item x="191"/>
        <item x="273"/>
        <item x="457"/>
        <item x="101"/>
        <item x="123"/>
        <item x="55"/>
        <item x="505"/>
        <item x="497"/>
        <item x="3"/>
        <item x="346"/>
        <item x="293"/>
        <item x="376"/>
        <item x="409"/>
        <item x="227"/>
        <item x="305"/>
        <item x="287"/>
        <item x="594"/>
        <item x="464"/>
        <item x="477"/>
        <item x="313"/>
        <item x="391"/>
        <item x="540"/>
        <item x="599"/>
        <item x="377"/>
        <item x="80"/>
        <item x="28"/>
        <item x="250"/>
        <item x="351"/>
        <item x="226"/>
        <item x="170"/>
        <item x="41"/>
        <item x="512"/>
        <item x="471"/>
        <item x="278"/>
        <item x="211"/>
        <item x="364"/>
        <item x="504"/>
        <item x="72"/>
        <item x="343"/>
        <item x="188"/>
        <item x="193"/>
        <item x="289"/>
        <item x="159"/>
        <item x="24"/>
        <item x="78"/>
        <item x="404"/>
        <item x="60"/>
        <item x="592"/>
        <item x="537"/>
        <item x="127"/>
        <item x="393"/>
        <item x="256"/>
        <item x="21"/>
        <item x="583"/>
        <item x="523"/>
        <item x="292"/>
        <item x="428"/>
        <item x="580"/>
        <item x="558"/>
        <item x="483"/>
        <item x="106"/>
        <item x="25"/>
        <item x="137"/>
        <item x="562"/>
        <item x="328"/>
        <item x="353"/>
        <item x="605"/>
        <item x="266"/>
        <item x="187"/>
        <item x="554"/>
        <item x="116"/>
        <item x="179"/>
        <item x="269"/>
        <item x="461"/>
        <item x="84"/>
        <item x="67"/>
        <item x="578"/>
        <item x="331"/>
        <item x="373"/>
        <item x="500"/>
        <item x="89"/>
        <item x="551"/>
        <item x="140"/>
        <item x="215"/>
        <item x="327"/>
        <item x="502"/>
        <item x="302"/>
        <item x="268"/>
        <item x="403"/>
        <item x="4"/>
        <item x="526"/>
        <item x="107"/>
        <item x="388"/>
        <item x="514"/>
        <item x="567"/>
        <item x="593"/>
        <item x="424"/>
        <item x="443"/>
        <item x="572"/>
        <item x="455"/>
        <item x="508"/>
        <item x="93"/>
        <item x="598"/>
        <item x="499"/>
        <item x="387"/>
        <item x="144"/>
        <item x="309"/>
        <item x="46"/>
        <item x="166"/>
        <item x="589"/>
        <item x="440"/>
        <item x="474"/>
        <item x="81"/>
        <item x="275"/>
        <item x="128"/>
        <item x="553"/>
        <item x="50"/>
        <item x="460"/>
        <item x="561"/>
        <item x="362"/>
        <item x="104"/>
        <item x="374"/>
        <item x="94"/>
        <item x="229"/>
        <item x="491"/>
        <item x="221"/>
        <item x="576"/>
        <item x="279"/>
        <item x="65"/>
        <item x="1"/>
        <item x="415"/>
        <item x="73"/>
        <item x="546"/>
        <item x="12"/>
        <item x="421"/>
        <item x="559"/>
        <item x="33"/>
        <item x="44"/>
        <item x="557"/>
        <item x="473"/>
        <item x="109"/>
        <item x="445"/>
        <item x="280"/>
        <item x="254"/>
        <item x="385"/>
        <item x="357"/>
        <item x="509"/>
        <item x="277"/>
        <item x="216"/>
        <item x="118"/>
        <item x="241"/>
        <item x="379"/>
        <item x="131"/>
        <item x="42"/>
        <item x="121"/>
        <item x="396"/>
        <item x="220"/>
        <item x="420"/>
        <item x="232"/>
        <item x="338"/>
        <item x="6"/>
        <item x="31"/>
        <item x="538"/>
        <item x="143"/>
        <item x="92"/>
        <item x="18"/>
        <item x="69"/>
        <item x="295"/>
        <item x="528"/>
        <item x="298"/>
        <item x="363"/>
        <item x="45"/>
        <item x="436"/>
        <item x="307"/>
        <item x="213"/>
        <item x="260"/>
        <item x="38"/>
        <item x="100"/>
        <item x="339"/>
        <item x="177"/>
        <item x="485"/>
        <item x="349"/>
        <item x="152"/>
        <item x="581"/>
        <item x="115"/>
        <item x="59"/>
        <item x="570"/>
        <item x="120"/>
        <item x="181"/>
        <item x="522"/>
        <item x="192"/>
        <item x="584"/>
        <item x="284"/>
        <item x="171"/>
        <item x="239"/>
        <item x="539"/>
        <item x="503"/>
        <item x="117"/>
        <item x="345"/>
        <item x="8"/>
        <item x="419"/>
        <item x="604"/>
        <item x="98"/>
        <item x="236"/>
        <item x="326"/>
        <item x="320"/>
        <item x="591"/>
        <item x="423"/>
        <item x="301"/>
        <item x="402"/>
        <item x="429"/>
        <item x="231"/>
        <item x="9"/>
        <item x="224"/>
        <item x="542"/>
        <item x="529"/>
        <item x="340"/>
        <item x="587"/>
        <item x="390"/>
        <item x="417"/>
        <item x="564"/>
        <item x="83"/>
        <item x="141"/>
        <item x="330"/>
        <item x="237"/>
        <item x="434"/>
        <item x="359"/>
        <item x="519"/>
        <item x="204"/>
        <item x="255"/>
        <item x="35"/>
        <item x="507"/>
        <item x="372"/>
        <item x="380"/>
        <item x="493"/>
        <item x="467"/>
        <item x="336"/>
        <item x="139"/>
        <item x="206"/>
        <item x="242"/>
        <item x="441"/>
        <item x="58"/>
        <item x="337"/>
        <item x="597"/>
        <item x="267"/>
        <item x="195"/>
        <item x="82"/>
        <item x="66"/>
        <item x="30"/>
        <item x="383"/>
        <item x="48"/>
        <item x="183"/>
        <item x="375"/>
        <item x="52"/>
        <item x="601"/>
        <item x="178"/>
        <item x="145"/>
        <item x="51"/>
        <item x="442"/>
        <item x="399"/>
        <item x="449"/>
        <item x="198"/>
        <item x="154"/>
        <item x="248"/>
        <item x="459"/>
        <item x="454"/>
        <item x="37"/>
        <item x="62"/>
        <item x="294"/>
        <item x="124"/>
        <item x="282"/>
        <item x="47"/>
        <item x="370"/>
        <item x="439"/>
        <item x="565"/>
        <item x="142"/>
        <item x="17"/>
        <item x="596"/>
        <item x="20"/>
        <item x="355"/>
        <item x="111"/>
        <item x="151"/>
        <item x="347"/>
        <item x="230"/>
        <item x="276"/>
        <item x="246"/>
        <item x="555"/>
        <item x="235"/>
        <item x="446"/>
        <item x="495"/>
        <item x="352"/>
        <item x="112"/>
        <item x="113"/>
        <item x="119"/>
        <item x="200"/>
        <item x="102"/>
        <item x="210"/>
        <item x="366"/>
        <item x="160"/>
        <item x="68"/>
        <item x="161"/>
        <item x="36"/>
        <item x="149"/>
        <item x="535"/>
        <item x="361"/>
        <item x="194"/>
        <item x="427"/>
        <item x="234"/>
        <item x="531"/>
        <item x="274"/>
        <item x="322"/>
        <item x="381"/>
        <item x="296"/>
        <item x="325"/>
        <item x="344"/>
        <item x="40"/>
        <item x="560"/>
        <item x="60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s>
  <rowFields count="2">
    <field x="13"/>
    <field x="14"/>
  </rowFields>
  <rowItems count="443">
    <i>
      <x/>
    </i>
    <i>
      <x v="1"/>
    </i>
    <i>
      <x v="2"/>
    </i>
    <i r="1">
      <x v="201"/>
    </i>
    <i r="1">
      <x v="235"/>
    </i>
    <i r="1">
      <x v="217"/>
    </i>
    <i r="1">
      <x v="220"/>
    </i>
    <i r="1">
      <x v="179"/>
    </i>
    <i r="1">
      <x v="241"/>
    </i>
    <i r="1">
      <x v="230"/>
    </i>
    <i r="1">
      <x v="174"/>
    </i>
    <i r="1">
      <x v="173"/>
    </i>
    <i r="1">
      <x v="203"/>
    </i>
    <i r="1">
      <x v="195"/>
    </i>
    <i r="1">
      <x v="193"/>
    </i>
    <i r="1">
      <x v="191"/>
    </i>
    <i r="1">
      <x v="208"/>
    </i>
    <i r="1">
      <x v="240"/>
    </i>
    <i r="1">
      <x v="226"/>
    </i>
    <i r="1">
      <x v="231"/>
    </i>
    <i r="1">
      <x v="245"/>
    </i>
    <i r="1">
      <x v="223"/>
    </i>
    <i r="1">
      <x v="243"/>
    </i>
    <i r="1">
      <x v="194"/>
    </i>
    <i r="1">
      <x v="199"/>
    </i>
    <i r="1">
      <x v="233"/>
    </i>
    <i r="1">
      <x v="212"/>
    </i>
    <i r="1">
      <x v="248"/>
    </i>
    <i r="1">
      <x v="187"/>
    </i>
    <i r="1">
      <x v="219"/>
    </i>
    <i r="1">
      <x v="177"/>
    </i>
    <i r="1">
      <x v="211"/>
    </i>
    <i r="1">
      <x v="238"/>
    </i>
    <i r="1">
      <x v="244"/>
    </i>
    <i r="1">
      <x v="182"/>
    </i>
    <i r="1">
      <x v="215"/>
    </i>
    <i r="1">
      <x v="197"/>
    </i>
    <i r="1">
      <x v="236"/>
    </i>
    <i r="1">
      <x v="218"/>
    </i>
    <i r="1">
      <x v="250"/>
    </i>
    <i r="1">
      <x v="246"/>
    </i>
    <i r="1">
      <x v="237"/>
    </i>
    <i r="1">
      <x v="229"/>
    </i>
    <i r="1">
      <x v="221"/>
    </i>
    <i r="1">
      <x v="175"/>
    </i>
    <i r="1">
      <x v="207"/>
    </i>
    <i r="1">
      <x v="222"/>
    </i>
    <i r="1">
      <x v="227"/>
    </i>
    <i r="1">
      <x v="198"/>
    </i>
    <i r="1">
      <x v="176"/>
    </i>
    <i r="1">
      <x v="214"/>
    </i>
    <i r="1">
      <x v="183"/>
    </i>
    <i r="1">
      <x v="242"/>
    </i>
    <i r="1">
      <x v="202"/>
    </i>
    <i r="1">
      <x v="205"/>
    </i>
    <i r="1">
      <x v="186"/>
    </i>
    <i r="1">
      <x v="180"/>
    </i>
    <i r="1">
      <x v="185"/>
    </i>
    <i r="1">
      <x v="225"/>
    </i>
    <i r="1">
      <x v="247"/>
    </i>
    <i r="1">
      <x v="213"/>
    </i>
    <i r="1">
      <x v="209"/>
    </i>
    <i r="1">
      <x v="178"/>
    </i>
    <i r="1">
      <x v="210"/>
    </i>
    <i r="1">
      <x v="204"/>
    </i>
    <i r="1">
      <x v="206"/>
    </i>
    <i r="1">
      <x v="232"/>
    </i>
    <i r="1">
      <x v="224"/>
    </i>
    <i r="1">
      <x v="249"/>
    </i>
    <i r="1">
      <x v="234"/>
    </i>
    <i r="1">
      <x v="216"/>
    </i>
    <i r="1">
      <x v="239"/>
    </i>
    <i r="1">
      <x v="189"/>
    </i>
    <i r="1">
      <x v="196"/>
    </i>
    <i r="1">
      <x v="181"/>
    </i>
    <i r="1">
      <x v="188"/>
    </i>
    <i r="1">
      <x v="192"/>
    </i>
    <i r="1">
      <x v="200"/>
    </i>
    <i r="1">
      <x v="172"/>
    </i>
    <i r="1">
      <x v="184"/>
    </i>
    <i r="1">
      <x v="228"/>
    </i>
    <i r="1">
      <x v="190"/>
    </i>
    <i>
      <x v="3"/>
    </i>
    <i r="1">
      <x v="312"/>
    </i>
    <i r="1">
      <x v="259"/>
    </i>
    <i r="1">
      <x v="308"/>
    </i>
    <i r="1">
      <x v="292"/>
    </i>
    <i r="1">
      <x v="337"/>
    </i>
    <i r="1">
      <x v="296"/>
    </i>
    <i r="1">
      <x v="340"/>
    </i>
    <i r="1">
      <x v="338"/>
    </i>
    <i r="1">
      <x v="325"/>
    </i>
    <i r="1">
      <x v="285"/>
    </i>
    <i r="1">
      <x v="288"/>
    </i>
    <i r="1">
      <x v="307"/>
    </i>
    <i r="1">
      <x v="306"/>
    </i>
    <i r="1">
      <x v="326"/>
    </i>
    <i r="1">
      <x v="271"/>
    </i>
    <i r="1">
      <x v="321"/>
    </i>
    <i r="1">
      <x v="270"/>
    </i>
    <i r="1">
      <x v="328"/>
    </i>
    <i r="1">
      <x v="256"/>
    </i>
    <i r="1">
      <x v="289"/>
    </i>
    <i r="1">
      <x v="251"/>
    </i>
    <i r="1">
      <x v="264"/>
    </i>
    <i r="1">
      <x v="310"/>
    </i>
    <i r="1">
      <x v="275"/>
    </i>
    <i r="1">
      <x v="339"/>
    </i>
    <i r="1">
      <x v="287"/>
    </i>
    <i r="1">
      <x v="284"/>
    </i>
    <i r="1">
      <x v="297"/>
    </i>
    <i r="1">
      <x v="335"/>
    </i>
    <i r="1">
      <x v="280"/>
    </i>
    <i r="1">
      <x v="278"/>
    </i>
    <i r="1">
      <x v="301"/>
    </i>
    <i r="1">
      <x v="304"/>
    </i>
    <i r="1">
      <x v="318"/>
    </i>
    <i r="1">
      <x v="311"/>
    </i>
    <i r="1">
      <x v="303"/>
    </i>
    <i r="1">
      <x v="309"/>
    </i>
    <i r="1">
      <x v="272"/>
    </i>
    <i r="1">
      <x v="257"/>
    </i>
    <i r="1">
      <x v="274"/>
    </i>
    <i r="1">
      <x v="286"/>
    </i>
    <i r="1">
      <x v="258"/>
    </i>
    <i r="1">
      <x v="334"/>
    </i>
    <i r="1">
      <x v="331"/>
    </i>
    <i r="1">
      <x v="269"/>
    </i>
    <i r="1">
      <x v="305"/>
    </i>
    <i r="1">
      <x v="313"/>
    </i>
    <i r="1">
      <x v="268"/>
    </i>
    <i r="1">
      <x v="277"/>
    </i>
    <i r="1">
      <x v="262"/>
    </i>
    <i r="1">
      <x v="316"/>
    </i>
    <i r="1">
      <x v="299"/>
    </i>
    <i r="1">
      <x v="260"/>
    </i>
    <i r="1">
      <x v="279"/>
    </i>
    <i r="1">
      <x v="302"/>
    </i>
    <i r="1">
      <x v="261"/>
    </i>
    <i r="1">
      <x v="290"/>
    </i>
    <i r="1">
      <x v="255"/>
    </i>
    <i r="1">
      <x v="291"/>
    </i>
    <i r="1">
      <x v="300"/>
    </i>
    <i r="1">
      <x v="253"/>
    </i>
    <i r="1">
      <x v="294"/>
    </i>
    <i r="1">
      <x v="317"/>
    </i>
    <i r="1">
      <x v="330"/>
    </i>
    <i r="1">
      <x v="266"/>
    </i>
    <i r="1">
      <x v="332"/>
    </i>
    <i r="1">
      <x v="254"/>
    </i>
    <i r="1">
      <x v="314"/>
    </i>
    <i r="1">
      <x v="293"/>
    </i>
    <i r="1">
      <x v="276"/>
    </i>
    <i r="1">
      <x v="252"/>
    </i>
    <i r="1">
      <x v="322"/>
    </i>
    <i r="1">
      <x v="323"/>
    </i>
    <i r="1">
      <x v="329"/>
    </i>
    <i r="1">
      <x v="319"/>
    </i>
    <i r="1">
      <x v="282"/>
    </i>
    <i r="1">
      <x v="336"/>
    </i>
    <i r="1">
      <x v="324"/>
    </i>
    <i r="1">
      <x v="327"/>
    </i>
    <i r="1">
      <x v="263"/>
    </i>
    <i r="1">
      <x v="281"/>
    </i>
    <i r="1">
      <x v="315"/>
    </i>
    <i r="1">
      <x v="320"/>
    </i>
    <i r="1">
      <x v="295"/>
    </i>
    <i r="1">
      <x v="267"/>
    </i>
    <i r="1">
      <x v="265"/>
    </i>
    <i r="1">
      <x v="283"/>
    </i>
    <i r="1">
      <x v="333"/>
    </i>
    <i r="1">
      <x v="273"/>
    </i>
    <i r="1">
      <x v="298"/>
    </i>
    <i>
      <x v="4"/>
    </i>
    <i r="1">
      <x v="356"/>
    </i>
    <i r="1">
      <x v="392"/>
    </i>
    <i r="1">
      <x v="390"/>
    </i>
    <i r="1">
      <x v="347"/>
    </i>
    <i r="1">
      <x v="384"/>
    </i>
    <i r="1">
      <x v="344"/>
    </i>
    <i r="1">
      <x v="383"/>
    </i>
    <i r="1">
      <x v="375"/>
    </i>
    <i r="1">
      <x v="394"/>
    </i>
    <i r="1">
      <x v="374"/>
    </i>
    <i r="1">
      <x v="369"/>
    </i>
    <i r="1">
      <x v="353"/>
    </i>
    <i r="1">
      <x v="349"/>
    </i>
    <i r="1">
      <x v="385"/>
    </i>
    <i r="1">
      <x v="387"/>
    </i>
    <i r="1">
      <x v="414"/>
    </i>
    <i r="1">
      <x v="416"/>
    </i>
    <i r="1">
      <x v="389"/>
    </i>
    <i r="1">
      <x v="359"/>
    </i>
    <i r="1">
      <x v="355"/>
    </i>
    <i r="1">
      <x v="399"/>
    </i>
    <i r="1">
      <x v="343"/>
    </i>
    <i r="1">
      <x v="348"/>
    </i>
    <i r="1">
      <x v="382"/>
    </i>
    <i r="1">
      <x v="380"/>
    </i>
    <i r="1">
      <x v="357"/>
    </i>
    <i r="1">
      <x v="341"/>
    </i>
    <i r="1">
      <x v="363"/>
    </i>
    <i r="1">
      <x v="400"/>
    </i>
    <i r="1">
      <x v="420"/>
    </i>
    <i r="1">
      <x v="422"/>
    </i>
    <i r="1">
      <x v="366"/>
    </i>
    <i r="1">
      <x v="408"/>
    </i>
    <i r="1">
      <x v="401"/>
    </i>
    <i r="1">
      <x v="388"/>
    </i>
    <i r="1">
      <x v="367"/>
    </i>
    <i r="1">
      <x v="376"/>
    </i>
    <i r="1">
      <x v="377"/>
    </i>
    <i r="1">
      <x v="371"/>
    </i>
    <i r="1">
      <x v="402"/>
    </i>
    <i r="1">
      <x v="393"/>
    </i>
    <i r="1">
      <x v="370"/>
    </i>
    <i r="1">
      <x v="419"/>
    </i>
    <i r="1">
      <x v="345"/>
    </i>
    <i r="1">
      <x v="373"/>
    </i>
    <i r="1">
      <x v="409"/>
    </i>
    <i r="1">
      <x v="386"/>
    </i>
    <i r="1">
      <x v="413"/>
    </i>
    <i r="1">
      <x v="346"/>
    </i>
    <i r="1">
      <x v="396"/>
    </i>
    <i r="1">
      <x v="361"/>
    </i>
    <i r="1">
      <x v="378"/>
    </i>
    <i r="1">
      <x v="405"/>
    </i>
    <i r="1">
      <x v="352"/>
    </i>
    <i r="1">
      <x v="417"/>
    </i>
    <i r="1">
      <x v="404"/>
    </i>
    <i r="1">
      <x v="415"/>
    </i>
    <i r="1">
      <x v="407"/>
    </i>
    <i r="1">
      <x v="368"/>
    </i>
    <i r="1">
      <x v="354"/>
    </i>
    <i r="1">
      <x v="398"/>
    </i>
    <i r="1">
      <x v="381"/>
    </i>
    <i r="1">
      <x v="411"/>
    </i>
    <i r="1">
      <x v="403"/>
    </i>
    <i r="1">
      <x v="421"/>
    </i>
    <i r="1">
      <x v="350"/>
    </i>
    <i r="1">
      <x v="364"/>
    </i>
    <i r="1">
      <x v="391"/>
    </i>
    <i r="1">
      <x v="372"/>
    </i>
    <i r="1">
      <x v="362"/>
    </i>
    <i r="1">
      <x v="412"/>
    </i>
    <i r="1">
      <x v="418"/>
    </i>
    <i r="1">
      <x v="360"/>
    </i>
    <i r="1">
      <x v="358"/>
    </i>
    <i r="1">
      <x v="410"/>
    </i>
    <i r="1">
      <x v="406"/>
    </i>
    <i r="1">
      <x v="397"/>
    </i>
    <i r="1">
      <x v="365"/>
    </i>
    <i r="1">
      <x v="351"/>
    </i>
    <i r="1">
      <x v="395"/>
    </i>
    <i r="1">
      <x v="342"/>
    </i>
    <i r="1">
      <x v="423"/>
    </i>
    <i r="1">
      <x v="379"/>
    </i>
    <i>
      <x v="5"/>
    </i>
    <i r="1">
      <x v="507"/>
    </i>
    <i r="1">
      <x v="496"/>
    </i>
    <i r="1">
      <x v="458"/>
    </i>
    <i r="1">
      <x v="486"/>
    </i>
    <i r="1">
      <x v="470"/>
    </i>
    <i r="1">
      <x v="463"/>
    </i>
    <i r="1">
      <x v="500"/>
    </i>
    <i r="1">
      <x v="425"/>
    </i>
    <i r="1">
      <x v="479"/>
    </i>
    <i r="1">
      <x v="499"/>
    </i>
    <i r="1">
      <x v="473"/>
    </i>
    <i r="1">
      <x v="431"/>
    </i>
    <i r="1">
      <x v="460"/>
    </i>
    <i r="1">
      <x v="491"/>
    </i>
    <i r="1">
      <x v="441"/>
    </i>
    <i r="1">
      <x v="504"/>
    </i>
    <i r="1">
      <x v="445"/>
    </i>
    <i r="1">
      <x v="488"/>
    </i>
    <i r="1">
      <x v="501"/>
    </i>
    <i r="1">
      <x v="462"/>
    </i>
    <i r="1">
      <x v="433"/>
    </i>
    <i r="1">
      <x v="428"/>
    </i>
    <i r="1">
      <x v="436"/>
    </i>
    <i r="1">
      <x v="457"/>
    </i>
    <i r="1">
      <x v="505"/>
    </i>
    <i r="1">
      <x v="508"/>
    </i>
    <i r="1">
      <x v="485"/>
    </i>
    <i r="1">
      <x v="471"/>
    </i>
    <i r="1">
      <x v="477"/>
    </i>
    <i r="1">
      <x v="481"/>
    </i>
    <i r="1">
      <x v="448"/>
    </i>
    <i r="1">
      <x v="506"/>
    </i>
    <i r="1">
      <x v="434"/>
    </i>
    <i r="1">
      <x v="452"/>
    </i>
    <i r="1">
      <x v="490"/>
    </i>
    <i r="1">
      <x v="446"/>
    </i>
    <i r="1">
      <x v="497"/>
    </i>
    <i r="1">
      <x v="453"/>
    </i>
    <i r="1">
      <x v="437"/>
    </i>
    <i r="1">
      <x v="484"/>
    </i>
    <i r="1">
      <x v="459"/>
    </i>
    <i r="1">
      <x v="469"/>
    </i>
    <i r="1">
      <x v="494"/>
    </i>
    <i r="1">
      <x v="464"/>
    </i>
    <i r="1">
      <x v="447"/>
    </i>
    <i r="1">
      <x v="495"/>
    </i>
    <i r="1">
      <x v="483"/>
    </i>
    <i r="1">
      <x v="424"/>
    </i>
    <i r="1">
      <x v="449"/>
    </i>
    <i r="1">
      <x v="476"/>
    </i>
    <i r="1">
      <x v="474"/>
    </i>
    <i r="1">
      <x v="429"/>
    </i>
    <i r="1">
      <x v="493"/>
    </i>
    <i r="1">
      <x v="468"/>
    </i>
    <i r="1">
      <x v="465"/>
    </i>
    <i r="1">
      <x v="503"/>
    </i>
    <i r="1">
      <x v="487"/>
    </i>
    <i r="1">
      <x v="444"/>
    </i>
    <i r="1">
      <x v="438"/>
    </i>
    <i r="1">
      <x v="440"/>
    </i>
    <i r="1">
      <x v="482"/>
    </i>
    <i r="1">
      <x v="456"/>
    </i>
    <i r="1">
      <x v="432"/>
    </i>
    <i r="1">
      <x v="472"/>
    </i>
    <i r="1">
      <x v="439"/>
    </i>
    <i r="1">
      <x v="467"/>
    </i>
    <i r="1">
      <x v="492"/>
    </i>
    <i r="1">
      <x v="480"/>
    </i>
    <i r="1">
      <x v="478"/>
    </i>
    <i r="1">
      <x v="430"/>
    </i>
    <i r="1">
      <x v="435"/>
    </i>
    <i r="1">
      <x v="442"/>
    </i>
    <i r="1">
      <x v="461"/>
    </i>
    <i r="1">
      <x v="454"/>
    </i>
    <i r="1">
      <x v="475"/>
    </i>
    <i r="1">
      <x v="427"/>
    </i>
    <i r="1">
      <x v="498"/>
    </i>
    <i r="1">
      <x v="455"/>
    </i>
    <i r="1">
      <x v="426"/>
    </i>
    <i r="1">
      <x v="443"/>
    </i>
    <i r="1">
      <x v="451"/>
    </i>
    <i r="1">
      <x v="502"/>
    </i>
    <i r="1">
      <x v="466"/>
    </i>
    <i r="1">
      <x v="489"/>
    </i>
    <i r="1">
      <x v="450"/>
    </i>
    <i>
      <x v="6"/>
    </i>
    <i r="1">
      <x v="517"/>
    </i>
    <i r="1">
      <x v="567"/>
    </i>
    <i r="1">
      <x v="576"/>
    </i>
    <i r="1">
      <x v="525"/>
    </i>
    <i r="1">
      <x v="533"/>
    </i>
    <i r="1">
      <x v="598"/>
    </i>
    <i r="1">
      <x v="593"/>
    </i>
    <i r="1">
      <x v="523"/>
    </i>
    <i r="1">
      <x v="564"/>
    </i>
    <i r="1">
      <x v="562"/>
    </i>
    <i r="1">
      <x v="578"/>
    </i>
    <i r="1">
      <x v="550"/>
    </i>
    <i r="1">
      <x v="515"/>
    </i>
    <i r="1">
      <x v="544"/>
    </i>
    <i r="1">
      <x v="600"/>
    </i>
    <i r="1">
      <x v="579"/>
    </i>
    <i r="1">
      <x v="529"/>
    </i>
    <i r="1">
      <x v="513"/>
    </i>
    <i r="1">
      <x v="574"/>
    </i>
    <i r="1">
      <x v="530"/>
    </i>
    <i r="1">
      <x v="560"/>
    </i>
    <i r="1">
      <x v="596"/>
    </i>
    <i r="1">
      <x v="519"/>
    </i>
    <i r="1">
      <x v="599"/>
    </i>
    <i r="1">
      <x v="587"/>
    </i>
    <i r="1">
      <x v="521"/>
    </i>
    <i r="1">
      <x v="548"/>
    </i>
    <i r="1">
      <x v="606"/>
    </i>
    <i r="1">
      <x v="601"/>
    </i>
    <i r="1">
      <x v="549"/>
    </i>
    <i r="1">
      <x v="595"/>
    </i>
    <i r="1">
      <x v="558"/>
    </i>
    <i r="1">
      <x v="522"/>
    </i>
    <i r="1">
      <x v="534"/>
    </i>
    <i r="1">
      <x v="510"/>
    </i>
    <i r="1">
      <x v="563"/>
    </i>
    <i r="1">
      <x v="554"/>
    </i>
    <i r="1">
      <x v="580"/>
    </i>
    <i r="1">
      <x v="541"/>
    </i>
    <i r="1">
      <x v="572"/>
    </i>
    <i r="1">
      <x v="571"/>
    </i>
    <i r="1">
      <x v="526"/>
    </i>
    <i r="1">
      <x v="535"/>
    </i>
    <i r="1">
      <x v="514"/>
    </i>
    <i r="1">
      <x v="524"/>
    </i>
    <i r="1">
      <x v="546"/>
    </i>
    <i r="1">
      <x v="539"/>
    </i>
    <i r="1">
      <x v="590"/>
    </i>
    <i r="1">
      <x v="516"/>
    </i>
    <i r="1">
      <x v="584"/>
    </i>
    <i r="1">
      <x v="509"/>
    </i>
    <i r="1">
      <x v="602"/>
    </i>
    <i r="1">
      <x v="555"/>
    </i>
    <i r="1">
      <x v="597"/>
    </i>
    <i r="1">
      <x v="594"/>
    </i>
    <i r="1">
      <x v="569"/>
    </i>
    <i r="1">
      <x v="542"/>
    </i>
    <i r="1">
      <x v="592"/>
    </i>
    <i r="1">
      <x v="528"/>
    </i>
    <i r="1">
      <x v="565"/>
    </i>
    <i r="1">
      <x v="573"/>
    </i>
    <i r="1">
      <x v="603"/>
    </i>
    <i r="1">
      <x v="577"/>
    </i>
    <i r="1">
      <x v="527"/>
    </i>
    <i r="1">
      <x v="532"/>
    </i>
    <i r="1">
      <x v="518"/>
    </i>
    <i r="1">
      <x v="543"/>
    </i>
    <i r="1">
      <x v="559"/>
    </i>
    <i r="1">
      <x v="547"/>
    </i>
    <i r="1">
      <x v="553"/>
    </i>
    <i r="1">
      <x v="531"/>
    </i>
    <i r="1">
      <x v="538"/>
    </i>
    <i r="1">
      <x v="588"/>
    </i>
    <i r="1">
      <x v="536"/>
    </i>
    <i r="1">
      <x v="552"/>
    </i>
    <i r="1">
      <x v="585"/>
    </i>
    <i r="1">
      <x v="604"/>
    </i>
    <i r="1">
      <x v="551"/>
    </i>
    <i r="1">
      <x v="582"/>
    </i>
    <i r="1">
      <x v="586"/>
    </i>
    <i r="1">
      <x v="581"/>
    </i>
    <i r="1">
      <x v="589"/>
    </i>
    <i r="1">
      <x v="575"/>
    </i>
    <i r="1">
      <x v="561"/>
    </i>
    <i r="1">
      <x v="570"/>
    </i>
    <i r="1">
      <x v="545"/>
    </i>
    <i r="1">
      <x v="511"/>
    </i>
    <i r="1">
      <x v="557"/>
    </i>
    <i r="1">
      <x v="512"/>
    </i>
    <i r="1">
      <x v="520"/>
    </i>
    <i r="1">
      <x v="537"/>
    </i>
    <i r="1">
      <x v="583"/>
    </i>
    <i r="1">
      <x v="540"/>
    </i>
    <i r="1">
      <x v="605"/>
    </i>
    <i r="1">
      <x v="591"/>
    </i>
    <i r="1">
      <x v="568"/>
    </i>
    <i r="1">
      <x v="556"/>
    </i>
    <i r="1">
      <x v="566"/>
    </i>
    <i t="grand">
      <x/>
    </i>
  </rowItems>
  <colItems count="1">
    <i/>
  </colItems>
  <dataFields count="1">
    <dataField name="Sum of GrossRevenu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3D3ADD-DB77-437F-AE7E-7304FB30815F}" sourceName="Region">
  <pivotTables>
    <pivotTable tabId="20" name="PivotTable3"/>
    <pivotTable tabId="21" name="PivotTable4"/>
    <pivotTable tabId="19" name="PivotTable2"/>
    <pivotTable tabId="27" name="PivotTable1"/>
    <pivotTable tabId="29" name="PivotTable2"/>
    <pivotTable tabId="32" name="PivotTable2"/>
  </pivotTables>
  <data>
    <tabular pivotCacheId="1104103790">
      <items count="5">
        <i x="1" s="1"/>
        <i x="2" s="1"/>
        <i x="3" s="1"/>
        <i x="0"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6CC89ED-C610-4318-939C-D808D3DDE5C4}" sourceName="Country">
  <pivotTables>
    <pivotTable tabId="20" name="PivotTable3"/>
    <pivotTable tabId="21" name="PivotTable4"/>
    <pivotTable tabId="19" name="PivotTable2"/>
    <pivotTable tabId="27" name="PivotTable1"/>
    <pivotTable tabId="29" name="PivotTable2"/>
    <pivotTable tabId="32" name="PivotTable2"/>
  </pivotTables>
  <data>
    <tabular pivotCacheId="1104103790">
      <items count="13">
        <i x="5" s="1"/>
        <i x="11" s="1"/>
        <i x="10" s="1"/>
        <i x="2" s="1"/>
        <i x="6" s="1"/>
        <i x="9" s="1"/>
        <i x="7" s="1"/>
        <i x="1" s="1"/>
        <i x="8" s="1"/>
        <i x="4" s="1"/>
        <i x="0" s="1"/>
        <i x="3" s="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A532A16-3BED-44AD-B737-0ED890D878D9}" sourceName="Month">
  <pivotTables>
    <pivotTable tabId="19" name="PivotTable2"/>
    <pivotTable tabId="21" name="PivotTable4"/>
    <pivotTable tabId="20" name="PivotTable3"/>
    <pivotTable tabId="27" name="PivotTable1"/>
    <pivotTable tabId="29" name="PivotTable2"/>
    <pivotTable tabId="32" name="PivotTable2"/>
  </pivotTables>
  <data>
    <tabular pivotCacheId="1104103790">
      <items count="34">
        <i x="16" s="1"/>
        <i x="31" s="1"/>
        <i x="6" s="1"/>
        <i x="9" s="1"/>
        <i x="25" s="1"/>
        <i x="11" s="1"/>
        <i x="32" s="1"/>
        <i x="0" s="1"/>
        <i x="1" s="1"/>
        <i x="8" s="1"/>
        <i x="12" s="1"/>
        <i x="13" s="1"/>
        <i x="21" s="1"/>
        <i x="27" s="1"/>
        <i x="24" s="1"/>
        <i x="29" s="1"/>
        <i x="18" s="1"/>
        <i x="17" s="1"/>
        <i x="4" s="1"/>
        <i x="2" s="1"/>
        <i x="26" s="1"/>
        <i x="3" s="1"/>
        <i x="14" s="1"/>
        <i x="7" s="1"/>
        <i x="15" s="1"/>
        <i x="23" s="1"/>
        <i x="30" s="1"/>
        <i x="22" s="1"/>
        <i x="10" s="1"/>
        <i x="20" s="1"/>
        <i x="28" s="1"/>
        <i x="19" s="1"/>
        <i x="5" s="1"/>
        <i x="3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3D05352-2ABD-43EA-B2D2-11499817FBA6}" sourceName="Channel">
  <pivotTables>
    <pivotTable tabId="20" name="PivotTable3"/>
    <pivotTable tabId="21" name="PivotTable4"/>
    <pivotTable tabId="19" name="PivotTable2"/>
    <pivotTable tabId="27" name="PivotTable1"/>
    <pivotTable tabId="29" name="PivotTable2"/>
    <pivotTable tabId="32" name="PivotTable2"/>
  </pivotTables>
  <data>
    <tabular pivotCacheId="1104103790">
      <items count="6">
        <i x="2" s="1"/>
        <i x="3" s="1"/>
        <i x="1" s="1"/>
        <i x="4" s="1"/>
        <i x="0"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5DB44D4-2109-45F0-864A-A42BAD024D9D}" sourceName="Salesperson">
  <pivotTables>
    <pivotTable tabId="19" name="PivotTable2"/>
    <pivotTable tabId="21" name="PivotTable4"/>
    <pivotTable tabId="20" name="PivotTable3"/>
    <pivotTable tabId="27" name="PivotTable1"/>
    <pivotTable tabId="29" name="PivotTable2"/>
    <pivotTable tabId="32" name="PivotTable2"/>
  </pivotTables>
  <data>
    <tabular pivotCacheId="1104103790">
      <items count="16">
        <i x="13" s="1"/>
        <i x="4" s="1"/>
        <i x="8" s="1"/>
        <i x="0" s="1"/>
        <i x="10" s="1"/>
        <i x="6" s="1"/>
        <i x="14" s="1"/>
        <i x="2" s="1"/>
        <i x="1" s="1"/>
        <i x="3" s="1"/>
        <i x="12" s="1"/>
        <i x="5" s="1"/>
        <i x="7" s="1"/>
        <i x="9" s="1"/>
        <i x="11" s="1"/>
        <i x="1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581E683-73E8-47AA-92CB-55833C709B5A}" cache="Slicer_Region" caption="Region" rowHeight="234950"/>
  <slicer name="Country 1" xr10:uid="{E6D179DD-3DFA-4A76-B8CE-CD4D7D344C68}" cache="Slicer_Country" caption="Country" rowHeight="234950"/>
  <slicer name="Month 1" xr10:uid="{72C9523B-828B-436A-8FE7-775CEE5ED044}" cache="Slicer_Month" caption="Month" rowHeight="234950"/>
  <slicer name="Channel 1" xr10:uid="{A0D61A17-DB0A-4BEC-B178-B55D849F25EA}" cache="Slicer_Channel" caption="Channel" rowHeight="234950"/>
  <slicer name="Salesperson 1" xr10:uid="{31544563-BE50-42F4-9DAA-018C9A727ACC}" cache="Slicer_Salesperson" caption="Salesper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0871AAB-0F29-4BE2-AA5D-4EAEBD6214A8}" cache="Slicer_Region" caption="Region" rowHeight="234950"/>
  <slicer name="Country" xr10:uid="{C81365A6-0A32-4B89-850B-E19916D899BB}" cache="Slicer_Country" caption="Country" startItem="6" rowHeight="234950"/>
  <slicer name="Channel" xr10:uid="{15F81B5C-9468-4EF5-B829-E2378846CB5C}" cache="Slicer_Channel" caption="Channel"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51B1F5D-64D0-4726-AB15-4CED1730E30A}" cache="Slicer_Month" caption="Month" rowHeight="234950"/>
  <slicer name="Salesperson" xr10:uid="{9BE339F9-CD76-450B-8273-C183D5040FF7}"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9A0EC1-EB14-4CC8-B031-E8AA2A471E48}" name="Table1" displayName="Table1" ref="A4:B9" totalsRowShown="0" headerRowDxfId="161" dataDxfId="160">
  <autoFilter ref="A4:B9" xr:uid="{C89A0EC1-EB14-4CC8-B031-E8AA2A471E48}"/>
  <tableColumns count="2">
    <tableColumn id="1" xr3:uid="{86677A98-7C5D-4417-93AB-9107FB4473F4}" name="A" dataDxfId="159"/>
    <tableColumn id="2" xr3:uid="{88AA1BC5-AE01-4E01-BE01-97A8A627FDBF}" name="B" dataDxfId="15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workbookViewId="0">
      <selection activeCell="P5" sqref="P5"/>
    </sheetView>
  </sheetViews>
  <sheetFormatPr defaultRowHeight="14.4" x14ac:dyDescent="0.3"/>
  <cols>
    <col min="1" max="1" width="16.109375" bestFit="1" customWidth="1"/>
    <col min="2" max="2" width="10.33203125" bestFit="1" customWidth="1"/>
    <col min="3" max="3" width="12.44140625" bestFit="1" customWidth="1"/>
    <col min="4" max="4" width="8.44140625" bestFit="1" customWidth="1"/>
    <col min="5" max="5" width="14" bestFit="1" customWidth="1"/>
    <col min="6" max="6" width="12.44140625" bestFit="1" customWidth="1"/>
    <col min="7" max="7" width="16.6640625" bestFit="1" customWidth="1"/>
    <col min="8" max="8" width="11.21875" bestFit="1" customWidth="1"/>
    <col min="9" max="9" width="11" bestFit="1" customWidth="1"/>
    <col min="10" max="10" width="15.33203125" bestFit="1" customWidth="1"/>
    <col min="11" max="11" width="10" bestFit="1" customWidth="1"/>
    <col min="12" max="12" width="8.21875" bestFit="1" customWidth="1"/>
    <col min="13" max="13" width="8.6640625" bestFit="1" customWidth="1"/>
    <col min="14" max="14" width="11" bestFit="1" customWidth="1"/>
    <col min="15" max="15" width="8.3320312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3">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3">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3">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3">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3">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3">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3">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3">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3">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3">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3">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3">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3">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3">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3">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3">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3">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3">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3">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3">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3">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3">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3">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3">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3">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3">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3">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3">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3">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3">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3">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3">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3">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3">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3">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3">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3">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3">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3">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3">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3">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3">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3">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3">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3">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3">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3">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3">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3">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3">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3">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3">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3">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3">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3">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3">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3">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3">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3">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3">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3">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3">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3">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3">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3">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3">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3">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3">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3">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3">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3">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3">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3">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3">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3">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3">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3">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3">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3">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3">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3">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3">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3">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3">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3">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3">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3">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3">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3">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3">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3">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3">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3">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3">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3">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3">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3">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3">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3">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3">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3">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3">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3">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3">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3">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3">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3">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3">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3">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3">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3">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3">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3">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3">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3">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3">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3">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3">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3">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3">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3">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3">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3">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3">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3">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3">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3">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3">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3">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3">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3">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3">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3">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3">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3">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3">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3">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3">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3">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3">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3">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3">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3">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3">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3">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3">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3">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3">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3">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3">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3">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3">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3">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3">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3">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3">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3">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3">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3">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3">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3">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3">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3">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3">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3">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3">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3">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3">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3">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3">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3">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3">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3">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3">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3">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3">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3">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3">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3">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3">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3">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3">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3">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3">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3">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3">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3">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3">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3">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3">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3">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3">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3">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3">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3">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3">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3">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3">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3">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3">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3">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3">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3">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3">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3">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3">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3">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3">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3">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3">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3">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3">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3">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3">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3">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3">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3">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3">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3">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3">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3">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3">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3">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3">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3">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3">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3">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3">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3">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3">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3">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3">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3">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3">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3">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3">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3">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3">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3">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3">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3">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3">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3">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3">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3">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3">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3">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3">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3">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3">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3">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3">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3">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3">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3">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3">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3">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3">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3">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3">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3">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3">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3">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3">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3">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3">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3">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3">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3">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3">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3">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3">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3">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3">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3">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3">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3">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3">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3">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3">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3">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3">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3">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3">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3">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3">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3">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3">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3">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3">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3">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3">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3">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3">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3">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3">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3">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3">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3">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3">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3">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3">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3">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3">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3">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3">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3">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3">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3">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3">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3">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3">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3">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3">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3">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3">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3">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3">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3">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3">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3">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3">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3">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3">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3">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3">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3">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3">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3">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3">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3">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3">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3">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3">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3">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3">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3">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3">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3">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3">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3">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3">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3">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3">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3">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3">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3">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3">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3">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3">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3">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3">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3">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3">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3">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3">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3">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3">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3">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3">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3">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3">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3">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3">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3">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3">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3">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3">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3">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3">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3">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3">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3">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3">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3">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3">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3">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3">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3">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3">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3">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3">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3">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3">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3">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3">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3">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3">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3">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3">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3">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3">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3">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3">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3">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3">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3">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3">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3">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3">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3">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3">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3">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3">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3">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3">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3">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3">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3">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3">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3">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3">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3">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3">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3">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3">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3">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3">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3">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3">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3">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3">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3">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3">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3">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3">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3">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3">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3">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3">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3">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3">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3">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3">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3">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3">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3">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3">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3">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3">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3">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3">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3">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3">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3">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3">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3">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3">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3">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3">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3">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3">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3">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3">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3">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3">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3">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3">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3">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3">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3">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3">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3">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3">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3">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3">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3">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3">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3">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3">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3">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3">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3">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3">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3">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3">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3">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3">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3">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3">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3">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3">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3">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3">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3">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3">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3">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3">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3">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3">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3">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3">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3">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3">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3">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3">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3">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3">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3">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3">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3">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3">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3">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3">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3">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3">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3">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3">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3">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3">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3">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3">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3">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3">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3">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3">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3">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3">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3">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3">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3">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3">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3">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3">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3">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3">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3">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3">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3">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3">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3">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3">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3">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3">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3">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3">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3">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3">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3">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3">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3">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3">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3">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3">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3">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3">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3">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3">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3">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3">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3">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3">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3">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3">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3">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3">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3">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3">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3">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3">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3">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3">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3">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3">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3">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3">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3">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3">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3">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3">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3">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3">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3">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3">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3">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3">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3">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3">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3">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3">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3">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3">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3">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3">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3">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3">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3">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3">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3">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3">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3">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3">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3">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3">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3">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3">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3">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3">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3">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3">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3">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3">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3">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3">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3">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3">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3">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3">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3">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3">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3">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3">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3">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3">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3">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3">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3">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3">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3">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3">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3">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3">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3">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3">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3">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3">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3">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3">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3">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3">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3">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62B28-0E25-4C50-B398-FE73A56D8F84}">
  <dimension ref="A1:AF616"/>
  <sheetViews>
    <sheetView workbookViewId="0">
      <pane ySplit="1" topLeftCell="A2" activePane="bottomLeft" state="frozen"/>
      <selection pane="bottomLeft" activeCell="D23" sqref="D23"/>
    </sheetView>
  </sheetViews>
  <sheetFormatPr defaultRowHeight="14.4" x14ac:dyDescent="0.3"/>
  <cols>
    <col min="1" max="1" width="17.44140625" bestFit="1" customWidth="1"/>
    <col min="2" max="2" width="10.5546875" style="4" bestFit="1" customWidth="1"/>
    <col min="3" max="4" width="10.5546875" style="4" customWidth="1"/>
    <col min="5" max="5" width="12.44140625" style="4" bestFit="1" customWidth="1"/>
    <col min="6" max="6" width="20" style="12" bestFit="1" customWidth="1"/>
    <col min="7" max="7" width="13.21875" style="12" bestFit="1" customWidth="1"/>
    <col min="8" max="8" width="8.44140625" bestFit="1" customWidth="1"/>
    <col min="9" max="9" width="14" bestFit="1" customWidth="1"/>
    <col min="10" max="10" width="12.33203125" customWidth="1"/>
    <col min="11" max="11" width="16.6640625" bestFit="1" customWidth="1"/>
    <col min="12" max="12" width="11.21875" bestFit="1" customWidth="1"/>
    <col min="13" max="13" width="11" bestFit="1" customWidth="1"/>
    <col min="14" max="14" width="15.33203125" bestFit="1" customWidth="1"/>
    <col min="15" max="15" width="10" bestFit="1" customWidth="1"/>
    <col min="16" max="16" width="8.21875" style="6" bestFit="1" customWidth="1"/>
    <col min="17" max="17" width="9" style="6" bestFit="1" customWidth="1"/>
    <col min="18" max="19" width="10.88671875" style="10" customWidth="1"/>
    <col min="20" max="20" width="8.33203125" style="8" bestFit="1" customWidth="1"/>
    <col min="21" max="21" width="12.88671875" bestFit="1" customWidth="1"/>
    <col min="22" max="22" width="12.5546875" bestFit="1" customWidth="1"/>
    <col min="23" max="23" width="10.5546875" bestFit="1" customWidth="1"/>
    <col min="24" max="24" width="9.6640625" style="10" bestFit="1" customWidth="1"/>
    <col min="25" max="25" width="9.88671875" bestFit="1" customWidth="1"/>
    <col min="26" max="26" width="10.109375" bestFit="1" customWidth="1"/>
    <col min="27" max="27" width="12" bestFit="1" customWidth="1"/>
    <col min="28" max="28" width="18" bestFit="1" customWidth="1"/>
    <col min="29" max="29" width="16.77734375" bestFit="1" customWidth="1"/>
    <col min="30" max="30" width="16.44140625" bestFit="1" customWidth="1"/>
    <col min="31" max="31" width="18.21875" bestFit="1" customWidth="1"/>
    <col min="32" max="32" width="13.44140625" bestFit="1" customWidth="1"/>
  </cols>
  <sheetData>
    <row r="1" spans="1:32" x14ac:dyDescent="0.3">
      <c r="A1" s="1" t="s">
        <v>0</v>
      </c>
      <c r="B1" s="3" t="s">
        <v>1</v>
      </c>
      <c r="C1" s="3" t="s">
        <v>1428</v>
      </c>
      <c r="D1" s="3" t="s">
        <v>1429</v>
      </c>
      <c r="E1" s="3" t="s">
        <v>2</v>
      </c>
      <c r="F1" s="11" t="s">
        <v>1422</v>
      </c>
      <c r="G1" s="15" t="s">
        <v>1423</v>
      </c>
      <c r="H1" s="1" t="s">
        <v>3</v>
      </c>
      <c r="I1" s="1" t="s">
        <v>4</v>
      </c>
      <c r="J1" s="1" t="s">
        <v>5</v>
      </c>
      <c r="K1" s="1" t="s">
        <v>6</v>
      </c>
      <c r="L1" s="1" t="s">
        <v>7</v>
      </c>
      <c r="M1" s="1" t="s">
        <v>8</v>
      </c>
      <c r="N1" s="1" t="s">
        <v>9</v>
      </c>
      <c r="O1" s="1" t="s">
        <v>10</v>
      </c>
      <c r="P1" s="5" t="s">
        <v>11</v>
      </c>
      <c r="Q1" s="5" t="s">
        <v>12</v>
      </c>
      <c r="R1" s="9" t="s">
        <v>13</v>
      </c>
      <c r="S1" s="9" t="s">
        <v>1421</v>
      </c>
      <c r="T1" s="7" t="s">
        <v>14</v>
      </c>
      <c r="U1" s="14" t="s">
        <v>1424</v>
      </c>
      <c r="V1" s="14" t="s">
        <v>1425</v>
      </c>
      <c r="W1" s="14" t="s">
        <v>1426</v>
      </c>
      <c r="X1" s="16" t="s">
        <v>1427</v>
      </c>
      <c r="Y1" s="14" t="s">
        <v>1430</v>
      </c>
      <c r="Z1" s="14" t="s">
        <v>1442</v>
      </c>
      <c r="AA1" s="14" t="s">
        <v>1446</v>
      </c>
      <c r="AB1" s="14" t="s">
        <v>1453</v>
      </c>
      <c r="AC1" s="14" t="s">
        <v>1454</v>
      </c>
      <c r="AD1" s="14" t="s">
        <v>1455</v>
      </c>
      <c r="AE1" s="14" t="s">
        <v>1456</v>
      </c>
      <c r="AF1" s="14" t="s">
        <v>1457</v>
      </c>
    </row>
    <row r="2" spans="1:32" x14ac:dyDescent="0.3">
      <c r="A2" t="s">
        <v>631</v>
      </c>
      <c r="B2" s="4">
        <v>45643</v>
      </c>
      <c r="C2" s="4" t="str">
        <f>TEXT(B2,"MMM-YYYY")</f>
        <v>Dec-2024</v>
      </c>
      <c r="D2" t="str">
        <f>"Q" &amp; ROUNDUP(MONTH(B2)/3,0) &amp; "-" &amp; YEAR(B2)</f>
        <v>Q4-2024</v>
      </c>
      <c r="E2" s="4">
        <v>45673</v>
      </c>
      <c r="F2" s="12">
        <f t="shared" ref="F2:F65" si="0">IF(B2&gt;E2,B2+14,E2)</f>
        <v>45673</v>
      </c>
      <c r="G2" s="13">
        <f t="shared" ref="G2:G65" si="1">F2-B2</f>
        <v>30</v>
      </c>
      <c r="H2" t="s">
        <v>649</v>
      </c>
      <c r="I2" t="s">
        <v>658</v>
      </c>
      <c r="J2" t="s">
        <v>693</v>
      </c>
      <c r="K2" t="s">
        <v>701</v>
      </c>
      <c r="L2" t="s">
        <v>707</v>
      </c>
      <c r="M2" t="s">
        <v>726</v>
      </c>
      <c r="N2" t="s">
        <v>732</v>
      </c>
      <c r="O2" t="s">
        <v>1349</v>
      </c>
      <c r="P2" s="6">
        <v>722.87</v>
      </c>
      <c r="Q2" s="6">
        <f>((100%-R2)*(P2*T2))/T2</f>
        <v>649.13726000000008</v>
      </c>
      <c r="R2" s="10">
        <v>0.10199999999999999</v>
      </c>
      <c r="S2" s="10" t="b">
        <f>IF(R2&gt;30,TRUE)</f>
        <v>0</v>
      </c>
      <c r="T2" s="8">
        <v>28</v>
      </c>
      <c r="U2">
        <f>(Q2*(100%-R2))*T2</f>
        <v>16321.907265440004</v>
      </c>
      <c r="V2">
        <f>P2*T2</f>
        <v>20240.36</v>
      </c>
      <c r="W2">
        <f>U2-V2</f>
        <v>-3918.4527345599963</v>
      </c>
      <c r="X2" s="10">
        <f>IF(U2=0,0,W2/U2)</f>
        <v>-0.24007321392254971</v>
      </c>
      <c r="Y2" t="str">
        <f>IF(Q2&lt;=_xlfn.PERCENTILE.INC($Q$2:$Q$610,0.33),"Low",IF(Q2&lt;=_xlfn.PERCENTILE.INC($Q$2:$Q$610,0.67),"Medium","High"))</f>
        <v>Low</v>
      </c>
      <c r="Z2" t="str">
        <f>IF(G2&lt;=7,"Met","Not Met")</f>
        <v>Not Met</v>
      </c>
      <c r="AA2" t="str">
        <f>IF(R2&gt;20%,"High Discount","Low Discount")</f>
        <v>Low Discount</v>
      </c>
      <c r="AB2" s="10">
        <f>MIN(R2,ControlPanel!$B$5)</f>
        <v>0.10199999999999999</v>
      </c>
      <c r="AC2">
        <f>P2*(1+ControlPanel!$B$6)</f>
        <v>759.01350000000002</v>
      </c>
      <c r="AD2">
        <f>T2*(1+ControlPanel!$B$7)</f>
        <v>30.800000000000004</v>
      </c>
      <c r="AE2" s="6">
        <f>(Q2*(100%-AB2)*AD2)</f>
        <v>17954.097991984007</v>
      </c>
      <c r="AF2">
        <f>AE2-(AC2*AD2)</f>
        <v>-5423.5178080159967</v>
      </c>
    </row>
    <row r="3" spans="1:32" x14ac:dyDescent="0.3">
      <c r="A3" t="s">
        <v>17</v>
      </c>
      <c r="B3" s="4">
        <v>44985</v>
      </c>
      <c r="C3" s="4" t="str">
        <f t="shared" ref="C3:C66" si="2">TEXT(B3,"MMM-YYYY")</f>
        <v>Feb-2023</v>
      </c>
      <c r="D3" t="str">
        <f t="shared" ref="D3:D66" si="3">"Q" &amp; ROUNDUP(MONTH(B3)/3,0) &amp; "-" &amp; YEAR(B3)</f>
        <v>Q1-2023</v>
      </c>
      <c r="E3" s="4">
        <v>45010</v>
      </c>
      <c r="F3" s="12">
        <f t="shared" si="0"/>
        <v>45010</v>
      </c>
      <c r="G3" s="13">
        <f t="shared" si="1"/>
        <v>25</v>
      </c>
      <c r="H3" t="s">
        <v>646</v>
      </c>
      <c r="I3" t="s">
        <v>650</v>
      </c>
      <c r="J3" t="s">
        <v>664</v>
      </c>
      <c r="K3" t="s">
        <v>701</v>
      </c>
      <c r="L3" t="s">
        <v>707</v>
      </c>
      <c r="M3" t="s">
        <v>714</v>
      </c>
      <c r="N3" t="s">
        <v>729</v>
      </c>
      <c r="O3" t="s">
        <v>736</v>
      </c>
      <c r="P3" s="6">
        <v>1460.76</v>
      </c>
      <c r="Q3" s="6">
        <f>((100%-R3)*(P3*T3))/T3</f>
        <v>1269.4004399999999</v>
      </c>
      <c r="R3" s="10">
        <v>0.13100000000000001</v>
      </c>
      <c r="S3" s="10" t="b">
        <f t="shared" ref="S3:S66" si="4">IF(R3&gt;30,TRUE)</f>
        <v>0</v>
      </c>
      <c r="T3" s="8">
        <v>12</v>
      </c>
      <c r="U3">
        <f t="shared" ref="U3:U66" si="5">(Q3*(100%-R3))*T3</f>
        <v>13237.307788319999</v>
      </c>
      <c r="V3">
        <f t="shared" ref="V3:V66" si="6">P3*T3</f>
        <v>17529.12</v>
      </c>
      <c r="W3">
        <f t="shared" ref="W3:W66" si="7">U3-V3</f>
        <v>-4291.8122116800005</v>
      </c>
      <c r="X3" s="10">
        <f t="shared" ref="X3:X66" si="8">IF(U3=0,0,W3/U3)</f>
        <v>-0.32422092772269762</v>
      </c>
      <c r="Y3" t="str">
        <f t="shared" ref="Y3:Y66" si="9">IF(Q3&lt;=_xlfn.PERCENTILE.INC($Q$2:$Q$610,0.33),"Low",IF(Q3&lt;=_xlfn.PERCENTILE.INC($Q$2:$Q$610,0.67),"Medium","High"))</f>
        <v>Medium</v>
      </c>
      <c r="Z3" t="str">
        <f t="shared" ref="Z3:Z66" si="10">IF(G3&lt;=7,"Met","Not Met")</f>
        <v>Not Met</v>
      </c>
      <c r="AA3" t="str">
        <f t="shared" ref="AA3:AA66" si="11">IF(R3&gt;20%,"High Discount","Low Discount")</f>
        <v>Low Discount</v>
      </c>
      <c r="AB3" s="10">
        <f>MIN(R3,ControlPanel!$B$5)</f>
        <v>0.13100000000000001</v>
      </c>
      <c r="AC3">
        <f>P3*(1+ControlPanel!$B$6)</f>
        <v>1533.798</v>
      </c>
      <c r="AD3">
        <f>T3*(1+ControlPanel!$B$7)</f>
        <v>13.200000000000001</v>
      </c>
      <c r="AE3" s="6">
        <f t="shared" ref="AE3:AE66" si="12">(Q3*(100%-AB3)*AD3)</f>
        <v>14561.038567151998</v>
      </c>
      <c r="AF3">
        <f t="shared" ref="AF3:AF66" si="13">AE3-(AC3*AD3)</f>
        <v>-5685.095032848003</v>
      </c>
    </row>
    <row r="4" spans="1:32" x14ac:dyDescent="0.3">
      <c r="A4" t="s">
        <v>73</v>
      </c>
      <c r="B4" s="4">
        <v>45817</v>
      </c>
      <c r="C4" s="4" t="str">
        <f t="shared" si="2"/>
        <v>Jun-2025</v>
      </c>
      <c r="D4" t="str">
        <f t="shared" si="3"/>
        <v>Q2-2025</v>
      </c>
      <c r="E4" s="4">
        <v>45826</v>
      </c>
      <c r="F4" s="12">
        <f t="shared" si="0"/>
        <v>45826</v>
      </c>
      <c r="G4" s="13">
        <f t="shared" si="1"/>
        <v>9</v>
      </c>
      <c r="H4" t="s">
        <v>649</v>
      </c>
      <c r="I4" t="s">
        <v>657</v>
      </c>
      <c r="J4" t="s">
        <v>673</v>
      </c>
      <c r="K4" t="s">
        <v>705</v>
      </c>
      <c r="L4" t="s">
        <v>709</v>
      </c>
      <c r="M4" t="s">
        <v>722</v>
      </c>
      <c r="N4" t="s">
        <v>733</v>
      </c>
      <c r="O4" t="s">
        <v>792</v>
      </c>
      <c r="P4" s="6">
        <v>1225.5</v>
      </c>
      <c r="Q4" s="6">
        <f>((100%-R4)*(P4*T4))/T4</f>
        <v>1133.5875000000001</v>
      </c>
      <c r="R4" s="10">
        <v>7.4999999999999997E-2</v>
      </c>
      <c r="S4" s="10" t="b">
        <f t="shared" si="4"/>
        <v>0</v>
      </c>
      <c r="T4" s="8">
        <v>56</v>
      </c>
      <c r="U4">
        <f t="shared" si="5"/>
        <v>58719.832500000004</v>
      </c>
      <c r="V4">
        <f t="shared" si="6"/>
        <v>68628</v>
      </c>
      <c r="W4">
        <f t="shared" si="7"/>
        <v>-9908.1674999999959</v>
      </c>
      <c r="X4" s="10">
        <f t="shared" si="8"/>
        <v>-0.16873630387143893</v>
      </c>
      <c r="Y4" t="str">
        <f t="shared" si="9"/>
        <v>Medium</v>
      </c>
      <c r="Z4" t="str">
        <f t="shared" si="10"/>
        <v>Not Met</v>
      </c>
      <c r="AA4" t="str">
        <f t="shared" si="11"/>
        <v>Low Discount</v>
      </c>
      <c r="AB4" s="10">
        <f>MIN(R4,ControlPanel!$B$5)</f>
        <v>7.4999999999999997E-2</v>
      </c>
      <c r="AC4">
        <f>P4*(1+ControlPanel!$B$6)</f>
        <v>1286.7750000000001</v>
      </c>
      <c r="AD4">
        <f>T4*(1+ControlPanel!$B$7)</f>
        <v>61.600000000000009</v>
      </c>
      <c r="AE4" s="6">
        <f t="shared" si="12"/>
        <v>64591.815750000016</v>
      </c>
      <c r="AF4">
        <f t="shared" si="13"/>
        <v>-14673.524249999995</v>
      </c>
    </row>
    <row r="5" spans="1:32" x14ac:dyDescent="0.3">
      <c r="A5" t="s">
        <v>312</v>
      </c>
      <c r="B5" s="4">
        <v>45377</v>
      </c>
      <c r="C5" s="4" t="str">
        <f t="shared" si="2"/>
        <v>Mar-2024</v>
      </c>
      <c r="D5" t="str">
        <f t="shared" si="3"/>
        <v>Q1-2024</v>
      </c>
      <c r="E5" s="4">
        <v>45387</v>
      </c>
      <c r="F5" s="12">
        <f t="shared" si="0"/>
        <v>45387</v>
      </c>
      <c r="G5" s="13">
        <f t="shared" si="1"/>
        <v>10</v>
      </c>
      <c r="H5" t="s">
        <v>648</v>
      </c>
      <c r="I5" t="s">
        <v>660</v>
      </c>
      <c r="J5" t="s">
        <v>697</v>
      </c>
      <c r="K5" t="s">
        <v>704</v>
      </c>
      <c r="L5" t="s">
        <v>711</v>
      </c>
      <c r="M5" t="s">
        <v>713</v>
      </c>
      <c r="N5" t="s">
        <v>732</v>
      </c>
      <c r="O5" t="s">
        <v>1032</v>
      </c>
      <c r="P5" s="6">
        <v>5.66</v>
      </c>
      <c r="Q5" s="6">
        <v>4.22</v>
      </c>
      <c r="R5" s="10">
        <v>0.11899999999999999</v>
      </c>
      <c r="S5" s="10" t="b">
        <f t="shared" si="4"/>
        <v>0</v>
      </c>
      <c r="T5" s="8">
        <v>18</v>
      </c>
      <c r="U5">
        <f t="shared" si="5"/>
        <v>66.920760000000001</v>
      </c>
      <c r="V5">
        <f t="shared" si="6"/>
        <v>101.88</v>
      </c>
      <c r="W5">
        <f t="shared" si="7"/>
        <v>-34.959239999999994</v>
      </c>
      <c r="X5" s="10">
        <f t="shared" si="8"/>
        <v>-0.52239753403876454</v>
      </c>
      <c r="Y5" t="str">
        <f t="shared" si="9"/>
        <v>Low</v>
      </c>
      <c r="Z5" t="str">
        <f t="shared" si="10"/>
        <v>Not Met</v>
      </c>
      <c r="AA5" t="str">
        <f t="shared" si="11"/>
        <v>Low Discount</v>
      </c>
      <c r="AB5" s="10">
        <f>MIN(R5,ControlPanel!$B$5)</f>
        <v>0.11899999999999999</v>
      </c>
      <c r="AC5">
        <f>P5*(1+ControlPanel!$B$6)</f>
        <v>5.9430000000000005</v>
      </c>
      <c r="AD5">
        <f>T5*(1+ControlPanel!$B$7)</f>
        <v>19.8</v>
      </c>
      <c r="AE5" s="6">
        <f t="shared" si="12"/>
        <v>73.612836000000001</v>
      </c>
      <c r="AF5">
        <f t="shared" si="13"/>
        <v>-44.058564000000018</v>
      </c>
    </row>
    <row r="6" spans="1:32" x14ac:dyDescent="0.3">
      <c r="A6" t="s">
        <v>127</v>
      </c>
      <c r="B6" s="4">
        <v>45472</v>
      </c>
      <c r="C6" s="4" t="str">
        <f t="shared" si="2"/>
        <v>Jun-2024</v>
      </c>
      <c r="D6" t="str">
        <f t="shared" si="3"/>
        <v>Q2-2024</v>
      </c>
      <c r="E6" s="4">
        <v>45499</v>
      </c>
      <c r="F6" s="12">
        <f t="shared" si="0"/>
        <v>45499</v>
      </c>
      <c r="G6" s="13">
        <f t="shared" si="1"/>
        <v>27</v>
      </c>
      <c r="H6" t="s">
        <v>646</v>
      </c>
      <c r="I6" t="s">
        <v>661</v>
      </c>
      <c r="J6" t="s">
        <v>687</v>
      </c>
      <c r="K6" t="s">
        <v>706</v>
      </c>
      <c r="L6" t="s">
        <v>710</v>
      </c>
      <c r="M6" t="s">
        <v>717</v>
      </c>
      <c r="N6" t="s">
        <v>729</v>
      </c>
      <c r="O6" t="s">
        <v>846</v>
      </c>
      <c r="P6" s="6">
        <v>5.36</v>
      </c>
      <c r="Q6" s="6">
        <v>4.37</v>
      </c>
      <c r="R6" s="10">
        <v>0.11799999999999999</v>
      </c>
      <c r="S6" s="10" t="b">
        <f t="shared" si="4"/>
        <v>0</v>
      </c>
      <c r="T6" s="8">
        <v>9</v>
      </c>
      <c r="U6">
        <f t="shared" si="5"/>
        <v>34.689059999999998</v>
      </c>
      <c r="V6">
        <f t="shared" si="6"/>
        <v>48.24</v>
      </c>
      <c r="W6">
        <f t="shared" si="7"/>
        <v>-13.550940000000004</v>
      </c>
      <c r="X6" s="10">
        <f t="shared" si="8"/>
        <v>-0.39064016148030545</v>
      </c>
      <c r="Y6" t="str">
        <f t="shared" si="9"/>
        <v>Low</v>
      </c>
      <c r="Z6" t="str">
        <f t="shared" si="10"/>
        <v>Not Met</v>
      </c>
      <c r="AA6" t="str">
        <f t="shared" si="11"/>
        <v>Low Discount</v>
      </c>
      <c r="AB6" s="10">
        <f>MIN(R6,ControlPanel!$B$5)</f>
        <v>0.11799999999999999</v>
      </c>
      <c r="AC6">
        <f>P6*(1+ControlPanel!$B$6)</f>
        <v>5.628000000000001</v>
      </c>
      <c r="AD6">
        <f>T6*(1+ControlPanel!$B$7)</f>
        <v>9.9</v>
      </c>
      <c r="AE6" s="6">
        <f t="shared" si="12"/>
        <v>38.157966000000002</v>
      </c>
      <c r="AF6">
        <f t="shared" si="13"/>
        <v>-17.559234000000011</v>
      </c>
    </row>
    <row r="7" spans="1:32" x14ac:dyDescent="0.3">
      <c r="A7" t="s">
        <v>195</v>
      </c>
      <c r="B7" s="4">
        <v>45915</v>
      </c>
      <c r="C7" s="4" t="str">
        <f t="shared" si="2"/>
        <v>Sep-2025</v>
      </c>
      <c r="D7" t="str">
        <f t="shared" si="3"/>
        <v>Q3-2025</v>
      </c>
      <c r="E7" s="4">
        <v>45918</v>
      </c>
      <c r="F7" s="12">
        <f t="shared" si="0"/>
        <v>45918</v>
      </c>
      <c r="G7" s="13">
        <f t="shared" si="1"/>
        <v>3</v>
      </c>
      <c r="H7" t="s">
        <v>648</v>
      </c>
      <c r="I7" t="s">
        <v>655</v>
      </c>
      <c r="J7" t="s">
        <v>692</v>
      </c>
      <c r="K7" t="s">
        <v>703</v>
      </c>
      <c r="L7" t="s">
        <v>711</v>
      </c>
      <c r="M7" t="s">
        <v>716</v>
      </c>
      <c r="N7" t="s">
        <v>733</v>
      </c>
      <c r="O7" t="s">
        <v>914</v>
      </c>
      <c r="P7" s="6">
        <v>5.5</v>
      </c>
      <c r="Q7" s="6">
        <v>5.92</v>
      </c>
      <c r="R7" s="10">
        <v>0.21199999999999999</v>
      </c>
      <c r="S7" s="10" t="b">
        <f t="shared" si="4"/>
        <v>0</v>
      </c>
      <c r="T7" s="8">
        <v>4</v>
      </c>
      <c r="U7">
        <f t="shared" si="5"/>
        <v>18.659839999999999</v>
      </c>
      <c r="V7">
        <f t="shared" si="6"/>
        <v>22</v>
      </c>
      <c r="W7">
        <f t="shared" si="7"/>
        <v>-3.3401600000000009</v>
      </c>
      <c r="X7" s="10">
        <f t="shared" si="8"/>
        <v>-0.17900260666758133</v>
      </c>
      <c r="Y7" t="str">
        <f t="shared" si="9"/>
        <v>Low</v>
      </c>
      <c r="Z7" t="str">
        <f t="shared" si="10"/>
        <v>Met</v>
      </c>
      <c r="AA7" t="str">
        <f t="shared" si="11"/>
        <v>High Discount</v>
      </c>
      <c r="AB7" s="10">
        <f>MIN(R7,ControlPanel!$B$5)</f>
        <v>0.2</v>
      </c>
      <c r="AC7">
        <f>P7*(1+ControlPanel!$B$6)</f>
        <v>5.7750000000000004</v>
      </c>
      <c r="AD7">
        <f>T7*(1+ControlPanel!$B$7)</f>
        <v>4.4000000000000004</v>
      </c>
      <c r="AE7" s="6">
        <f t="shared" si="12"/>
        <v>20.8384</v>
      </c>
      <c r="AF7">
        <f t="shared" si="13"/>
        <v>-4.5716000000000037</v>
      </c>
    </row>
    <row r="8" spans="1:32" x14ac:dyDescent="0.3">
      <c r="A8" t="s">
        <v>300</v>
      </c>
      <c r="B8" s="4">
        <v>45751</v>
      </c>
      <c r="C8" s="4" t="str">
        <f t="shared" si="2"/>
        <v>Apr-2025</v>
      </c>
      <c r="D8" t="str">
        <f t="shared" si="3"/>
        <v>Q2-2025</v>
      </c>
      <c r="E8" s="4">
        <v>45760</v>
      </c>
      <c r="F8" s="12">
        <f t="shared" si="0"/>
        <v>45760</v>
      </c>
      <c r="G8" s="13">
        <f t="shared" si="1"/>
        <v>9</v>
      </c>
      <c r="H8" t="s">
        <v>649</v>
      </c>
      <c r="I8" t="s">
        <v>656</v>
      </c>
      <c r="J8" t="s">
        <v>684</v>
      </c>
      <c r="K8" t="s">
        <v>704</v>
      </c>
      <c r="L8" t="s">
        <v>709</v>
      </c>
      <c r="M8" t="s">
        <v>721</v>
      </c>
      <c r="N8" t="s">
        <v>730</v>
      </c>
      <c r="O8" t="s">
        <v>1020</v>
      </c>
      <c r="P8" s="6">
        <v>7.02</v>
      </c>
      <c r="Q8" s="6">
        <v>6.28</v>
      </c>
      <c r="R8" s="10">
        <v>0.13400000000000001</v>
      </c>
      <c r="S8" s="10" t="b">
        <f t="shared" si="4"/>
        <v>0</v>
      </c>
      <c r="T8" s="8">
        <v>14</v>
      </c>
      <c r="U8">
        <f t="shared" si="5"/>
        <v>76.138720000000006</v>
      </c>
      <c r="V8">
        <f t="shared" si="6"/>
        <v>98.28</v>
      </c>
      <c r="W8">
        <f t="shared" si="7"/>
        <v>-22.141279999999995</v>
      </c>
      <c r="X8" s="10">
        <f t="shared" si="8"/>
        <v>-0.29080184169106066</v>
      </c>
      <c r="Y8" t="str">
        <f t="shared" si="9"/>
        <v>Low</v>
      </c>
      <c r="Z8" t="str">
        <f t="shared" si="10"/>
        <v>Not Met</v>
      </c>
      <c r="AA8" t="str">
        <f t="shared" si="11"/>
        <v>Low Discount</v>
      </c>
      <c r="AB8" s="10">
        <f>MIN(R8,ControlPanel!$B$5)</f>
        <v>0.13400000000000001</v>
      </c>
      <c r="AC8">
        <f>P8*(1+ControlPanel!$B$6)</f>
        <v>7.3709999999999996</v>
      </c>
      <c r="AD8">
        <f>T8*(1+ControlPanel!$B$7)</f>
        <v>15.400000000000002</v>
      </c>
      <c r="AE8" s="6">
        <f t="shared" si="12"/>
        <v>83.752592000000021</v>
      </c>
      <c r="AF8">
        <f t="shared" si="13"/>
        <v>-29.760807999999983</v>
      </c>
    </row>
    <row r="9" spans="1:32" x14ac:dyDescent="0.3">
      <c r="A9" t="s">
        <v>187</v>
      </c>
      <c r="B9" s="4">
        <v>44981</v>
      </c>
      <c r="C9" s="4" t="str">
        <f t="shared" si="2"/>
        <v>Feb-2023</v>
      </c>
      <c r="D9" t="str">
        <f t="shared" si="3"/>
        <v>Q1-2023</v>
      </c>
      <c r="E9" s="4">
        <v>44994</v>
      </c>
      <c r="F9" s="12">
        <f t="shared" si="0"/>
        <v>44994</v>
      </c>
      <c r="G9" s="13">
        <f t="shared" si="1"/>
        <v>13</v>
      </c>
      <c r="H9" t="s">
        <v>648</v>
      </c>
      <c r="I9" t="s">
        <v>660</v>
      </c>
      <c r="J9" t="s">
        <v>700</v>
      </c>
      <c r="K9" t="s">
        <v>706</v>
      </c>
      <c r="L9" t="s">
        <v>708</v>
      </c>
      <c r="M9" t="s">
        <v>724</v>
      </c>
      <c r="N9" t="s">
        <v>727</v>
      </c>
      <c r="O9" t="s">
        <v>906</v>
      </c>
      <c r="P9" s="6">
        <v>6.85</v>
      </c>
      <c r="Q9" s="6">
        <v>10.18</v>
      </c>
      <c r="R9" s="10">
        <v>4.7E-2</v>
      </c>
      <c r="S9" s="10" t="b">
        <f t="shared" si="4"/>
        <v>0</v>
      </c>
      <c r="T9" s="8">
        <v>10</v>
      </c>
      <c r="U9">
        <f t="shared" si="5"/>
        <v>97.0154</v>
      </c>
      <c r="V9">
        <f t="shared" si="6"/>
        <v>68.5</v>
      </c>
      <c r="W9">
        <f t="shared" si="7"/>
        <v>28.5154</v>
      </c>
      <c r="X9" s="10">
        <f t="shared" si="8"/>
        <v>0.2939265312517394</v>
      </c>
      <c r="Y9" t="str">
        <f t="shared" si="9"/>
        <v>Low</v>
      </c>
      <c r="Z9" t="str">
        <f t="shared" si="10"/>
        <v>Not Met</v>
      </c>
      <c r="AA9" t="str">
        <f t="shared" si="11"/>
        <v>Low Discount</v>
      </c>
      <c r="AB9" s="10">
        <f>MIN(R9,ControlPanel!$B$5)</f>
        <v>4.7E-2</v>
      </c>
      <c r="AC9">
        <f>P9*(1+ControlPanel!$B$6)</f>
        <v>7.1924999999999999</v>
      </c>
      <c r="AD9">
        <f>T9*(1+ControlPanel!$B$7)</f>
        <v>11</v>
      </c>
      <c r="AE9" s="6">
        <f t="shared" si="12"/>
        <v>106.71693999999999</v>
      </c>
      <c r="AF9">
        <f t="shared" si="13"/>
        <v>27.599440000000001</v>
      </c>
    </row>
    <row r="10" spans="1:32" x14ac:dyDescent="0.3">
      <c r="A10" t="s">
        <v>507</v>
      </c>
      <c r="B10" s="4">
        <v>45352</v>
      </c>
      <c r="C10" s="4" t="str">
        <f t="shared" si="2"/>
        <v>Mar-2024</v>
      </c>
      <c r="D10" t="str">
        <f t="shared" si="3"/>
        <v>Q1-2024</v>
      </c>
      <c r="E10" s="4">
        <v>45351</v>
      </c>
      <c r="F10" s="12">
        <f t="shared" si="0"/>
        <v>45366</v>
      </c>
      <c r="G10" s="13">
        <f t="shared" si="1"/>
        <v>14</v>
      </c>
      <c r="H10" t="s">
        <v>648</v>
      </c>
      <c r="I10" t="s">
        <v>655</v>
      </c>
      <c r="J10" t="s">
        <v>670</v>
      </c>
      <c r="K10" t="s">
        <v>703</v>
      </c>
      <c r="L10" t="s">
        <v>711</v>
      </c>
      <c r="M10" t="s">
        <v>714</v>
      </c>
      <c r="N10" t="s">
        <v>730</v>
      </c>
      <c r="O10" t="s">
        <v>1226</v>
      </c>
      <c r="P10" s="6">
        <v>5.34</v>
      </c>
      <c r="Q10" s="6">
        <v>12.69</v>
      </c>
      <c r="R10" s="10">
        <v>0.13200000000000001</v>
      </c>
      <c r="S10" s="10" t="b">
        <f t="shared" si="4"/>
        <v>0</v>
      </c>
      <c r="T10" s="8">
        <v>10</v>
      </c>
      <c r="U10">
        <f t="shared" si="5"/>
        <v>110.14920000000001</v>
      </c>
      <c r="V10">
        <f t="shared" si="6"/>
        <v>53.4</v>
      </c>
      <c r="W10">
        <f t="shared" si="7"/>
        <v>56.749200000000009</v>
      </c>
      <c r="X10" s="10">
        <f t="shared" si="8"/>
        <v>0.51520301554618653</v>
      </c>
      <c r="Y10" t="str">
        <f t="shared" si="9"/>
        <v>Low</v>
      </c>
      <c r="Z10" t="str">
        <f t="shared" si="10"/>
        <v>Not Met</v>
      </c>
      <c r="AA10" t="str">
        <f t="shared" si="11"/>
        <v>Low Discount</v>
      </c>
      <c r="AB10" s="10">
        <f>MIN(R10,ControlPanel!$B$5)</f>
        <v>0.13200000000000001</v>
      </c>
      <c r="AC10">
        <f>P10*(1+ControlPanel!$B$6)</f>
        <v>5.6070000000000002</v>
      </c>
      <c r="AD10">
        <f>T10*(1+ControlPanel!$B$7)</f>
        <v>11</v>
      </c>
      <c r="AE10" s="6">
        <f t="shared" si="12"/>
        <v>121.16412</v>
      </c>
      <c r="AF10">
        <f t="shared" si="13"/>
        <v>59.487119999999997</v>
      </c>
    </row>
    <row r="11" spans="1:32" x14ac:dyDescent="0.3">
      <c r="A11" t="s">
        <v>121</v>
      </c>
      <c r="B11" s="4">
        <v>45057</v>
      </c>
      <c r="C11" s="4" t="str">
        <f t="shared" si="2"/>
        <v>May-2023</v>
      </c>
      <c r="D11" t="str">
        <f t="shared" si="3"/>
        <v>Q2-2023</v>
      </c>
      <c r="E11" s="4">
        <v>45084</v>
      </c>
      <c r="F11" s="12">
        <f t="shared" si="0"/>
        <v>45084</v>
      </c>
      <c r="G11" s="13">
        <f t="shared" si="1"/>
        <v>27</v>
      </c>
      <c r="H11" t="s">
        <v>646</v>
      </c>
      <c r="I11" t="s">
        <v>650</v>
      </c>
      <c r="J11" t="s">
        <v>675</v>
      </c>
      <c r="K11" t="s">
        <v>701</v>
      </c>
      <c r="L11" t="s">
        <v>708</v>
      </c>
      <c r="M11" t="s">
        <v>713</v>
      </c>
      <c r="N11" t="s">
        <v>730</v>
      </c>
      <c r="O11" t="s">
        <v>840</v>
      </c>
      <c r="P11" s="6">
        <v>12.85</v>
      </c>
      <c r="Q11" s="6">
        <v>15.41</v>
      </c>
      <c r="R11" s="10">
        <v>0.13700000000000001</v>
      </c>
      <c r="S11" s="10" t="b">
        <f t="shared" si="4"/>
        <v>0</v>
      </c>
      <c r="T11" s="8">
        <v>39</v>
      </c>
      <c r="U11">
        <f t="shared" si="5"/>
        <v>518.65436999999997</v>
      </c>
      <c r="V11">
        <f t="shared" si="6"/>
        <v>501.15</v>
      </c>
      <c r="W11">
        <f t="shared" si="7"/>
        <v>17.504369999999994</v>
      </c>
      <c r="X11" s="10">
        <f t="shared" si="8"/>
        <v>3.3749585489851353E-2</v>
      </c>
      <c r="Y11" t="str">
        <f t="shared" si="9"/>
        <v>Low</v>
      </c>
      <c r="Z11" t="str">
        <f t="shared" si="10"/>
        <v>Not Met</v>
      </c>
      <c r="AA11" t="str">
        <f t="shared" si="11"/>
        <v>Low Discount</v>
      </c>
      <c r="AB11" s="10">
        <f>MIN(R11,ControlPanel!$B$5)</f>
        <v>0.13700000000000001</v>
      </c>
      <c r="AC11">
        <f>P11*(1+ControlPanel!$B$6)</f>
        <v>13.4925</v>
      </c>
      <c r="AD11">
        <f>T11*(1+ControlPanel!$B$7)</f>
        <v>42.900000000000006</v>
      </c>
      <c r="AE11" s="6">
        <f t="shared" si="12"/>
        <v>570.51980700000013</v>
      </c>
      <c r="AF11">
        <f t="shared" si="13"/>
        <v>-8.3084429999998974</v>
      </c>
    </row>
    <row r="12" spans="1:32" x14ac:dyDescent="0.3">
      <c r="A12" t="s">
        <v>192</v>
      </c>
      <c r="B12" s="4">
        <v>45325</v>
      </c>
      <c r="C12" s="4" t="str">
        <f t="shared" si="2"/>
        <v>Feb-2024</v>
      </c>
      <c r="D12" t="str">
        <f t="shared" si="3"/>
        <v>Q1-2024</v>
      </c>
      <c r="E12" s="4">
        <v>45343</v>
      </c>
      <c r="F12" s="12">
        <f t="shared" si="0"/>
        <v>45343</v>
      </c>
      <c r="G12" s="13">
        <f t="shared" si="1"/>
        <v>18</v>
      </c>
      <c r="H12" t="s">
        <v>649</v>
      </c>
      <c r="I12" t="s">
        <v>656</v>
      </c>
      <c r="J12" t="s">
        <v>698</v>
      </c>
      <c r="K12" t="s">
        <v>701</v>
      </c>
      <c r="L12" t="s">
        <v>707</v>
      </c>
      <c r="M12" t="s">
        <v>722</v>
      </c>
      <c r="N12" t="s">
        <v>727</v>
      </c>
      <c r="O12" t="s">
        <v>911</v>
      </c>
      <c r="P12" s="6">
        <v>39.229999999999997</v>
      </c>
      <c r="Q12" s="6">
        <v>30.09</v>
      </c>
      <c r="R12" s="10">
        <v>0.17699999999999999</v>
      </c>
      <c r="S12" s="10" t="b">
        <f t="shared" si="4"/>
        <v>0</v>
      </c>
      <c r="T12" s="8">
        <v>13</v>
      </c>
      <c r="U12">
        <f t="shared" si="5"/>
        <v>321.93290999999999</v>
      </c>
      <c r="V12">
        <f t="shared" si="6"/>
        <v>509.98999999999995</v>
      </c>
      <c r="W12">
        <f t="shared" si="7"/>
        <v>-188.05708999999996</v>
      </c>
      <c r="X12" s="10">
        <f t="shared" si="8"/>
        <v>-0.58414993981199359</v>
      </c>
      <c r="Y12" t="str">
        <f t="shared" si="9"/>
        <v>Low</v>
      </c>
      <c r="Z12" t="str">
        <f t="shared" si="10"/>
        <v>Not Met</v>
      </c>
      <c r="AA12" t="str">
        <f t="shared" si="11"/>
        <v>Low Discount</v>
      </c>
      <c r="AB12" s="10">
        <f>MIN(R12,ControlPanel!$B$5)</f>
        <v>0.17699999999999999</v>
      </c>
      <c r="AC12">
        <f>P12*(1+ControlPanel!$B$6)</f>
        <v>41.191499999999998</v>
      </c>
      <c r="AD12">
        <f>T12*(1+ControlPanel!$B$7)</f>
        <v>14.3</v>
      </c>
      <c r="AE12" s="6">
        <f t="shared" si="12"/>
        <v>354.12620100000004</v>
      </c>
      <c r="AF12">
        <f t="shared" si="13"/>
        <v>-234.91224899999997</v>
      </c>
    </row>
    <row r="13" spans="1:32" x14ac:dyDescent="0.3">
      <c r="A13" t="s">
        <v>261</v>
      </c>
      <c r="B13" s="4">
        <v>45769</v>
      </c>
      <c r="C13" s="4" t="str">
        <f t="shared" si="2"/>
        <v>Apr-2025</v>
      </c>
      <c r="D13" t="str">
        <f t="shared" si="3"/>
        <v>Q2-2025</v>
      </c>
      <c r="E13" s="4">
        <v>45779</v>
      </c>
      <c r="F13" s="12">
        <f t="shared" si="0"/>
        <v>45779</v>
      </c>
      <c r="G13" s="13">
        <f t="shared" si="1"/>
        <v>10</v>
      </c>
      <c r="H13" t="s">
        <v>649</v>
      </c>
      <c r="I13" t="s">
        <v>656</v>
      </c>
      <c r="J13" t="s">
        <v>671</v>
      </c>
      <c r="K13" t="s">
        <v>701</v>
      </c>
      <c r="L13" t="s">
        <v>709</v>
      </c>
      <c r="M13" t="s">
        <v>712</v>
      </c>
      <c r="N13" t="s">
        <v>732</v>
      </c>
      <c r="O13" t="s">
        <v>981</v>
      </c>
      <c r="P13" s="6">
        <v>20.149999999999999</v>
      </c>
      <c r="Q13" s="6">
        <v>39.74</v>
      </c>
      <c r="R13" s="10">
        <v>0.151</v>
      </c>
      <c r="S13" s="10" t="b">
        <f t="shared" si="4"/>
        <v>0</v>
      </c>
      <c r="T13" s="8">
        <v>18</v>
      </c>
      <c r="U13">
        <f t="shared" si="5"/>
        <v>607.30668000000003</v>
      </c>
      <c r="V13">
        <f t="shared" si="6"/>
        <v>362.7</v>
      </c>
      <c r="W13">
        <f t="shared" si="7"/>
        <v>244.60668000000004</v>
      </c>
      <c r="X13" s="10">
        <f t="shared" si="8"/>
        <v>0.4027729120318585</v>
      </c>
      <c r="Y13" t="str">
        <f t="shared" si="9"/>
        <v>Low</v>
      </c>
      <c r="Z13" t="str">
        <f t="shared" si="10"/>
        <v>Not Met</v>
      </c>
      <c r="AA13" t="str">
        <f t="shared" si="11"/>
        <v>Low Discount</v>
      </c>
      <c r="AB13" s="10">
        <f>MIN(R13,ControlPanel!$B$5)</f>
        <v>0.151</v>
      </c>
      <c r="AC13">
        <f>P13*(1+ControlPanel!$B$6)</f>
        <v>21.157499999999999</v>
      </c>
      <c r="AD13">
        <f>T13*(1+ControlPanel!$B$7)</f>
        <v>19.8</v>
      </c>
      <c r="AE13" s="6">
        <f t="shared" si="12"/>
        <v>668.03734800000007</v>
      </c>
      <c r="AF13">
        <f t="shared" si="13"/>
        <v>249.11884800000007</v>
      </c>
    </row>
    <row r="14" spans="1:32" x14ac:dyDescent="0.3">
      <c r="A14" t="s">
        <v>69</v>
      </c>
      <c r="B14" s="4">
        <v>45168</v>
      </c>
      <c r="C14" s="4" t="str">
        <f t="shared" si="2"/>
        <v>Aug-2023</v>
      </c>
      <c r="D14" t="str">
        <f t="shared" si="3"/>
        <v>Q3-2023</v>
      </c>
      <c r="E14" s="4">
        <v>45170</v>
      </c>
      <c r="F14" s="12">
        <f t="shared" si="0"/>
        <v>45170</v>
      </c>
      <c r="G14" s="13">
        <f t="shared" si="1"/>
        <v>2</v>
      </c>
      <c r="H14" t="s">
        <v>649</v>
      </c>
      <c r="I14" t="s">
        <v>656</v>
      </c>
      <c r="J14" t="s">
        <v>684</v>
      </c>
      <c r="K14" t="s">
        <v>701</v>
      </c>
      <c r="L14" t="s">
        <v>711</v>
      </c>
      <c r="M14" t="s">
        <v>725</v>
      </c>
      <c r="N14" t="s">
        <v>729</v>
      </c>
      <c r="O14" t="s">
        <v>788</v>
      </c>
      <c r="P14" s="6">
        <v>44.42</v>
      </c>
      <c r="Q14" s="6">
        <v>41.9</v>
      </c>
      <c r="R14" s="10">
        <v>0.14399999999999999</v>
      </c>
      <c r="S14" s="10" t="b">
        <f t="shared" si="4"/>
        <v>0</v>
      </c>
      <c r="T14" s="8">
        <v>6</v>
      </c>
      <c r="U14">
        <f t="shared" si="5"/>
        <v>215.19839999999999</v>
      </c>
      <c r="V14">
        <f t="shared" si="6"/>
        <v>266.52</v>
      </c>
      <c r="W14">
        <f t="shared" si="7"/>
        <v>-51.321599999999989</v>
      </c>
      <c r="X14" s="10">
        <f t="shared" si="8"/>
        <v>-0.23848504449847208</v>
      </c>
      <c r="Y14" t="str">
        <f t="shared" si="9"/>
        <v>Low</v>
      </c>
      <c r="Z14" t="str">
        <f t="shared" si="10"/>
        <v>Met</v>
      </c>
      <c r="AA14" t="str">
        <f t="shared" si="11"/>
        <v>Low Discount</v>
      </c>
      <c r="AB14" s="10">
        <f>MIN(R14,ControlPanel!$B$5)</f>
        <v>0.14399999999999999</v>
      </c>
      <c r="AC14">
        <f>P14*(1+ControlPanel!$B$6)</f>
        <v>46.641000000000005</v>
      </c>
      <c r="AD14">
        <f>T14*(1+ControlPanel!$B$7)</f>
        <v>6.6000000000000005</v>
      </c>
      <c r="AE14" s="6">
        <f t="shared" si="12"/>
        <v>236.71824000000001</v>
      </c>
      <c r="AF14">
        <f t="shared" si="13"/>
        <v>-71.112360000000052</v>
      </c>
    </row>
    <row r="15" spans="1:32" x14ac:dyDescent="0.3">
      <c r="A15" t="s">
        <v>403</v>
      </c>
      <c r="B15" s="4">
        <v>45225</v>
      </c>
      <c r="C15" s="4" t="str">
        <f t="shared" si="2"/>
        <v>Oct-2023</v>
      </c>
      <c r="D15" t="str">
        <f t="shared" si="3"/>
        <v>Q4-2023</v>
      </c>
      <c r="E15" s="4">
        <v>45235</v>
      </c>
      <c r="F15" s="12">
        <f t="shared" si="0"/>
        <v>45235</v>
      </c>
      <c r="G15" s="13">
        <f t="shared" si="1"/>
        <v>10</v>
      </c>
      <c r="H15" t="s">
        <v>646</v>
      </c>
      <c r="I15" t="s">
        <v>661</v>
      </c>
      <c r="J15" t="s">
        <v>695</v>
      </c>
      <c r="K15" t="s">
        <v>703</v>
      </c>
      <c r="L15" t="s">
        <v>708</v>
      </c>
      <c r="M15" t="s">
        <v>714</v>
      </c>
      <c r="N15" t="s">
        <v>731</v>
      </c>
      <c r="O15" t="s">
        <v>1122</v>
      </c>
      <c r="P15" s="6">
        <v>20.38</v>
      </c>
      <c r="Q15" s="6">
        <v>42.56</v>
      </c>
      <c r="R15" s="10">
        <v>7.1999999999999995E-2</v>
      </c>
      <c r="S15" s="10" t="b">
        <f t="shared" si="4"/>
        <v>0</v>
      </c>
      <c r="T15" s="8">
        <v>11</v>
      </c>
      <c r="U15">
        <f t="shared" si="5"/>
        <v>434.45248000000009</v>
      </c>
      <c r="V15">
        <f t="shared" si="6"/>
        <v>224.17999999999998</v>
      </c>
      <c r="W15">
        <f t="shared" si="7"/>
        <v>210.27248000000012</v>
      </c>
      <c r="X15" s="10">
        <f t="shared" si="8"/>
        <v>0.48399419885921718</v>
      </c>
      <c r="Y15" t="str">
        <f t="shared" si="9"/>
        <v>Low</v>
      </c>
      <c r="Z15" t="str">
        <f t="shared" si="10"/>
        <v>Not Met</v>
      </c>
      <c r="AA15" t="str">
        <f t="shared" si="11"/>
        <v>Low Discount</v>
      </c>
      <c r="AB15" s="10">
        <f>MIN(R15,ControlPanel!$B$5)</f>
        <v>7.1999999999999995E-2</v>
      </c>
      <c r="AC15">
        <f>P15*(1+ControlPanel!$B$6)</f>
        <v>21.399000000000001</v>
      </c>
      <c r="AD15">
        <f>T15*(1+ControlPanel!$B$7)</f>
        <v>12.100000000000001</v>
      </c>
      <c r="AE15" s="6">
        <f t="shared" si="12"/>
        <v>477.89772800000014</v>
      </c>
      <c r="AF15">
        <f t="shared" si="13"/>
        <v>218.96982800000012</v>
      </c>
    </row>
    <row r="16" spans="1:32" x14ac:dyDescent="0.3">
      <c r="A16" t="s">
        <v>98</v>
      </c>
      <c r="B16" s="4">
        <v>45770</v>
      </c>
      <c r="C16" s="4" t="str">
        <f t="shared" si="2"/>
        <v>Apr-2025</v>
      </c>
      <c r="D16" t="str">
        <f t="shared" si="3"/>
        <v>Q2-2025</v>
      </c>
      <c r="E16" s="4">
        <v>45769</v>
      </c>
      <c r="F16" s="12">
        <f t="shared" si="0"/>
        <v>45784</v>
      </c>
      <c r="G16" s="13">
        <f t="shared" si="1"/>
        <v>14</v>
      </c>
      <c r="H16" t="s">
        <v>648</v>
      </c>
      <c r="I16" t="s">
        <v>660</v>
      </c>
      <c r="J16" t="s">
        <v>686</v>
      </c>
      <c r="K16" t="s">
        <v>703</v>
      </c>
      <c r="L16" t="s">
        <v>710</v>
      </c>
      <c r="M16" t="s">
        <v>726</v>
      </c>
      <c r="N16" t="s">
        <v>732</v>
      </c>
      <c r="O16" t="s">
        <v>817</v>
      </c>
      <c r="P16" s="6">
        <v>23.24</v>
      </c>
      <c r="Q16" s="6">
        <v>44.57</v>
      </c>
      <c r="R16" s="10">
        <v>0.215</v>
      </c>
      <c r="S16" s="10" t="b">
        <f t="shared" si="4"/>
        <v>0</v>
      </c>
      <c r="T16" s="8">
        <v>15</v>
      </c>
      <c r="U16">
        <f t="shared" si="5"/>
        <v>524.81175000000007</v>
      </c>
      <c r="V16">
        <f t="shared" si="6"/>
        <v>348.59999999999997</v>
      </c>
      <c r="W16">
        <f t="shared" si="7"/>
        <v>176.21175000000011</v>
      </c>
      <c r="X16" s="10">
        <f t="shared" si="8"/>
        <v>0.33576182316802183</v>
      </c>
      <c r="Y16" t="str">
        <f t="shared" si="9"/>
        <v>Low</v>
      </c>
      <c r="Z16" t="str">
        <f t="shared" si="10"/>
        <v>Not Met</v>
      </c>
      <c r="AA16" t="str">
        <f t="shared" si="11"/>
        <v>High Discount</v>
      </c>
      <c r="AB16" s="10">
        <f>MIN(R16,ControlPanel!$B$5)</f>
        <v>0.2</v>
      </c>
      <c r="AC16">
        <f>P16*(1+ControlPanel!$B$6)</f>
        <v>24.402000000000001</v>
      </c>
      <c r="AD16">
        <f>T16*(1+ControlPanel!$B$7)</f>
        <v>16.5</v>
      </c>
      <c r="AE16" s="6">
        <f t="shared" si="12"/>
        <v>588.32399999999996</v>
      </c>
      <c r="AF16">
        <f t="shared" si="13"/>
        <v>185.69099999999992</v>
      </c>
    </row>
    <row r="17" spans="1:32" x14ac:dyDescent="0.3">
      <c r="A17" t="s">
        <v>142</v>
      </c>
      <c r="B17" s="4">
        <v>45874</v>
      </c>
      <c r="C17" s="4" t="str">
        <f t="shared" si="2"/>
        <v>Aug-2025</v>
      </c>
      <c r="D17" t="str">
        <f t="shared" si="3"/>
        <v>Q3-2025</v>
      </c>
      <c r="E17" s="4">
        <v>45883</v>
      </c>
      <c r="F17" s="12">
        <f t="shared" si="0"/>
        <v>45883</v>
      </c>
      <c r="G17" s="13">
        <f t="shared" si="1"/>
        <v>9</v>
      </c>
      <c r="H17" t="s">
        <v>649</v>
      </c>
      <c r="I17" t="s">
        <v>658</v>
      </c>
      <c r="J17" t="s">
        <v>683</v>
      </c>
      <c r="K17" t="s">
        <v>703</v>
      </c>
      <c r="L17" t="s">
        <v>711</v>
      </c>
      <c r="M17" t="s">
        <v>718</v>
      </c>
      <c r="N17" t="s">
        <v>727</v>
      </c>
      <c r="O17" t="s">
        <v>861</v>
      </c>
      <c r="P17" s="6">
        <v>41.76</v>
      </c>
      <c r="Q17" s="6">
        <v>45.19</v>
      </c>
      <c r="R17" s="10">
        <v>0.17899999999999999</v>
      </c>
      <c r="S17" s="10" t="b">
        <f t="shared" si="4"/>
        <v>0</v>
      </c>
      <c r="T17" s="8">
        <v>23</v>
      </c>
      <c r="U17">
        <f t="shared" si="5"/>
        <v>853.32276999999988</v>
      </c>
      <c r="V17">
        <f t="shared" si="6"/>
        <v>960.4799999999999</v>
      </c>
      <c r="W17">
        <f t="shared" si="7"/>
        <v>-107.15723000000003</v>
      </c>
      <c r="X17" s="10">
        <f t="shared" si="8"/>
        <v>-0.12557643340514638</v>
      </c>
      <c r="Y17" t="str">
        <f t="shared" si="9"/>
        <v>Low</v>
      </c>
      <c r="Z17" t="str">
        <f t="shared" si="10"/>
        <v>Not Met</v>
      </c>
      <c r="AA17" t="str">
        <f t="shared" si="11"/>
        <v>Low Discount</v>
      </c>
      <c r="AB17" s="10">
        <f>MIN(R17,ControlPanel!$B$5)</f>
        <v>0.17899999999999999</v>
      </c>
      <c r="AC17">
        <f>P17*(1+ControlPanel!$B$6)</f>
        <v>43.847999999999999</v>
      </c>
      <c r="AD17">
        <f>T17*(1+ControlPanel!$B$7)</f>
        <v>25.3</v>
      </c>
      <c r="AE17" s="6">
        <f t="shared" si="12"/>
        <v>938.65504699999997</v>
      </c>
      <c r="AF17">
        <f t="shared" si="13"/>
        <v>-170.69935299999997</v>
      </c>
    </row>
    <row r="18" spans="1:32" x14ac:dyDescent="0.3">
      <c r="A18" t="s">
        <v>645</v>
      </c>
      <c r="B18" s="4">
        <v>45716</v>
      </c>
      <c r="C18" s="4" t="str">
        <f t="shared" si="2"/>
        <v>Feb-2025</v>
      </c>
      <c r="D18" t="str">
        <f t="shared" si="3"/>
        <v>Q1-2025</v>
      </c>
      <c r="E18" s="4">
        <v>45726</v>
      </c>
      <c r="F18" s="12">
        <f t="shared" si="0"/>
        <v>45726</v>
      </c>
      <c r="G18" s="13">
        <f t="shared" si="1"/>
        <v>10</v>
      </c>
      <c r="H18" t="s">
        <v>647</v>
      </c>
      <c r="I18" t="s">
        <v>652</v>
      </c>
      <c r="J18" t="s">
        <v>666</v>
      </c>
      <c r="K18" t="s">
        <v>702</v>
      </c>
      <c r="L18" t="s">
        <v>710</v>
      </c>
      <c r="M18" t="s">
        <v>725</v>
      </c>
      <c r="N18" t="s">
        <v>731</v>
      </c>
      <c r="O18" t="s">
        <v>1363</v>
      </c>
      <c r="P18" s="6">
        <v>51.86</v>
      </c>
      <c r="Q18" s="6">
        <v>45.98</v>
      </c>
      <c r="R18" s="10">
        <v>0.17299999999999999</v>
      </c>
      <c r="S18" s="10" t="b">
        <f t="shared" si="4"/>
        <v>0</v>
      </c>
      <c r="T18" s="8">
        <v>7</v>
      </c>
      <c r="U18">
        <f t="shared" si="5"/>
        <v>266.17821999999995</v>
      </c>
      <c r="V18">
        <f t="shared" si="6"/>
        <v>363.02</v>
      </c>
      <c r="W18">
        <f t="shared" si="7"/>
        <v>-96.841780000000028</v>
      </c>
      <c r="X18" s="10">
        <f t="shared" si="8"/>
        <v>-0.3638230806412337</v>
      </c>
      <c r="Y18" t="str">
        <f t="shared" si="9"/>
        <v>Low</v>
      </c>
      <c r="Z18" t="str">
        <f t="shared" si="10"/>
        <v>Not Met</v>
      </c>
      <c r="AA18" t="str">
        <f t="shared" si="11"/>
        <v>Low Discount</v>
      </c>
      <c r="AB18" s="10">
        <f>MIN(R18,ControlPanel!$B$5)</f>
        <v>0.17299999999999999</v>
      </c>
      <c r="AC18">
        <f>P18*(1+ControlPanel!$B$6)</f>
        <v>54.453000000000003</v>
      </c>
      <c r="AD18">
        <f>T18*(1+ControlPanel!$B$7)</f>
        <v>7.7000000000000011</v>
      </c>
      <c r="AE18" s="6">
        <f t="shared" si="12"/>
        <v>292.796042</v>
      </c>
      <c r="AF18">
        <f t="shared" si="13"/>
        <v>-126.4920580000001</v>
      </c>
    </row>
    <row r="19" spans="1:32" x14ac:dyDescent="0.3">
      <c r="A19" t="s">
        <v>22</v>
      </c>
      <c r="B19" s="4">
        <v>44941</v>
      </c>
      <c r="C19" s="4" t="str">
        <f t="shared" si="2"/>
        <v>Jan-2023</v>
      </c>
      <c r="D19" t="str">
        <f t="shared" si="3"/>
        <v>Q1-2023</v>
      </c>
      <c r="E19" s="4">
        <v>44939</v>
      </c>
      <c r="F19" s="12">
        <f t="shared" si="0"/>
        <v>44955</v>
      </c>
      <c r="G19" s="13">
        <f t="shared" si="1"/>
        <v>14</v>
      </c>
      <c r="H19" t="s">
        <v>646</v>
      </c>
      <c r="I19" t="s">
        <v>651</v>
      </c>
      <c r="J19" t="s">
        <v>669</v>
      </c>
      <c r="K19" t="s">
        <v>702</v>
      </c>
      <c r="L19" t="s">
        <v>708</v>
      </c>
      <c r="M19" t="s">
        <v>719</v>
      </c>
      <c r="N19" t="s">
        <v>728</v>
      </c>
      <c r="O19" t="s">
        <v>741</v>
      </c>
      <c r="P19" s="6">
        <v>28.38</v>
      </c>
      <c r="Q19" s="6">
        <v>47.22</v>
      </c>
      <c r="R19" s="10">
        <v>0.19400000000000001</v>
      </c>
      <c r="S19" s="10" t="b">
        <f t="shared" si="4"/>
        <v>0</v>
      </c>
      <c r="T19" s="8">
        <v>18</v>
      </c>
      <c r="U19">
        <f t="shared" si="5"/>
        <v>685.06776000000002</v>
      </c>
      <c r="V19">
        <f t="shared" si="6"/>
        <v>510.84</v>
      </c>
      <c r="W19">
        <f t="shared" si="7"/>
        <v>174.22776000000005</v>
      </c>
      <c r="X19" s="10">
        <f t="shared" si="8"/>
        <v>0.25432193743871417</v>
      </c>
      <c r="Y19" t="str">
        <f t="shared" si="9"/>
        <v>Low</v>
      </c>
      <c r="Z19" t="str">
        <f t="shared" si="10"/>
        <v>Not Met</v>
      </c>
      <c r="AA19" t="str">
        <f t="shared" si="11"/>
        <v>Low Discount</v>
      </c>
      <c r="AB19" s="10">
        <f>MIN(R19,ControlPanel!$B$5)</f>
        <v>0.19400000000000001</v>
      </c>
      <c r="AC19">
        <f>P19*(1+ControlPanel!$B$6)</f>
        <v>29.798999999999999</v>
      </c>
      <c r="AD19">
        <f>T19*(1+ControlPanel!$B$7)</f>
        <v>19.8</v>
      </c>
      <c r="AE19" s="6">
        <f t="shared" si="12"/>
        <v>753.57453599999997</v>
      </c>
      <c r="AF19">
        <f t="shared" si="13"/>
        <v>163.55433599999992</v>
      </c>
    </row>
    <row r="20" spans="1:32" x14ac:dyDescent="0.3">
      <c r="A20" t="s">
        <v>586</v>
      </c>
      <c r="B20" s="4">
        <v>45740</v>
      </c>
      <c r="C20" s="4" t="str">
        <f t="shared" si="2"/>
        <v>Mar-2025</v>
      </c>
      <c r="D20" t="str">
        <f t="shared" si="3"/>
        <v>Q1-2025</v>
      </c>
      <c r="E20" s="4">
        <v>45751</v>
      </c>
      <c r="F20" s="12">
        <f t="shared" si="0"/>
        <v>45751</v>
      </c>
      <c r="G20" s="13">
        <f t="shared" si="1"/>
        <v>11</v>
      </c>
      <c r="H20" t="s">
        <v>647</v>
      </c>
      <c r="I20" t="s">
        <v>654</v>
      </c>
      <c r="J20" t="s">
        <v>691</v>
      </c>
      <c r="K20" t="s">
        <v>702</v>
      </c>
      <c r="L20" t="s">
        <v>709</v>
      </c>
      <c r="M20" t="s">
        <v>713</v>
      </c>
      <c r="N20" t="s">
        <v>730</v>
      </c>
      <c r="O20" t="s">
        <v>1304</v>
      </c>
      <c r="P20" s="6">
        <v>23.83</v>
      </c>
      <c r="Q20" s="6">
        <v>47.29</v>
      </c>
      <c r="R20" s="10">
        <v>6.4000000000000001E-2</v>
      </c>
      <c r="S20" s="10" t="b">
        <f t="shared" si="4"/>
        <v>0</v>
      </c>
      <c r="T20" s="8">
        <v>19</v>
      </c>
      <c r="U20">
        <f t="shared" si="5"/>
        <v>841.00535999999988</v>
      </c>
      <c r="V20">
        <f t="shared" si="6"/>
        <v>452.77</v>
      </c>
      <c r="W20">
        <f t="shared" si="7"/>
        <v>388.2353599999999</v>
      </c>
      <c r="X20" s="10">
        <f t="shared" si="8"/>
        <v>0.46163244429262612</v>
      </c>
      <c r="Y20" t="str">
        <f t="shared" si="9"/>
        <v>Low</v>
      </c>
      <c r="Z20" t="str">
        <f t="shared" si="10"/>
        <v>Not Met</v>
      </c>
      <c r="AA20" t="str">
        <f t="shared" si="11"/>
        <v>Low Discount</v>
      </c>
      <c r="AB20" s="10">
        <f>MIN(R20,ControlPanel!$B$5)</f>
        <v>6.4000000000000001E-2</v>
      </c>
      <c r="AC20">
        <f>P20*(1+ControlPanel!$B$6)</f>
        <v>25.0215</v>
      </c>
      <c r="AD20">
        <f>T20*(1+ControlPanel!$B$7)</f>
        <v>20.900000000000002</v>
      </c>
      <c r="AE20" s="6">
        <f t="shared" si="12"/>
        <v>925.10589600000003</v>
      </c>
      <c r="AF20">
        <f t="shared" si="13"/>
        <v>402.15654599999993</v>
      </c>
    </row>
    <row r="21" spans="1:32" x14ac:dyDescent="0.3">
      <c r="A21" t="s">
        <v>244</v>
      </c>
      <c r="B21" s="4">
        <v>45069</v>
      </c>
      <c r="C21" s="4" t="str">
        <f t="shared" si="2"/>
        <v>May-2023</v>
      </c>
      <c r="D21" t="str">
        <f t="shared" si="3"/>
        <v>Q2-2023</v>
      </c>
      <c r="E21" s="4">
        <v>45087</v>
      </c>
      <c r="F21" s="12">
        <f t="shared" si="0"/>
        <v>45087</v>
      </c>
      <c r="G21" s="13">
        <f t="shared" si="1"/>
        <v>18</v>
      </c>
      <c r="H21" t="s">
        <v>647</v>
      </c>
      <c r="I21" t="s">
        <v>659</v>
      </c>
      <c r="J21" t="s">
        <v>685</v>
      </c>
      <c r="K21" t="s">
        <v>701</v>
      </c>
      <c r="L21" t="s">
        <v>710</v>
      </c>
      <c r="M21" t="s">
        <v>718</v>
      </c>
      <c r="N21" t="s">
        <v>727</v>
      </c>
      <c r="O21" t="s">
        <v>964</v>
      </c>
      <c r="P21" s="6">
        <v>54.62</v>
      </c>
      <c r="Q21" s="6">
        <v>48.94</v>
      </c>
      <c r="R21" s="10">
        <v>0.14799999999999999</v>
      </c>
      <c r="S21" s="10" t="b">
        <f t="shared" si="4"/>
        <v>0</v>
      </c>
      <c r="T21" s="8">
        <v>16</v>
      </c>
      <c r="U21">
        <f t="shared" si="5"/>
        <v>667.15008</v>
      </c>
      <c r="V21">
        <f t="shared" si="6"/>
        <v>873.92</v>
      </c>
      <c r="W21">
        <f t="shared" si="7"/>
        <v>-206.76991999999996</v>
      </c>
      <c r="X21" s="10">
        <f t="shared" si="8"/>
        <v>-0.3099301434543783</v>
      </c>
      <c r="Y21" t="str">
        <f t="shared" si="9"/>
        <v>Low</v>
      </c>
      <c r="Z21" t="str">
        <f t="shared" si="10"/>
        <v>Not Met</v>
      </c>
      <c r="AA21" t="str">
        <f t="shared" si="11"/>
        <v>Low Discount</v>
      </c>
      <c r="AB21" s="10">
        <f>MIN(R21,ControlPanel!$B$5)</f>
        <v>0.14799999999999999</v>
      </c>
      <c r="AC21">
        <f>P21*(1+ControlPanel!$B$6)</f>
        <v>57.350999999999999</v>
      </c>
      <c r="AD21">
        <f>T21*(1+ControlPanel!$B$7)</f>
        <v>17.600000000000001</v>
      </c>
      <c r="AE21" s="6">
        <f t="shared" si="12"/>
        <v>733.86508800000001</v>
      </c>
      <c r="AF21">
        <f t="shared" si="13"/>
        <v>-275.51251200000002</v>
      </c>
    </row>
    <row r="22" spans="1:32" x14ac:dyDescent="0.3">
      <c r="A22" t="s">
        <v>131</v>
      </c>
      <c r="B22" s="4">
        <v>45811</v>
      </c>
      <c r="C22" s="4" t="str">
        <f t="shared" si="2"/>
        <v>Jun-2025</v>
      </c>
      <c r="D22" t="str">
        <f t="shared" si="3"/>
        <v>Q2-2025</v>
      </c>
      <c r="E22" s="4">
        <v>45818</v>
      </c>
      <c r="F22" s="12">
        <f t="shared" si="0"/>
        <v>45818</v>
      </c>
      <c r="G22" s="13">
        <f t="shared" si="1"/>
        <v>7</v>
      </c>
      <c r="H22" t="s">
        <v>648</v>
      </c>
      <c r="I22" t="s">
        <v>653</v>
      </c>
      <c r="J22" t="s">
        <v>667</v>
      </c>
      <c r="K22" t="s">
        <v>704</v>
      </c>
      <c r="L22" t="s">
        <v>710</v>
      </c>
      <c r="M22" t="s">
        <v>719</v>
      </c>
      <c r="N22" t="s">
        <v>728</v>
      </c>
      <c r="O22" t="s">
        <v>850</v>
      </c>
      <c r="P22" s="6">
        <v>75.180000000000007</v>
      </c>
      <c r="Q22" s="6">
        <v>53.45</v>
      </c>
      <c r="R22" s="10">
        <v>0.157</v>
      </c>
      <c r="S22" s="10" t="b">
        <f t="shared" si="4"/>
        <v>0</v>
      </c>
      <c r="T22" s="8">
        <v>17</v>
      </c>
      <c r="U22">
        <f t="shared" si="5"/>
        <v>765.99195000000009</v>
      </c>
      <c r="V22">
        <f t="shared" si="6"/>
        <v>1278.0600000000002</v>
      </c>
      <c r="W22">
        <f t="shared" si="7"/>
        <v>-512.06805000000008</v>
      </c>
      <c r="X22" s="10">
        <f t="shared" si="8"/>
        <v>-0.66850317421743144</v>
      </c>
      <c r="Y22" t="str">
        <f t="shared" si="9"/>
        <v>Low</v>
      </c>
      <c r="Z22" t="str">
        <f t="shared" si="10"/>
        <v>Met</v>
      </c>
      <c r="AA22" t="str">
        <f t="shared" si="11"/>
        <v>Low Discount</v>
      </c>
      <c r="AB22" s="10">
        <f>MIN(R22,ControlPanel!$B$5)</f>
        <v>0.157</v>
      </c>
      <c r="AC22">
        <f>P22*(1+ControlPanel!$B$6)</f>
        <v>78.939000000000007</v>
      </c>
      <c r="AD22">
        <f>T22*(1+ControlPanel!$B$7)</f>
        <v>18.700000000000003</v>
      </c>
      <c r="AE22" s="6">
        <f t="shared" si="12"/>
        <v>842.59114500000021</v>
      </c>
      <c r="AF22">
        <f t="shared" si="13"/>
        <v>-633.56815500000005</v>
      </c>
    </row>
    <row r="23" spans="1:32" x14ac:dyDescent="0.3">
      <c r="A23" t="s">
        <v>325</v>
      </c>
      <c r="B23" s="4">
        <v>45435</v>
      </c>
      <c r="C23" s="4" t="str">
        <f t="shared" si="2"/>
        <v>May-2024</v>
      </c>
      <c r="D23" t="str">
        <f t="shared" si="3"/>
        <v>Q2-2024</v>
      </c>
      <c r="E23" s="4">
        <v>45449</v>
      </c>
      <c r="F23" s="12">
        <f t="shared" si="0"/>
        <v>45449</v>
      </c>
      <c r="G23" s="13">
        <f t="shared" si="1"/>
        <v>14</v>
      </c>
      <c r="H23" t="s">
        <v>648</v>
      </c>
      <c r="I23" t="s">
        <v>655</v>
      </c>
      <c r="J23" t="s">
        <v>692</v>
      </c>
      <c r="K23" t="s">
        <v>703</v>
      </c>
      <c r="L23" t="s">
        <v>708</v>
      </c>
      <c r="M23" t="s">
        <v>714</v>
      </c>
      <c r="N23" t="s">
        <v>729</v>
      </c>
      <c r="O23" t="s">
        <v>1045</v>
      </c>
      <c r="P23" s="6">
        <v>51.13</v>
      </c>
      <c r="Q23" s="6">
        <v>57.53</v>
      </c>
      <c r="R23" s="10">
        <v>4.4999999999999998E-2</v>
      </c>
      <c r="S23" s="10" t="b">
        <f t="shared" si="4"/>
        <v>0</v>
      </c>
      <c r="T23" s="8">
        <v>16</v>
      </c>
      <c r="U23">
        <f t="shared" si="5"/>
        <v>879.05840000000001</v>
      </c>
      <c r="V23">
        <f t="shared" si="6"/>
        <v>818.08</v>
      </c>
      <c r="W23">
        <f t="shared" si="7"/>
        <v>60.978399999999965</v>
      </c>
      <c r="X23" s="10">
        <f t="shared" si="8"/>
        <v>6.9367859973808302E-2</v>
      </c>
      <c r="Y23" t="str">
        <f t="shared" si="9"/>
        <v>Low</v>
      </c>
      <c r="Z23" t="str">
        <f t="shared" si="10"/>
        <v>Not Met</v>
      </c>
      <c r="AA23" t="str">
        <f t="shared" si="11"/>
        <v>Low Discount</v>
      </c>
      <c r="AB23" s="10">
        <f>MIN(R23,ControlPanel!$B$5)</f>
        <v>4.4999999999999998E-2</v>
      </c>
      <c r="AC23">
        <f>P23*(1+ControlPanel!$B$6)</f>
        <v>53.686500000000002</v>
      </c>
      <c r="AD23">
        <f>T23*(1+ControlPanel!$B$7)</f>
        <v>17.600000000000001</v>
      </c>
      <c r="AE23" s="6">
        <f t="shared" si="12"/>
        <v>966.96424000000013</v>
      </c>
      <c r="AF23">
        <f t="shared" si="13"/>
        <v>22.081840000000057</v>
      </c>
    </row>
    <row r="24" spans="1:32" x14ac:dyDescent="0.3">
      <c r="A24" t="s">
        <v>475</v>
      </c>
      <c r="B24" s="4">
        <v>45063</v>
      </c>
      <c r="C24" s="4" t="str">
        <f t="shared" si="2"/>
        <v>May-2023</v>
      </c>
      <c r="D24" t="str">
        <f t="shared" si="3"/>
        <v>Q2-2023</v>
      </c>
      <c r="E24" s="4">
        <v>45092</v>
      </c>
      <c r="F24" s="12">
        <f t="shared" si="0"/>
        <v>45092</v>
      </c>
      <c r="G24" s="13">
        <f t="shared" si="1"/>
        <v>29</v>
      </c>
      <c r="H24" t="s">
        <v>646</v>
      </c>
      <c r="I24" t="s">
        <v>661</v>
      </c>
      <c r="J24" t="s">
        <v>687</v>
      </c>
      <c r="K24" t="s">
        <v>706</v>
      </c>
      <c r="L24" t="s">
        <v>707</v>
      </c>
      <c r="M24" t="s">
        <v>723</v>
      </c>
      <c r="N24" t="s">
        <v>733</v>
      </c>
      <c r="O24" t="s">
        <v>1194</v>
      </c>
      <c r="P24" s="6">
        <v>40.89</v>
      </c>
      <c r="Q24" s="6">
        <v>62.82</v>
      </c>
      <c r="R24" s="10">
        <v>0.129</v>
      </c>
      <c r="S24" s="10" t="b">
        <f t="shared" si="4"/>
        <v>0</v>
      </c>
      <c r="T24" s="8">
        <v>17</v>
      </c>
      <c r="U24">
        <f t="shared" si="5"/>
        <v>930.17574000000002</v>
      </c>
      <c r="V24">
        <f t="shared" si="6"/>
        <v>695.13</v>
      </c>
      <c r="W24">
        <f t="shared" si="7"/>
        <v>235.04574000000002</v>
      </c>
      <c r="X24" s="10">
        <f t="shared" si="8"/>
        <v>0.25268960465470752</v>
      </c>
      <c r="Y24" t="str">
        <f t="shared" si="9"/>
        <v>Low</v>
      </c>
      <c r="Z24" t="str">
        <f t="shared" si="10"/>
        <v>Not Met</v>
      </c>
      <c r="AA24" t="str">
        <f t="shared" si="11"/>
        <v>Low Discount</v>
      </c>
      <c r="AB24" s="10">
        <f>MIN(R24,ControlPanel!$B$5)</f>
        <v>0.129</v>
      </c>
      <c r="AC24">
        <f>P24*(1+ControlPanel!$B$6)</f>
        <v>42.9345</v>
      </c>
      <c r="AD24">
        <f>T24*(1+ControlPanel!$B$7)</f>
        <v>18.700000000000003</v>
      </c>
      <c r="AE24" s="6">
        <f t="shared" si="12"/>
        <v>1023.1933140000001</v>
      </c>
      <c r="AF24">
        <f t="shared" si="13"/>
        <v>220.31816400000002</v>
      </c>
    </row>
    <row r="25" spans="1:32" x14ac:dyDescent="0.3">
      <c r="A25" t="s">
        <v>337</v>
      </c>
      <c r="B25" s="4">
        <v>45340</v>
      </c>
      <c r="C25" s="4" t="str">
        <f t="shared" si="2"/>
        <v>Feb-2024</v>
      </c>
      <c r="D25" t="str">
        <f t="shared" si="3"/>
        <v>Q1-2024</v>
      </c>
      <c r="E25" s="4">
        <v>45362</v>
      </c>
      <c r="F25" s="12">
        <f t="shared" si="0"/>
        <v>45362</v>
      </c>
      <c r="G25" s="13">
        <f t="shared" si="1"/>
        <v>22</v>
      </c>
      <c r="H25" t="s">
        <v>648</v>
      </c>
      <c r="I25" t="s">
        <v>655</v>
      </c>
      <c r="J25" t="s">
        <v>670</v>
      </c>
      <c r="K25" t="s">
        <v>704</v>
      </c>
      <c r="L25" t="s">
        <v>708</v>
      </c>
      <c r="M25" t="s">
        <v>720</v>
      </c>
      <c r="N25" t="s">
        <v>727</v>
      </c>
      <c r="O25" t="s">
        <v>1057</v>
      </c>
      <c r="P25" s="6">
        <v>80.48</v>
      </c>
      <c r="Q25" s="6">
        <v>65.650000000000006</v>
      </c>
      <c r="R25" s="10">
        <v>0.17599999999999999</v>
      </c>
      <c r="S25" s="10" t="b">
        <f t="shared" si="4"/>
        <v>0</v>
      </c>
      <c r="T25" s="8">
        <v>13</v>
      </c>
      <c r="U25">
        <f t="shared" si="5"/>
        <v>703.2428000000001</v>
      </c>
      <c r="V25">
        <f t="shared" si="6"/>
        <v>1046.24</v>
      </c>
      <c r="W25">
        <f t="shared" si="7"/>
        <v>-342.99719999999991</v>
      </c>
      <c r="X25" s="10">
        <f t="shared" si="8"/>
        <v>-0.48773652570634191</v>
      </c>
      <c r="Y25" t="str">
        <f t="shared" si="9"/>
        <v>Low</v>
      </c>
      <c r="Z25" t="str">
        <f t="shared" si="10"/>
        <v>Not Met</v>
      </c>
      <c r="AA25" t="str">
        <f t="shared" si="11"/>
        <v>Low Discount</v>
      </c>
      <c r="AB25" s="10">
        <f>MIN(R25,ControlPanel!$B$5)</f>
        <v>0.17599999999999999</v>
      </c>
      <c r="AC25">
        <f>P25*(1+ControlPanel!$B$6)</f>
        <v>84.504000000000005</v>
      </c>
      <c r="AD25">
        <f>T25*(1+ControlPanel!$B$7)</f>
        <v>14.3</v>
      </c>
      <c r="AE25" s="6">
        <f t="shared" si="12"/>
        <v>773.56708000000026</v>
      </c>
      <c r="AF25">
        <f t="shared" si="13"/>
        <v>-434.84011999999984</v>
      </c>
    </row>
    <row r="26" spans="1:32" x14ac:dyDescent="0.3">
      <c r="A26" t="s">
        <v>546</v>
      </c>
      <c r="B26" s="4">
        <v>45769</v>
      </c>
      <c r="C26" s="4" t="str">
        <f t="shared" si="2"/>
        <v>Apr-2025</v>
      </c>
      <c r="D26" t="str">
        <f t="shared" si="3"/>
        <v>Q2-2025</v>
      </c>
      <c r="E26" s="4">
        <v>45789</v>
      </c>
      <c r="F26" s="12">
        <f t="shared" si="0"/>
        <v>45789</v>
      </c>
      <c r="G26" s="13">
        <f t="shared" si="1"/>
        <v>20</v>
      </c>
      <c r="H26" t="s">
        <v>649</v>
      </c>
      <c r="I26" t="s">
        <v>657</v>
      </c>
      <c r="J26" t="s">
        <v>679</v>
      </c>
      <c r="K26" t="s">
        <v>706</v>
      </c>
      <c r="L26" t="s">
        <v>709</v>
      </c>
      <c r="M26" t="s">
        <v>723</v>
      </c>
      <c r="N26" t="s">
        <v>732</v>
      </c>
      <c r="O26" t="s">
        <v>1265</v>
      </c>
      <c r="P26" s="6">
        <v>59.51</v>
      </c>
      <c r="Q26" s="6">
        <v>67.040000000000006</v>
      </c>
      <c r="R26" s="10">
        <v>0.114</v>
      </c>
      <c r="S26" s="10" t="b">
        <f t="shared" si="4"/>
        <v>0</v>
      </c>
      <c r="T26" s="8">
        <v>9</v>
      </c>
      <c r="U26">
        <f t="shared" si="5"/>
        <v>534.57695999999999</v>
      </c>
      <c r="V26">
        <f t="shared" si="6"/>
        <v>535.59</v>
      </c>
      <c r="W26">
        <f t="shared" si="7"/>
        <v>-1.0130400000000463</v>
      </c>
      <c r="X26" s="10">
        <f t="shared" si="8"/>
        <v>-1.8950311663264469E-3</v>
      </c>
      <c r="Y26" t="str">
        <f t="shared" si="9"/>
        <v>Low</v>
      </c>
      <c r="Z26" t="str">
        <f t="shared" si="10"/>
        <v>Not Met</v>
      </c>
      <c r="AA26" t="str">
        <f t="shared" si="11"/>
        <v>Low Discount</v>
      </c>
      <c r="AB26" s="10">
        <f>MIN(R26,ControlPanel!$B$5)</f>
        <v>0.114</v>
      </c>
      <c r="AC26">
        <f>P26*(1+ControlPanel!$B$6)</f>
        <v>62.485500000000002</v>
      </c>
      <c r="AD26">
        <f>T26*(1+ControlPanel!$B$7)</f>
        <v>9.9</v>
      </c>
      <c r="AE26" s="6">
        <f t="shared" si="12"/>
        <v>588.03465600000004</v>
      </c>
      <c r="AF26">
        <f t="shared" si="13"/>
        <v>-30.571793999999954</v>
      </c>
    </row>
    <row r="27" spans="1:32" x14ac:dyDescent="0.3">
      <c r="A27" t="s">
        <v>355</v>
      </c>
      <c r="B27" s="4">
        <v>45029</v>
      </c>
      <c r="C27" s="4" t="str">
        <f t="shared" si="2"/>
        <v>Apr-2023</v>
      </c>
      <c r="D27" t="str">
        <f t="shared" si="3"/>
        <v>Q2-2023</v>
      </c>
      <c r="E27" s="4">
        <v>45027</v>
      </c>
      <c r="F27" s="12">
        <f t="shared" si="0"/>
        <v>45043</v>
      </c>
      <c r="G27" s="13">
        <f t="shared" si="1"/>
        <v>14</v>
      </c>
      <c r="H27" t="s">
        <v>648</v>
      </c>
      <c r="I27" t="s">
        <v>660</v>
      </c>
      <c r="J27" t="s">
        <v>686</v>
      </c>
      <c r="K27" t="s">
        <v>702</v>
      </c>
      <c r="L27" t="s">
        <v>709</v>
      </c>
      <c r="M27" t="s">
        <v>715</v>
      </c>
      <c r="N27" t="s">
        <v>729</v>
      </c>
      <c r="O27" t="s">
        <v>1075</v>
      </c>
      <c r="P27" s="6">
        <v>32.1</v>
      </c>
      <c r="Q27" s="6">
        <v>70.599999999999994</v>
      </c>
      <c r="R27" s="10">
        <v>0.28199999999999997</v>
      </c>
      <c r="S27" s="10" t="b">
        <f t="shared" si="4"/>
        <v>0</v>
      </c>
      <c r="T27" s="8">
        <v>22</v>
      </c>
      <c r="U27">
        <f t="shared" si="5"/>
        <v>1115.1976</v>
      </c>
      <c r="V27">
        <f t="shared" si="6"/>
        <v>706.2</v>
      </c>
      <c r="W27">
        <f t="shared" si="7"/>
        <v>408.99759999999992</v>
      </c>
      <c r="X27" s="10">
        <f t="shared" si="8"/>
        <v>0.36674899587301829</v>
      </c>
      <c r="Y27" t="str">
        <f t="shared" si="9"/>
        <v>Low</v>
      </c>
      <c r="Z27" t="str">
        <f t="shared" si="10"/>
        <v>Not Met</v>
      </c>
      <c r="AA27" t="str">
        <f t="shared" si="11"/>
        <v>High Discount</v>
      </c>
      <c r="AB27" s="10">
        <f>MIN(R27,ControlPanel!$B$5)</f>
        <v>0.2</v>
      </c>
      <c r="AC27">
        <f>P27*(1+ControlPanel!$B$6)</f>
        <v>33.705000000000005</v>
      </c>
      <c r="AD27">
        <f>T27*(1+ControlPanel!$B$7)</f>
        <v>24.200000000000003</v>
      </c>
      <c r="AE27" s="6">
        <f t="shared" si="12"/>
        <v>1366.816</v>
      </c>
      <c r="AF27">
        <f t="shared" si="13"/>
        <v>551.15499999999986</v>
      </c>
    </row>
    <row r="28" spans="1:32" x14ac:dyDescent="0.3">
      <c r="A28" t="s">
        <v>104</v>
      </c>
      <c r="B28" s="4">
        <v>45106</v>
      </c>
      <c r="C28" s="4" t="str">
        <f t="shared" si="2"/>
        <v>Jun-2023</v>
      </c>
      <c r="D28" t="str">
        <f t="shared" si="3"/>
        <v>Q2-2023</v>
      </c>
      <c r="E28" s="4">
        <v>45109</v>
      </c>
      <c r="F28" s="12">
        <f t="shared" si="0"/>
        <v>45109</v>
      </c>
      <c r="G28" s="13">
        <f t="shared" si="1"/>
        <v>3</v>
      </c>
      <c r="H28" t="s">
        <v>647</v>
      </c>
      <c r="I28" t="s">
        <v>652</v>
      </c>
      <c r="J28" t="s">
        <v>694</v>
      </c>
      <c r="K28" t="s">
        <v>702</v>
      </c>
      <c r="L28" t="s">
        <v>709</v>
      </c>
      <c r="M28" t="s">
        <v>721</v>
      </c>
      <c r="N28" t="s">
        <v>732</v>
      </c>
      <c r="O28" t="s">
        <v>823</v>
      </c>
      <c r="P28" s="6">
        <v>55.65</v>
      </c>
      <c r="Q28" s="6">
        <v>83.57</v>
      </c>
      <c r="R28" s="10">
        <v>6.6000000000000003E-2</v>
      </c>
      <c r="S28" s="10" t="b">
        <f t="shared" si="4"/>
        <v>0</v>
      </c>
      <c r="T28" s="8">
        <v>8</v>
      </c>
      <c r="U28">
        <f t="shared" si="5"/>
        <v>624.43503999999996</v>
      </c>
      <c r="V28">
        <f t="shared" si="6"/>
        <v>445.2</v>
      </c>
      <c r="W28">
        <f t="shared" si="7"/>
        <v>179.23503999999997</v>
      </c>
      <c r="X28" s="10">
        <f t="shared" si="8"/>
        <v>0.2870355257449998</v>
      </c>
      <c r="Y28" t="str">
        <f t="shared" si="9"/>
        <v>Low</v>
      </c>
      <c r="Z28" t="str">
        <f t="shared" si="10"/>
        <v>Met</v>
      </c>
      <c r="AA28" t="str">
        <f t="shared" si="11"/>
        <v>Low Discount</v>
      </c>
      <c r="AB28" s="10">
        <f>MIN(R28,ControlPanel!$B$5)</f>
        <v>6.6000000000000003E-2</v>
      </c>
      <c r="AC28">
        <f>P28*(1+ControlPanel!$B$6)</f>
        <v>58.432499999999997</v>
      </c>
      <c r="AD28">
        <f>T28*(1+ControlPanel!$B$7)</f>
        <v>8.8000000000000007</v>
      </c>
      <c r="AE28" s="6">
        <f t="shared" si="12"/>
        <v>686.87854400000003</v>
      </c>
      <c r="AF28">
        <f t="shared" si="13"/>
        <v>172.67254400000002</v>
      </c>
    </row>
    <row r="29" spans="1:32" x14ac:dyDescent="0.3">
      <c r="A29" t="s">
        <v>154</v>
      </c>
      <c r="B29" s="4">
        <v>45336</v>
      </c>
      <c r="C29" s="4" t="str">
        <f t="shared" si="2"/>
        <v>Feb-2024</v>
      </c>
      <c r="D29" t="str">
        <f t="shared" si="3"/>
        <v>Q1-2024</v>
      </c>
      <c r="E29" s="4">
        <v>45336</v>
      </c>
      <c r="F29" s="12">
        <f t="shared" si="0"/>
        <v>45336</v>
      </c>
      <c r="G29" s="13">
        <f t="shared" si="1"/>
        <v>0</v>
      </c>
      <c r="H29" t="s">
        <v>647</v>
      </c>
      <c r="I29" t="s">
        <v>659</v>
      </c>
      <c r="J29" t="s">
        <v>699</v>
      </c>
      <c r="K29" t="s">
        <v>701</v>
      </c>
      <c r="L29" t="s">
        <v>710</v>
      </c>
      <c r="M29" t="s">
        <v>716</v>
      </c>
      <c r="N29" t="s">
        <v>733</v>
      </c>
      <c r="O29" t="s">
        <v>873</v>
      </c>
      <c r="P29" s="6">
        <v>65.930000000000007</v>
      </c>
      <c r="Q29" s="6">
        <v>84.9</v>
      </c>
      <c r="R29" s="10">
        <v>0.25900000000000001</v>
      </c>
      <c r="S29" s="10" t="b">
        <f t="shared" si="4"/>
        <v>0</v>
      </c>
      <c r="T29" s="8">
        <v>23</v>
      </c>
      <c r="U29">
        <f t="shared" si="5"/>
        <v>1446.9507000000001</v>
      </c>
      <c r="V29">
        <f t="shared" si="6"/>
        <v>1516.39</v>
      </c>
      <c r="W29">
        <f t="shared" si="7"/>
        <v>-69.439300000000003</v>
      </c>
      <c r="X29" s="10">
        <f t="shared" si="8"/>
        <v>-4.7990093926489688E-2</v>
      </c>
      <c r="Y29" t="str">
        <f t="shared" si="9"/>
        <v>Low</v>
      </c>
      <c r="Z29" t="str">
        <f t="shared" si="10"/>
        <v>Met</v>
      </c>
      <c r="AA29" t="str">
        <f t="shared" si="11"/>
        <v>High Discount</v>
      </c>
      <c r="AB29" s="10">
        <f>MIN(R29,ControlPanel!$B$5)</f>
        <v>0.2</v>
      </c>
      <c r="AC29">
        <f>P29*(1+ControlPanel!$B$6)</f>
        <v>69.226500000000016</v>
      </c>
      <c r="AD29">
        <f>T29*(1+ControlPanel!$B$7)</f>
        <v>25.3</v>
      </c>
      <c r="AE29" s="6">
        <f t="shared" si="12"/>
        <v>1718.3760000000002</v>
      </c>
      <c r="AF29">
        <f t="shared" si="13"/>
        <v>-33.054450000000315</v>
      </c>
    </row>
    <row r="30" spans="1:32" x14ac:dyDescent="0.3">
      <c r="A30" t="s">
        <v>596</v>
      </c>
      <c r="B30" s="4">
        <v>44955</v>
      </c>
      <c r="C30" s="4" t="str">
        <f t="shared" si="2"/>
        <v>Jan-2023</v>
      </c>
      <c r="D30" t="str">
        <f t="shared" si="3"/>
        <v>Q1-2023</v>
      </c>
      <c r="E30" s="4">
        <v>44963</v>
      </c>
      <c r="F30" s="12">
        <f t="shared" si="0"/>
        <v>44963</v>
      </c>
      <c r="G30" s="13">
        <f t="shared" si="1"/>
        <v>8</v>
      </c>
      <c r="H30" t="s">
        <v>648</v>
      </c>
      <c r="I30" t="s">
        <v>655</v>
      </c>
      <c r="J30" t="s">
        <v>672</v>
      </c>
      <c r="K30" t="s">
        <v>701</v>
      </c>
      <c r="L30" t="s">
        <v>709</v>
      </c>
      <c r="M30" t="s">
        <v>726</v>
      </c>
      <c r="N30" t="s">
        <v>732</v>
      </c>
      <c r="O30" t="s">
        <v>1314</v>
      </c>
      <c r="P30" s="6">
        <v>41.84</v>
      </c>
      <c r="Q30" s="6">
        <v>86.2</v>
      </c>
      <c r="R30" s="10">
        <v>0.22600000000000001</v>
      </c>
      <c r="S30" s="10" t="b">
        <f t="shared" si="4"/>
        <v>0</v>
      </c>
      <c r="T30" s="8">
        <v>27</v>
      </c>
      <c r="U30">
        <f t="shared" si="5"/>
        <v>1801.4076</v>
      </c>
      <c r="V30">
        <f t="shared" si="6"/>
        <v>1129.68</v>
      </c>
      <c r="W30">
        <f t="shared" si="7"/>
        <v>671.72759999999994</v>
      </c>
      <c r="X30" s="10">
        <f t="shared" si="8"/>
        <v>0.37289039970742877</v>
      </c>
      <c r="Y30" t="str">
        <f t="shared" si="9"/>
        <v>Low</v>
      </c>
      <c r="Z30" t="str">
        <f t="shared" si="10"/>
        <v>Not Met</v>
      </c>
      <c r="AA30" t="str">
        <f t="shared" si="11"/>
        <v>High Discount</v>
      </c>
      <c r="AB30" s="10">
        <f>MIN(R30,ControlPanel!$B$5)</f>
        <v>0.2</v>
      </c>
      <c r="AC30">
        <f>P30*(1+ControlPanel!$B$6)</f>
        <v>43.932000000000002</v>
      </c>
      <c r="AD30">
        <f>T30*(1+ControlPanel!$B$7)</f>
        <v>29.700000000000003</v>
      </c>
      <c r="AE30" s="6">
        <f t="shared" si="12"/>
        <v>2048.1120000000005</v>
      </c>
      <c r="AF30">
        <f t="shared" si="13"/>
        <v>743.33160000000044</v>
      </c>
    </row>
    <row r="31" spans="1:32" x14ac:dyDescent="0.3">
      <c r="A31" t="s">
        <v>134</v>
      </c>
      <c r="B31" s="4">
        <v>45847</v>
      </c>
      <c r="C31" s="4" t="str">
        <f t="shared" si="2"/>
        <v>Jul-2025</v>
      </c>
      <c r="D31" t="str">
        <f t="shared" si="3"/>
        <v>Q3-2025</v>
      </c>
      <c r="E31" s="4">
        <v>45856</v>
      </c>
      <c r="F31" s="12">
        <f t="shared" si="0"/>
        <v>45856</v>
      </c>
      <c r="G31" s="13">
        <f t="shared" si="1"/>
        <v>9</v>
      </c>
      <c r="H31" t="s">
        <v>648</v>
      </c>
      <c r="I31" t="s">
        <v>653</v>
      </c>
      <c r="J31" t="s">
        <v>688</v>
      </c>
      <c r="K31" t="s">
        <v>702</v>
      </c>
      <c r="L31" t="s">
        <v>710</v>
      </c>
      <c r="M31" t="s">
        <v>714</v>
      </c>
      <c r="N31" t="s">
        <v>731</v>
      </c>
      <c r="O31" t="s">
        <v>853</v>
      </c>
      <c r="P31" s="6">
        <v>57.96</v>
      </c>
      <c r="Q31" s="6">
        <v>88.51</v>
      </c>
      <c r="R31" s="10">
        <v>4.2999999999999997E-2</v>
      </c>
      <c r="S31" s="10" t="b">
        <f t="shared" si="4"/>
        <v>0</v>
      </c>
      <c r="T31" s="8">
        <v>7</v>
      </c>
      <c r="U31">
        <f t="shared" si="5"/>
        <v>592.92849000000001</v>
      </c>
      <c r="V31">
        <f t="shared" si="6"/>
        <v>405.72</v>
      </c>
      <c r="W31">
        <f t="shared" si="7"/>
        <v>187.20848999999998</v>
      </c>
      <c r="X31" s="10">
        <f t="shared" si="8"/>
        <v>0.3157353595877978</v>
      </c>
      <c r="Y31" t="str">
        <f t="shared" si="9"/>
        <v>Low</v>
      </c>
      <c r="Z31" t="str">
        <f t="shared" si="10"/>
        <v>Not Met</v>
      </c>
      <c r="AA31" t="str">
        <f t="shared" si="11"/>
        <v>Low Discount</v>
      </c>
      <c r="AB31" s="10">
        <f>MIN(R31,ControlPanel!$B$5)</f>
        <v>4.2999999999999997E-2</v>
      </c>
      <c r="AC31">
        <f>P31*(1+ControlPanel!$B$6)</f>
        <v>60.858000000000004</v>
      </c>
      <c r="AD31">
        <f>T31*(1+ControlPanel!$B$7)</f>
        <v>7.7000000000000011</v>
      </c>
      <c r="AE31" s="6">
        <f t="shared" si="12"/>
        <v>652.22133900000006</v>
      </c>
      <c r="AF31">
        <f t="shared" si="13"/>
        <v>183.61473899999999</v>
      </c>
    </row>
    <row r="32" spans="1:32" x14ac:dyDescent="0.3">
      <c r="A32" t="s">
        <v>495</v>
      </c>
      <c r="B32" s="4">
        <v>45538</v>
      </c>
      <c r="C32" s="4" t="str">
        <f t="shared" si="2"/>
        <v>Sep-2024</v>
      </c>
      <c r="D32" t="str">
        <f t="shared" si="3"/>
        <v>Q3-2024</v>
      </c>
      <c r="E32" s="4">
        <v>45542</v>
      </c>
      <c r="F32" s="12">
        <f t="shared" si="0"/>
        <v>45542</v>
      </c>
      <c r="G32" s="13">
        <f t="shared" si="1"/>
        <v>4</v>
      </c>
      <c r="H32" t="s">
        <v>647</v>
      </c>
      <c r="I32" t="s">
        <v>652</v>
      </c>
      <c r="J32" t="s">
        <v>689</v>
      </c>
      <c r="K32" t="s">
        <v>705</v>
      </c>
      <c r="L32" t="s">
        <v>710</v>
      </c>
      <c r="M32" t="s">
        <v>725</v>
      </c>
      <c r="N32" t="s">
        <v>728</v>
      </c>
      <c r="O32" t="s">
        <v>1214</v>
      </c>
      <c r="P32" s="6">
        <v>43.23</v>
      </c>
      <c r="Q32" s="6">
        <v>94.78</v>
      </c>
      <c r="R32" s="10">
        <v>9.0999999999999998E-2</v>
      </c>
      <c r="S32" s="10" t="b">
        <f t="shared" si="4"/>
        <v>0</v>
      </c>
      <c r="T32" s="8">
        <v>55</v>
      </c>
      <c r="U32">
        <f t="shared" si="5"/>
        <v>4738.5261</v>
      </c>
      <c r="V32">
        <f t="shared" si="6"/>
        <v>2377.6499999999996</v>
      </c>
      <c r="W32">
        <f t="shared" si="7"/>
        <v>2360.8761000000004</v>
      </c>
      <c r="X32" s="10">
        <f t="shared" si="8"/>
        <v>0.49823005090127082</v>
      </c>
      <c r="Y32" t="str">
        <f t="shared" si="9"/>
        <v>Low</v>
      </c>
      <c r="Z32" t="str">
        <f t="shared" si="10"/>
        <v>Met</v>
      </c>
      <c r="AA32" t="str">
        <f t="shared" si="11"/>
        <v>Low Discount</v>
      </c>
      <c r="AB32" s="10">
        <f>MIN(R32,ControlPanel!$B$5)</f>
        <v>9.0999999999999998E-2</v>
      </c>
      <c r="AC32">
        <f>P32*(1+ControlPanel!$B$6)</f>
        <v>45.391500000000001</v>
      </c>
      <c r="AD32">
        <f>T32*(1+ControlPanel!$B$7)</f>
        <v>60.500000000000007</v>
      </c>
      <c r="AE32" s="6">
        <f t="shared" si="12"/>
        <v>5212.3787100000009</v>
      </c>
      <c r="AF32">
        <f t="shared" si="13"/>
        <v>2466.1929600000003</v>
      </c>
    </row>
    <row r="33" spans="1:32" x14ac:dyDescent="0.3">
      <c r="A33" t="s">
        <v>277</v>
      </c>
      <c r="B33" s="4">
        <v>45829</v>
      </c>
      <c r="C33" s="4" t="str">
        <f t="shared" si="2"/>
        <v>Jun-2025</v>
      </c>
      <c r="D33" t="str">
        <f t="shared" si="3"/>
        <v>Q2-2025</v>
      </c>
      <c r="E33" s="4">
        <v>45835</v>
      </c>
      <c r="F33" s="12">
        <f t="shared" si="0"/>
        <v>45835</v>
      </c>
      <c r="G33" s="13">
        <f t="shared" si="1"/>
        <v>6</v>
      </c>
      <c r="H33" t="s">
        <v>646</v>
      </c>
      <c r="I33" t="s">
        <v>661</v>
      </c>
      <c r="J33" t="s">
        <v>687</v>
      </c>
      <c r="K33" t="s">
        <v>706</v>
      </c>
      <c r="L33" t="s">
        <v>710</v>
      </c>
      <c r="M33" t="s">
        <v>725</v>
      </c>
      <c r="N33" t="s">
        <v>730</v>
      </c>
      <c r="O33" t="s">
        <v>997</v>
      </c>
      <c r="P33" s="6">
        <v>93.91</v>
      </c>
      <c r="Q33" s="6">
        <v>99.04</v>
      </c>
      <c r="R33" s="10">
        <v>5.7000000000000002E-2</v>
      </c>
      <c r="S33" s="10" t="b">
        <f t="shared" si="4"/>
        <v>0</v>
      </c>
      <c r="T33" s="8">
        <v>6</v>
      </c>
      <c r="U33">
        <f t="shared" si="5"/>
        <v>560.36832000000004</v>
      </c>
      <c r="V33">
        <f t="shared" si="6"/>
        <v>563.46</v>
      </c>
      <c r="W33">
        <f t="shared" si="7"/>
        <v>-3.0916799999999967</v>
      </c>
      <c r="X33" s="10">
        <f t="shared" si="8"/>
        <v>-5.5172283829321338E-3</v>
      </c>
      <c r="Y33" t="str">
        <f t="shared" si="9"/>
        <v>Low</v>
      </c>
      <c r="Z33" t="str">
        <f t="shared" si="10"/>
        <v>Met</v>
      </c>
      <c r="AA33" t="str">
        <f t="shared" si="11"/>
        <v>Low Discount</v>
      </c>
      <c r="AB33" s="10">
        <f>MIN(R33,ControlPanel!$B$5)</f>
        <v>5.7000000000000002E-2</v>
      </c>
      <c r="AC33">
        <f>P33*(1+ControlPanel!$B$6)</f>
        <v>98.605500000000006</v>
      </c>
      <c r="AD33">
        <f>T33*(1+ControlPanel!$B$7)</f>
        <v>6.6000000000000005</v>
      </c>
      <c r="AE33" s="6">
        <f t="shared" si="12"/>
        <v>616.40515200000004</v>
      </c>
      <c r="AF33">
        <f t="shared" si="13"/>
        <v>-34.391148000000044</v>
      </c>
    </row>
    <row r="34" spans="1:32" x14ac:dyDescent="0.3">
      <c r="A34" t="s">
        <v>66</v>
      </c>
      <c r="B34" s="4">
        <v>45582</v>
      </c>
      <c r="C34" s="4" t="str">
        <f t="shared" si="2"/>
        <v>Oct-2024</v>
      </c>
      <c r="D34" t="str">
        <f t="shared" si="3"/>
        <v>Q4-2024</v>
      </c>
      <c r="E34" s="4">
        <v>45602</v>
      </c>
      <c r="F34" s="12">
        <f t="shared" si="0"/>
        <v>45602</v>
      </c>
      <c r="G34" s="13">
        <f t="shared" si="1"/>
        <v>20</v>
      </c>
      <c r="H34" t="s">
        <v>647</v>
      </c>
      <c r="I34" t="s">
        <v>654</v>
      </c>
      <c r="J34" t="s">
        <v>668</v>
      </c>
      <c r="K34" t="s">
        <v>706</v>
      </c>
      <c r="L34" t="s">
        <v>710</v>
      </c>
      <c r="M34" t="s">
        <v>719</v>
      </c>
      <c r="N34" t="s">
        <v>732</v>
      </c>
      <c r="O34" t="s">
        <v>785</v>
      </c>
      <c r="P34" s="6">
        <v>72.94</v>
      </c>
      <c r="Q34" s="6">
        <v>106.3</v>
      </c>
      <c r="R34" s="10">
        <v>0.29499999999999998</v>
      </c>
      <c r="S34" s="10" t="b">
        <f t="shared" si="4"/>
        <v>0</v>
      </c>
      <c r="T34" s="8">
        <v>8</v>
      </c>
      <c r="U34">
        <f t="shared" si="5"/>
        <v>599.53200000000004</v>
      </c>
      <c r="V34">
        <f t="shared" si="6"/>
        <v>583.52</v>
      </c>
      <c r="W34">
        <f t="shared" si="7"/>
        <v>16.012000000000057</v>
      </c>
      <c r="X34" s="10">
        <f t="shared" si="8"/>
        <v>2.6707498515508857E-2</v>
      </c>
      <c r="Y34" t="str">
        <f t="shared" si="9"/>
        <v>Low</v>
      </c>
      <c r="Z34" t="str">
        <f t="shared" si="10"/>
        <v>Not Met</v>
      </c>
      <c r="AA34" t="str">
        <f t="shared" si="11"/>
        <v>High Discount</v>
      </c>
      <c r="AB34" s="10">
        <f>MIN(R34,ControlPanel!$B$5)</f>
        <v>0.2</v>
      </c>
      <c r="AC34">
        <f>P34*(1+ControlPanel!$B$6)</f>
        <v>76.587000000000003</v>
      </c>
      <c r="AD34">
        <f>T34*(1+ControlPanel!$B$7)</f>
        <v>8.8000000000000007</v>
      </c>
      <c r="AE34" s="6">
        <f t="shared" si="12"/>
        <v>748.35200000000009</v>
      </c>
      <c r="AF34">
        <f t="shared" si="13"/>
        <v>74.386399999999981</v>
      </c>
    </row>
    <row r="35" spans="1:32" x14ac:dyDescent="0.3">
      <c r="A35" t="s">
        <v>296</v>
      </c>
      <c r="B35" s="4">
        <v>45153</v>
      </c>
      <c r="C35" s="4" t="str">
        <f t="shared" si="2"/>
        <v>Aug-2023</v>
      </c>
      <c r="D35" t="str">
        <f t="shared" si="3"/>
        <v>Q3-2023</v>
      </c>
      <c r="E35" s="4">
        <v>45163</v>
      </c>
      <c r="F35" s="12">
        <f t="shared" si="0"/>
        <v>45163</v>
      </c>
      <c r="G35" s="13">
        <f t="shared" si="1"/>
        <v>10</v>
      </c>
      <c r="H35" t="s">
        <v>646</v>
      </c>
      <c r="I35" t="s">
        <v>650</v>
      </c>
      <c r="J35" t="s">
        <v>664</v>
      </c>
      <c r="K35" t="s">
        <v>705</v>
      </c>
      <c r="L35" t="s">
        <v>707</v>
      </c>
      <c r="M35" t="s">
        <v>725</v>
      </c>
      <c r="N35" t="s">
        <v>730</v>
      </c>
      <c r="O35" t="s">
        <v>1016</v>
      </c>
      <c r="P35" s="6">
        <v>91.85</v>
      </c>
      <c r="Q35" s="6">
        <v>111.29</v>
      </c>
      <c r="R35" s="10">
        <v>0</v>
      </c>
      <c r="S35" s="10" t="b">
        <f t="shared" si="4"/>
        <v>0</v>
      </c>
      <c r="T35" s="8">
        <v>6</v>
      </c>
      <c r="U35">
        <f t="shared" si="5"/>
        <v>667.74</v>
      </c>
      <c r="V35">
        <f t="shared" si="6"/>
        <v>551.09999999999991</v>
      </c>
      <c r="W35">
        <f t="shared" si="7"/>
        <v>116.6400000000001</v>
      </c>
      <c r="X35" s="10">
        <f t="shared" si="8"/>
        <v>0.17467876718483258</v>
      </c>
      <c r="Y35" t="str">
        <f t="shared" si="9"/>
        <v>Low</v>
      </c>
      <c r="Z35" t="str">
        <f t="shared" si="10"/>
        <v>Not Met</v>
      </c>
      <c r="AA35" t="str">
        <f t="shared" si="11"/>
        <v>Low Discount</v>
      </c>
      <c r="AB35" s="10">
        <f>MIN(R35,ControlPanel!$B$5)</f>
        <v>0</v>
      </c>
      <c r="AC35">
        <f>P35*(1+ControlPanel!$B$6)</f>
        <v>96.442499999999995</v>
      </c>
      <c r="AD35">
        <f>T35*(1+ControlPanel!$B$7)</f>
        <v>6.6000000000000005</v>
      </c>
      <c r="AE35" s="6">
        <f t="shared" si="12"/>
        <v>734.51400000000012</v>
      </c>
      <c r="AF35">
        <f t="shared" si="13"/>
        <v>97.993500000000154</v>
      </c>
    </row>
    <row r="36" spans="1:32" x14ac:dyDescent="0.3">
      <c r="A36" t="s">
        <v>589</v>
      </c>
      <c r="B36" s="4">
        <v>45042</v>
      </c>
      <c r="C36" s="4" t="str">
        <f t="shared" si="2"/>
        <v>Apr-2023</v>
      </c>
      <c r="D36" t="str">
        <f t="shared" si="3"/>
        <v>Q2-2023</v>
      </c>
      <c r="E36" s="4">
        <v>45042</v>
      </c>
      <c r="F36" s="12">
        <f t="shared" si="0"/>
        <v>45042</v>
      </c>
      <c r="G36" s="13">
        <f t="shared" si="1"/>
        <v>0</v>
      </c>
      <c r="H36" t="s">
        <v>649</v>
      </c>
      <c r="I36" t="s">
        <v>657</v>
      </c>
      <c r="J36" t="s">
        <v>673</v>
      </c>
      <c r="K36" t="s">
        <v>704</v>
      </c>
      <c r="L36" t="s">
        <v>711</v>
      </c>
      <c r="M36" t="s">
        <v>724</v>
      </c>
      <c r="N36" t="s">
        <v>727</v>
      </c>
      <c r="O36" t="s">
        <v>1307</v>
      </c>
      <c r="P36" s="6">
        <v>81.489999999999995</v>
      </c>
      <c r="Q36" s="6">
        <v>113.08</v>
      </c>
      <c r="R36" s="10">
        <v>0.121</v>
      </c>
      <c r="S36" s="10" t="b">
        <f t="shared" si="4"/>
        <v>0</v>
      </c>
      <c r="T36" s="8">
        <v>5</v>
      </c>
      <c r="U36">
        <f t="shared" si="5"/>
        <v>496.98659999999995</v>
      </c>
      <c r="V36">
        <f t="shared" si="6"/>
        <v>407.45</v>
      </c>
      <c r="W36">
        <f t="shared" si="7"/>
        <v>89.536599999999964</v>
      </c>
      <c r="X36" s="10">
        <f t="shared" si="8"/>
        <v>0.18015898215364354</v>
      </c>
      <c r="Y36" t="str">
        <f t="shared" si="9"/>
        <v>Low</v>
      </c>
      <c r="Z36" t="str">
        <f t="shared" si="10"/>
        <v>Met</v>
      </c>
      <c r="AA36" t="str">
        <f t="shared" si="11"/>
        <v>Low Discount</v>
      </c>
      <c r="AB36" s="10">
        <f>MIN(R36,ControlPanel!$B$5)</f>
        <v>0.121</v>
      </c>
      <c r="AC36">
        <f>P36*(1+ControlPanel!$B$6)</f>
        <v>85.564499999999995</v>
      </c>
      <c r="AD36">
        <f>T36*(1+ControlPanel!$B$7)</f>
        <v>5.5</v>
      </c>
      <c r="AE36" s="6">
        <f t="shared" si="12"/>
        <v>546.68525999999997</v>
      </c>
      <c r="AF36">
        <f t="shared" si="13"/>
        <v>76.080510000000004</v>
      </c>
    </row>
    <row r="37" spans="1:32" x14ac:dyDescent="0.3">
      <c r="A37" t="s">
        <v>540</v>
      </c>
      <c r="B37" s="4">
        <v>45695</v>
      </c>
      <c r="C37" s="4" t="str">
        <f t="shared" si="2"/>
        <v>Feb-2025</v>
      </c>
      <c r="D37" t="str">
        <f t="shared" si="3"/>
        <v>Q1-2025</v>
      </c>
      <c r="E37" s="4">
        <v>45704</v>
      </c>
      <c r="F37" s="12">
        <f t="shared" si="0"/>
        <v>45704</v>
      </c>
      <c r="G37" s="13">
        <f t="shared" si="1"/>
        <v>9</v>
      </c>
      <c r="H37" t="s">
        <v>646</v>
      </c>
      <c r="I37" t="s">
        <v>651</v>
      </c>
      <c r="J37" t="s">
        <v>665</v>
      </c>
      <c r="K37" t="s">
        <v>705</v>
      </c>
      <c r="L37" t="s">
        <v>710</v>
      </c>
      <c r="M37" t="s">
        <v>712</v>
      </c>
      <c r="N37" t="s">
        <v>728</v>
      </c>
      <c r="O37" t="s">
        <v>1259</v>
      </c>
      <c r="P37" s="6">
        <v>90.68</v>
      </c>
      <c r="Q37" s="6">
        <v>118.17</v>
      </c>
      <c r="R37" s="10">
        <v>0.13500000000000001</v>
      </c>
      <c r="S37" s="10" t="b">
        <f t="shared" si="4"/>
        <v>0</v>
      </c>
      <c r="T37" s="8">
        <v>21</v>
      </c>
      <c r="U37">
        <f t="shared" si="5"/>
        <v>2146.5580500000001</v>
      </c>
      <c r="V37">
        <f t="shared" si="6"/>
        <v>1904.2800000000002</v>
      </c>
      <c r="W37">
        <f t="shared" si="7"/>
        <v>242.27804999999989</v>
      </c>
      <c r="X37" s="10">
        <f t="shared" si="8"/>
        <v>0.11286815653552899</v>
      </c>
      <c r="Y37" t="str">
        <f t="shared" si="9"/>
        <v>Low</v>
      </c>
      <c r="Z37" t="str">
        <f t="shared" si="10"/>
        <v>Not Met</v>
      </c>
      <c r="AA37" t="str">
        <f t="shared" si="11"/>
        <v>Low Discount</v>
      </c>
      <c r="AB37" s="10">
        <f>MIN(R37,ControlPanel!$B$5)</f>
        <v>0.13500000000000001</v>
      </c>
      <c r="AC37">
        <f>P37*(1+ControlPanel!$B$6)</f>
        <v>95.214000000000013</v>
      </c>
      <c r="AD37">
        <f>T37*(1+ControlPanel!$B$7)</f>
        <v>23.1</v>
      </c>
      <c r="AE37" s="6">
        <f t="shared" si="12"/>
        <v>2361.213855</v>
      </c>
      <c r="AF37">
        <f t="shared" si="13"/>
        <v>161.7704549999994</v>
      </c>
    </row>
    <row r="38" spans="1:32" x14ac:dyDescent="0.3">
      <c r="A38" t="s">
        <v>305</v>
      </c>
      <c r="B38" s="4">
        <v>45746</v>
      </c>
      <c r="C38" s="4" t="str">
        <f t="shared" si="2"/>
        <v>Mar-2025</v>
      </c>
      <c r="D38" t="str">
        <f t="shared" si="3"/>
        <v>Q1-2025</v>
      </c>
      <c r="E38" s="4">
        <v>45754</v>
      </c>
      <c r="F38" s="12">
        <f t="shared" si="0"/>
        <v>45754</v>
      </c>
      <c r="G38" s="13">
        <f t="shared" si="1"/>
        <v>8</v>
      </c>
      <c r="H38" t="s">
        <v>648</v>
      </c>
      <c r="I38" t="s">
        <v>655</v>
      </c>
      <c r="J38" t="s">
        <v>670</v>
      </c>
      <c r="K38" t="s">
        <v>703</v>
      </c>
      <c r="L38" t="s">
        <v>711</v>
      </c>
      <c r="M38" t="s">
        <v>716</v>
      </c>
      <c r="N38" t="s">
        <v>728</v>
      </c>
      <c r="O38" t="s">
        <v>1025</v>
      </c>
      <c r="P38" s="6">
        <v>71.62</v>
      </c>
      <c r="Q38" s="6">
        <v>118.37</v>
      </c>
      <c r="R38" s="10">
        <v>0.156</v>
      </c>
      <c r="S38" s="10" t="b">
        <f t="shared" si="4"/>
        <v>0</v>
      </c>
      <c r="T38" s="8">
        <v>11</v>
      </c>
      <c r="U38">
        <f t="shared" si="5"/>
        <v>1098.9470799999999</v>
      </c>
      <c r="V38">
        <f t="shared" si="6"/>
        <v>787.82</v>
      </c>
      <c r="W38">
        <f t="shared" si="7"/>
        <v>311.12707999999986</v>
      </c>
      <c r="X38" s="10">
        <f t="shared" si="8"/>
        <v>0.28311379652603463</v>
      </c>
      <c r="Y38" t="str">
        <f t="shared" si="9"/>
        <v>Low</v>
      </c>
      <c r="Z38" t="str">
        <f t="shared" si="10"/>
        <v>Not Met</v>
      </c>
      <c r="AA38" t="str">
        <f t="shared" si="11"/>
        <v>Low Discount</v>
      </c>
      <c r="AB38" s="10">
        <f>MIN(R38,ControlPanel!$B$5)</f>
        <v>0.156</v>
      </c>
      <c r="AC38">
        <f>P38*(1+ControlPanel!$B$6)</f>
        <v>75.201000000000008</v>
      </c>
      <c r="AD38">
        <f>T38*(1+ControlPanel!$B$7)</f>
        <v>12.100000000000001</v>
      </c>
      <c r="AE38" s="6">
        <f t="shared" si="12"/>
        <v>1208.8417880000002</v>
      </c>
      <c r="AF38">
        <f t="shared" si="13"/>
        <v>298.90968799999996</v>
      </c>
    </row>
    <row r="39" spans="1:32" x14ac:dyDescent="0.3">
      <c r="A39" t="s">
        <v>257</v>
      </c>
      <c r="B39" s="4">
        <v>45630</v>
      </c>
      <c r="C39" s="4" t="str">
        <f t="shared" si="2"/>
        <v>Dec-2024</v>
      </c>
      <c r="D39" t="str">
        <f t="shared" si="3"/>
        <v>Q4-2024</v>
      </c>
      <c r="E39" s="4">
        <v>45638</v>
      </c>
      <c r="F39" s="12">
        <f t="shared" si="0"/>
        <v>45638</v>
      </c>
      <c r="G39" s="13">
        <f t="shared" si="1"/>
        <v>8</v>
      </c>
      <c r="H39" t="s">
        <v>649</v>
      </c>
      <c r="I39" t="s">
        <v>656</v>
      </c>
      <c r="J39" t="s">
        <v>698</v>
      </c>
      <c r="K39" t="s">
        <v>706</v>
      </c>
      <c r="L39" t="s">
        <v>709</v>
      </c>
      <c r="M39" t="s">
        <v>717</v>
      </c>
      <c r="N39" t="s">
        <v>728</v>
      </c>
      <c r="O39" t="s">
        <v>977</v>
      </c>
      <c r="P39" s="6">
        <v>72.06</v>
      </c>
      <c r="Q39" s="6">
        <v>122.74</v>
      </c>
      <c r="R39" s="10">
        <v>0.23799999999999999</v>
      </c>
      <c r="S39" s="10" t="b">
        <f t="shared" si="4"/>
        <v>0</v>
      </c>
      <c r="T39" s="8">
        <v>8</v>
      </c>
      <c r="U39">
        <f t="shared" si="5"/>
        <v>748.22303999999997</v>
      </c>
      <c r="V39">
        <f t="shared" si="6"/>
        <v>576.48</v>
      </c>
      <c r="W39">
        <f t="shared" si="7"/>
        <v>171.74303999999995</v>
      </c>
      <c r="X39" s="10">
        <f t="shared" si="8"/>
        <v>0.22953455162246802</v>
      </c>
      <c r="Y39" t="str">
        <f t="shared" si="9"/>
        <v>Low</v>
      </c>
      <c r="Z39" t="str">
        <f t="shared" si="10"/>
        <v>Not Met</v>
      </c>
      <c r="AA39" t="str">
        <f t="shared" si="11"/>
        <v>High Discount</v>
      </c>
      <c r="AB39" s="10">
        <f>MIN(R39,ControlPanel!$B$5)</f>
        <v>0.2</v>
      </c>
      <c r="AC39">
        <f>P39*(1+ControlPanel!$B$6)</f>
        <v>75.663000000000011</v>
      </c>
      <c r="AD39">
        <f>T39*(1+ControlPanel!$B$7)</f>
        <v>8.8000000000000007</v>
      </c>
      <c r="AE39" s="6">
        <f t="shared" si="12"/>
        <v>864.08960000000013</v>
      </c>
      <c r="AF39">
        <f t="shared" si="13"/>
        <v>198.25519999999995</v>
      </c>
    </row>
    <row r="40" spans="1:32" x14ac:dyDescent="0.3">
      <c r="A40" t="s">
        <v>600</v>
      </c>
      <c r="B40" s="4">
        <v>45049</v>
      </c>
      <c r="C40" s="4" t="str">
        <f t="shared" si="2"/>
        <v>May-2023</v>
      </c>
      <c r="D40" t="str">
        <f t="shared" si="3"/>
        <v>Q2-2023</v>
      </c>
      <c r="E40" s="4">
        <v>45062</v>
      </c>
      <c r="F40" s="12">
        <f t="shared" si="0"/>
        <v>45062</v>
      </c>
      <c r="G40" s="13">
        <f t="shared" si="1"/>
        <v>13</v>
      </c>
      <c r="H40" t="s">
        <v>648</v>
      </c>
      <c r="I40" t="s">
        <v>660</v>
      </c>
      <c r="J40" t="s">
        <v>700</v>
      </c>
      <c r="K40" t="s">
        <v>701</v>
      </c>
      <c r="L40" t="s">
        <v>709</v>
      </c>
      <c r="M40" t="s">
        <v>716</v>
      </c>
      <c r="N40" t="s">
        <v>730</v>
      </c>
      <c r="O40" t="s">
        <v>1318</v>
      </c>
      <c r="P40" s="6">
        <v>64.5</v>
      </c>
      <c r="Q40" s="6">
        <v>123.62</v>
      </c>
      <c r="R40" s="10">
        <v>0</v>
      </c>
      <c r="S40" s="10" t="b">
        <f t="shared" si="4"/>
        <v>0</v>
      </c>
      <c r="T40" s="8">
        <v>3</v>
      </c>
      <c r="U40">
        <f t="shared" si="5"/>
        <v>370.86</v>
      </c>
      <c r="V40">
        <f t="shared" si="6"/>
        <v>193.5</v>
      </c>
      <c r="W40">
        <f t="shared" si="7"/>
        <v>177.36</v>
      </c>
      <c r="X40" s="10">
        <f t="shared" si="8"/>
        <v>0.47823976702798904</v>
      </c>
      <c r="Y40" t="str">
        <f t="shared" si="9"/>
        <v>Low</v>
      </c>
      <c r="Z40" t="str">
        <f t="shared" si="10"/>
        <v>Not Met</v>
      </c>
      <c r="AA40" t="str">
        <f t="shared" si="11"/>
        <v>Low Discount</v>
      </c>
      <c r="AB40" s="10">
        <f>MIN(R40,ControlPanel!$B$5)</f>
        <v>0</v>
      </c>
      <c r="AC40">
        <f>P40*(1+ControlPanel!$B$6)</f>
        <v>67.725000000000009</v>
      </c>
      <c r="AD40">
        <f>T40*(1+ControlPanel!$B$7)</f>
        <v>3.3000000000000003</v>
      </c>
      <c r="AE40" s="6">
        <f t="shared" si="12"/>
        <v>407.94600000000003</v>
      </c>
      <c r="AF40">
        <f t="shared" si="13"/>
        <v>184.45349999999999</v>
      </c>
    </row>
    <row r="41" spans="1:32" x14ac:dyDescent="0.3">
      <c r="A41" t="s">
        <v>623</v>
      </c>
      <c r="B41" s="4">
        <v>45319</v>
      </c>
      <c r="C41" s="4" t="str">
        <f t="shared" si="2"/>
        <v>Jan-2024</v>
      </c>
      <c r="D41" t="str">
        <f t="shared" si="3"/>
        <v>Q1-2024</v>
      </c>
      <c r="E41" s="4">
        <v>45318</v>
      </c>
      <c r="F41" s="12">
        <f t="shared" si="0"/>
        <v>45333</v>
      </c>
      <c r="G41" s="13">
        <f t="shared" si="1"/>
        <v>14</v>
      </c>
      <c r="H41" t="s">
        <v>646</v>
      </c>
      <c r="I41" t="s">
        <v>661</v>
      </c>
      <c r="J41" t="s">
        <v>695</v>
      </c>
      <c r="K41" t="s">
        <v>706</v>
      </c>
      <c r="L41" t="s">
        <v>711</v>
      </c>
      <c r="M41" t="s">
        <v>719</v>
      </c>
      <c r="N41" t="s">
        <v>727</v>
      </c>
      <c r="O41" t="s">
        <v>1341</v>
      </c>
      <c r="P41" s="6">
        <v>109.75</v>
      </c>
      <c r="Q41" s="6">
        <v>124.25</v>
      </c>
      <c r="R41" s="10">
        <v>0.12</v>
      </c>
      <c r="S41" s="10" t="b">
        <f t="shared" si="4"/>
        <v>0</v>
      </c>
      <c r="T41" s="8">
        <v>19</v>
      </c>
      <c r="U41">
        <f t="shared" si="5"/>
        <v>2077.46</v>
      </c>
      <c r="V41">
        <f t="shared" si="6"/>
        <v>2085.25</v>
      </c>
      <c r="W41">
        <f t="shared" si="7"/>
        <v>-7.7899999999999636</v>
      </c>
      <c r="X41" s="10">
        <f t="shared" si="8"/>
        <v>-3.7497713554051405E-3</v>
      </c>
      <c r="Y41" t="str">
        <f t="shared" si="9"/>
        <v>Low</v>
      </c>
      <c r="Z41" t="str">
        <f t="shared" si="10"/>
        <v>Not Met</v>
      </c>
      <c r="AA41" t="str">
        <f t="shared" si="11"/>
        <v>Low Discount</v>
      </c>
      <c r="AB41" s="10">
        <f>MIN(R41,ControlPanel!$B$5)</f>
        <v>0.12</v>
      </c>
      <c r="AC41">
        <f>P41*(1+ControlPanel!$B$6)</f>
        <v>115.23750000000001</v>
      </c>
      <c r="AD41">
        <f>T41*(1+ControlPanel!$B$7)</f>
        <v>20.900000000000002</v>
      </c>
      <c r="AE41" s="6">
        <f t="shared" si="12"/>
        <v>2285.2060000000001</v>
      </c>
      <c r="AF41">
        <f t="shared" si="13"/>
        <v>-123.25775000000021</v>
      </c>
    </row>
    <row r="42" spans="1:32" x14ac:dyDescent="0.3">
      <c r="A42" t="s">
        <v>368</v>
      </c>
      <c r="B42" s="4">
        <v>45603</v>
      </c>
      <c r="C42" s="4" t="str">
        <f t="shared" si="2"/>
        <v>Nov-2024</v>
      </c>
      <c r="D42" t="str">
        <f t="shared" si="3"/>
        <v>Q4-2024</v>
      </c>
      <c r="E42" s="4">
        <v>45622</v>
      </c>
      <c r="F42" s="12">
        <f t="shared" si="0"/>
        <v>45622</v>
      </c>
      <c r="G42" s="13">
        <f t="shared" si="1"/>
        <v>19</v>
      </c>
      <c r="H42" t="s">
        <v>648</v>
      </c>
      <c r="I42" t="s">
        <v>655</v>
      </c>
      <c r="J42" t="s">
        <v>692</v>
      </c>
      <c r="K42" t="s">
        <v>703</v>
      </c>
      <c r="L42" t="s">
        <v>710</v>
      </c>
      <c r="M42" t="s">
        <v>713</v>
      </c>
      <c r="N42" t="s">
        <v>728</v>
      </c>
      <c r="O42" t="s">
        <v>1088</v>
      </c>
      <c r="P42" s="6">
        <v>55.35</v>
      </c>
      <c r="Q42" s="6">
        <v>128.68</v>
      </c>
      <c r="R42" s="10">
        <v>0.128</v>
      </c>
      <c r="S42" s="10" t="b">
        <f t="shared" si="4"/>
        <v>0</v>
      </c>
      <c r="T42" s="8">
        <v>10</v>
      </c>
      <c r="U42">
        <f t="shared" si="5"/>
        <v>1122.0896</v>
      </c>
      <c r="V42">
        <f t="shared" si="6"/>
        <v>553.5</v>
      </c>
      <c r="W42">
        <f t="shared" si="7"/>
        <v>568.58960000000002</v>
      </c>
      <c r="X42" s="10">
        <f t="shared" si="8"/>
        <v>0.50672388372550647</v>
      </c>
      <c r="Y42" t="str">
        <f t="shared" si="9"/>
        <v>Low</v>
      </c>
      <c r="Z42" t="str">
        <f t="shared" si="10"/>
        <v>Not Met</v>
      </c>
      <c r="AA42" t="str">
        <f t="shared" si="11"/>
        <v>Low Discount</v>
      </c>
      <c r="AB42" s="10">
        <f>MIN(R42,ControlPanel!$B$5)</f>
        <v>0.128</v>
      </c>
      <c r="AC42">
        <f>P42*(1+ControlPanel!$B$6)</f>
        <v>58.117500000000007</v>
      </c>
      <c r="AD42">
        <f>T42*(1+ControlPanel!$B$7)</f>
        <v>11</v>
      </c>
      <c r="AE42" s="6">
        <f t="shared" si="12"/>
        <v>1234.29856</v>
      </c>
      <c r="AF42">
        <f t="shared" si="13"/>
        <v>595.00605999999993</v>
      </c>
    </row>
    <row r="43" spans="1:32" x14ac:dyDescent="0.3">
      <c r="A43" t="s">
        <v>225</v>
      </c>
      <c r="B43" s="4">
        <v>45852</v>
      </c>
      <c r="C43" s="4" t="str">
        <f t="shared" si="2"/>
        <v>Jul-2025</v>
      </c>
      <c r="D43" t="str">
        <f t="shared" si="3"/>
        <v>Q3-2025</v>
      </c>
      <c r="E43" s="4">
        <v>45873</v>
      </c>
      <c r="F43" s="12">
        <f t="shared" si="0"/>
        <v>45873</v>
      </c>
      <c r="G43" s="13">
        <f t="shared" si="1"/>
        <v>21</v>
      </c>
      <c r="H43" t="s">
        <v>648</v>
      </c>
      <c r="I43" t="s">
        <v>653</v>
      </c>
      <c r="J43" t="s">
        <v>681</v>
      </c>
      <c r="K43" t="s">
        <v>704</v>
      </c>
      <c r="L43" t="s">
        <v>708</v>
      </c>
      <c r="M43" t="s">
        <v>722</v>
      </c>
      <c r="N43" t="s">
        <v>732</v>
      </c>
      <c r="O43" t="s">
        <v>945</v>
      </c>
      <c r="P43" s="6">
        <v>90.3</v>
      </c>
      <c r="Q43" s="6">
        <v>131.76</v>
      </c>
      <c r="R43" s="10">
        <v>0.10199999999999999</v>
      </c>
      <c r="S43" s="10" t="b">
        <f t="shared" si="4"/>
        <v>0</v>
      </c>
      <c r="T43" s="8">
        <v>15</v>
      </c>
      <c r="U43">
        <f t="shared" si="5"/>
        <v>1774.8071999999997</v>
      </c>
      <c r="V43">
        <f t="shared" si="6"/>
        <v>1354.5</v>
      </c>
      <c r="W43">
        <f t="shared" si="7"/>
        <v>420.30719999999974</v>
      </c>
      <c r="X43" s="10">
        <f t="shared" si="8"/>
        <v>0.23681851189244657</v>
      </c>
      <c r="Y43" t="str">
        <f t="shared" si="9"/>
        <v>Low</v>
      </c>
      <c r="Z43" t="str">
        <f t="shared" si="10"/>
        <v>Not Met</v>
      </c>
      <c r="AA43" t="str">
        <f t="shared" si="11"/>
        <v>Low Discount</v>
      </c>
      <c r="AB43" s="10">
        <f>MIN(R43,ControlPanel!$B$5)</f>
        <v>0.10199999999999999</v>
      </c>
      <c r="AC43">
        <f>P43*(1+ControlPanel!$B$6)</f>
        <v>94.814999999999998</v>
      </c>
      <c r="AD43">
        <f>T43*(1+ControlPanel!$B$7)</f>
        <v>16.5</v>
      </c>
      <c r="AE43" s="6">
        <f t="shared" si="12"/>
        <v>1952.2879199999998</v>
      </c>
      <c r="AF43">
        <f t="shared" si="13"/>
        <v>387.84041999999977</v>
      </c>
    </row>
    <row r="44" spans="1:32" x14ac:dyDescent="0.3">
      <c r="A44" t="s">
        <v>545</v>
      </c>
      <c r="B44" s="4">
        <v>45727</v>
      </c>
      <c r="C44" s="4" t="str">
        <f t="shared" si="2"/>
        <v>Mar-2025</v>
      </c>
      <c r="D44" t="str">
        <f t="shared" si="3"/>
        <v>Q1-2025</v>
      </c>
      <c r="E44" s="4">
        <v>45742</v>
      </c>
      <c r="F44" s="12">
        <f t="shared" si="0"/>
        <v>45742</v>
      </c>
      <c r="G44" s="13">
        <f t="shared" si="1"/>
        <v>15</v>
      </c>
      <c r="H44" t="s">
        <v>649</v>
      </c>
      <c r="I44" t="s">
        <v>656</v>
      </c>
      <c r="J44" t="s">
        <v>671</v>
      </c>
      <c r="K44" t="s">
        <v>705</v>
      </c>
      <c r="L44" t="s">
        <v>708</v>
      </c>
      <c r="M44" t="s">
        <v>714</v>
      </c>
      <c r="N44" t="s">
        <v>730</v>
      </c>
      <c r="O44" t="s">
        <v>1264</v>
      </c>
      <c r="P44" s="6">
        <v>116.97</v>
      </c>
      <c r="Q44" s="6">
        <v>140.82</v>
      </c>
      <c r="R44" s="10">
        <v>0.122</v>
      </c>
      <c r="S44" s="10" t="b">
        <f t="shared" si="4"/>
        <v>0</v>
      </c>
      <c r="T44" s="8">
        <v>5</v>
      </c>
      <c r="U44">
        <f t="shared" si="5"/>
        <v>618.19979999999998</v>
      </c>
      <c r="V44">
        <f t="shared" si="6"/>
        <v>584.85</v>
      </c>
      <c r="W44">
        <f t="shared" si="7"/>
        <v>33.349799999999959</v>
      </c>
      <c r="X44" s="10">
        <f t="shared" si="8"/>
        <v>5.3946636669892099E-2</v>
      </c>
      <c r="Y44" t="str">
        <f t="shared" si="9"/>
        <v>Low</v>
      </c>
      <c r="Z44" t="str">
        <f t="shared" si="10"/>
        <v>Not Met</v>
      </c>
      <c r="AA44" t="str">
        <f t="shared" si="11"/>
        <v>Low Discount</v>
      </c>
      <c r="AB44" s="10">
        <f>MIN(R44,ControlPanel!$B$5)</f>
        <v>0.122</v>
      </c>
      <c r="AC44">
        <f>P44*(1+ControlPanel!$B$6)</f>
        <v>122.8185</v>
      </c>
      <c r="AD44">
        <f>T44*(1+ControlPanel!$B$7)</f>
        <v>5.5</v>
      </c>
      <c r="AE44" s="6">
        <f t="shared" si="12"/>
        <v>680.01977999999997</v>
      </c>
      <c r="AF44">
        <f t="shared" si="13"/>
        <v>4.5180299999999534</v>
      </c>
    </row>
    <row r="45" spans="1:32" x14ac:dyDescent="0.3">
      <c r="A45" t="s">
        <v>531</v>
      </c>
      <c r="B45" s="4">
        <v>45794</v>
      </c>
      <c r="C45" s="4" t="str">
        <f t="shared" si="2"/>
        <v>May-2025</v>
      </c>
      <c r="D45" t="str">
        <f t="shared" si="3"/>
        <v>Q2-2025</v>
      </c>
      <c r="E45" s="4">
        <v>45807</v>
      </c>
      <c r="F45" s="12">
        <f t="shared" si="0"/>
        <v>45807</v>
      </c>
      <c r="G45" s="13">
        <f t="shared" si="1"/>
        <v>13</v>
      </c>
      <c r="H45" t="s">
        <v>646</v>
      </c>
      <c r="I45" t="s">
        <v>651</v>
      </c>
      <c r="J45" t="s">
        <v>665</v>
      </c>
      <c r="K45" t="s">
        <v>704</v>
      </c>
      <c r="L45" t="s">
        <v>710</v>
      </c>
      <c r="M45" t="s">
        <v>721</v>
      </c>
      <c r="N45" t="s">
        <v>733</v>
      </c>
      <c r="O45" t="s">
        <v>1250</v>
      </c>
      <c r="P45" s="6">
        <v>66.400000000000006</v>
      </c>
      <c r="Q45" s="6">
        <v>141.43</v>
      </c>
      <c r="R45" s="10">
        <v>0.107</v>
      </c>
      <c r="S45" s="10" t="b">
        <f t="shared" si="4"/>
        <v>0</v>
      </c>
      <c r="T45" s="8">
        <v>8</v>
      </c>
      <c r="U45">
        <f t="shared" si="5"/>
        <v>1010.3759200000001</v>
      </c>
      <c r="V45">
        <f t="shared" si="6"/>
        <v>531.20000000000005</v>
      </c>
      <c r="W45">
        <f t="shared" si="7"/>
        <v>479.17592000000002</v>
      </c>
      <c r="X45" s="10">
        <f t="shared" si="8"/>
        <v>0.47425508715607551</v>
      </c>
      <c r="Y45" t="str">
        <f t="shared" si="9"/>
        <v>Low</v>
      </c>
      <c r="Z45" t="str">
        <f t="shared" si="10"/>
        <v>Not Met</v>
      </c>
      <c r="AA45" t="str">
        <f t="shared" si="11"/>
        <v>Low Discount</v>
      </c>
      <c r="AB45" s="10">
        <f>MIN(R45,ControlPanel!$B$5)</f>
        <v>0.107</v>
      </c>
      <c r="AC45">
        <f>P45*(1+ControlPanel!$B$6)</f>
        <v>69.720000000000013</v>
      </c>
      <c r="AD45">
        <f>T45*(1+ControlPanel!$B$7)</f>
        <v>8.8000000000000007</v>
      </c>
      <c r="AE45" s="6">
        <f t="shared" si="12"/>
        <v>1111.4135120000001</v>
      </c>
      <c r="AF45">
        <f t="shared" si="13"/>
        <v>497.87751199999991</v>
      </c>
    </row>
    <row r="46" spans="1:32" x14ac:dyDescent="0.3">
      <c r="A46" t="s">
        <v>361</v>
      </c>
      <c r="B46" s="4">
        <v>45050</v>
      </c>
      <c r="C46" s="4" t="str">
        <f t="shared" si="2"/>
        <v>May-2023</v>
      </c>
      <c r="D46" t="str">
        <f t="shared" si="3"/>
        <v>Q2-2023</v>
      </c>
      <c r="E46" s="4">
        <v>45062</v>
      </c>
      <c r="F46" s="12">
        <f t="shared" si="0"/>
        <v>45062</v>
      </c>
      <c r="G46" s="13">
        <f t="shared" si="1"/>
        <v>12</v>
      </c>
      <c r="H46" t="s">
        <v>646</v>
      </c>
      <c r="I46" t="s">
        <v>651</v>
      </c>
      <c r="J46" t="s">
        <v>669</v>
      </c>
      <c r="K46" t="s">
        <v>705</v>
      </c>
      <c r="L46" t="s">
        <v>709</v>
      </c>
      <c r="M46" t="s">
        <v>713</v>
      </c>
      <c r="N46" t="s">
        <v>730</v>
      </c>
      <c r="O46" t="s">
        <v>1081</v>
      </c>
      <c r="P46" s="6">
        <v>77.739999999999995</v>
      </c>
      <c r="Q46" s="6">
        <v>147.12</v>
      </c>
      <c r="R46" s="10">
        <v>0</v>
      </c>
      <c r="S46" s="10" t="b">
        <f t="shared" si="4"/>
        <v>0</v>
      </c>
      <c r="T46" s="8">
        <v>15</v>
      </c>
      <c r="U46">
        <f t="shared" si="5"/>
        <v>2206.8000000000002</v>
      </c>
      <c r="V46">
        <f t="shared" si="6"/>
        <v>1166.0999999999999</v>
      </c>
      <c r="W46">
        <f t="shared" si="7"/>
        <v>1040.7000000000003</v>
      </c>
      <c r="X46" s="10">
        <f t="shared" si="8"/>
        <v>0.47158781946710177</v>
      </c>
      <c r="Y46" t="str">
        <f t="shared" si="9"/>
        <v>Low</v>
      </c>
      <c r="Z46" t="str">
        <f t="shared" si="10"/>
        <v>Not Met</v>
      </c>
      <c r="AA46" t="str">
        <f t="shared" si="11"/>
        <v>Low Discount</v>
      </c>
      <c r="AB46" s="10">
        <f>MIN(R46,ControlPanel!$B$5)</f>
        <v>0</v>
      </c>
      <c r="AC46">
        <f>P46*(1+ControlPanel!$B$6)</f>
        <v>81.626999999999995</v>
      </c>
      <c r="AD46">
        <f>T46*(1+ControlPanel!$B$7)</f>
        <v>16.5</v>
      </c>
      <c r="AE46" s="6">
        <f t="shared" si="12"/>
        <v>2427.48</v>
      </c>
      <c r="AF46">
        <f t="shared" si="13"/>
        <v>1080.6345000000001</v>
      </c>
    </row>
    <row r="47" spans="1:32" x14ac:dyDescent="0.3">
      <c r="A47" t="s">
        <v>259</v>
      </c>
      <c r="B47" s="4">
        <v>45357</v>
      </c>
      <c r="C47" s="4" t="str">
        <f t="shared" si="2"/>
        <v>Mar-2024</v>
      </c>
      <c r="D47" t="str">
        <f t="shared" si="3"/>
        <v>Q1-2024</v>
      </c>
      <c r="E47" s="4">
        <v>45377</v>
      </c>
      <c r="F47" s="12">
        <f t="shared" si="0"/>
        <v>45377</v>
      </c>
      <c r="G47" s="13">
        <f t="shared" si="1"/>
        <v>20</v>
      </c>
      <c r="H47" t="s">
        <v>646</v>
      </c>
      <c r="I47" t="s">
        <v>651</v>
      </c>
      <c r="J47" t="s">
        <v>663</v>
      </c>
      <c r="K47" t="s">
        <v>704</v>
      </c>
      <c r="L47" t="s">
        <v>709</v>
      </c>
      <c r="M47" t="s">
        <v>714</v>
      </c>
      <c r="N47" t="s">
        <v>730</v>
      </c>
      <c r="O47" t="s">
        <v>979</v>
      </c>
      <c r="P47" s="6">
        <v>65.64</v>
      </c>
      <c r="Q47" s="6">
        <v>151.88</v>
      </c>
      <c r="R47" s="10">
        <v>0.16700000000000001</v>
      </c>
      <c r="S47" s="10" t="b">
        <f t="shared" si="4"/>
        <v>0</v>
      </c>
      <c r="T47" s="8">
        <v>23</v>
      </c>
      <c r="U47">
        <f t="shared" si="5"/>
        <v>2909.8689199999999</v>
      </c>
      <c r="V47">
        <f t="shared" si="6"/>
        <v>1509.72</v>
      </c>
      <c r="W47">
        <f t="shared" si="7"/>
        <v>1400.1489199999999</v>
      </c>
      <c r="X47" s="10">
        <f t="shared" si="8"/>
        <v>0.48117250587356353</v>
      </c>
      <c r="Y47" t="str">
        <f t="shared" si="9"/>
        <v>Low</v>
      </c>
      <c r="Z47" t="str">
        <f t="shared" si="10"/>
        <v>Not Met</v>
      </c>
      <c r="AA47" t="str">
        <f t="shared" si="11"/>
        <v>Low Discount</v>
      </c>
      <c r="AB47" s="10">
        <f>MIN(R47,ControlPanel!$B$5)</f>
        <v>0.16700000000000001</v>
      </c>
      <c r="AC47">
        <f>P47*(1+ControlPanel!$B$6)</f>
        <v>68.921999999999997</v>
      </c>
      <c r="AD47">
        <f>T47*(1+ControlPanel!$B$7)</f>
        <v>25.3</v>
      </c>
      <c r="AE47" s="6">
        <f t="shared" si="12"/>
        <v>3200.8558119999998</v>
      </c>
      <c r="AF47">
        <f t="shared" si="13"/>
        <v>1457.1292119999998</v>
      </c>
    </row>
    <row r="48" spans="1:32" x14ac:dyDescent="0.3">
      <c r="A48" t="s">
        <v>123</v>
      </c>
      <c r="B48" s="4">
        <v>45581</v>
      </c>
      <c r="C48" s="4" t="str">
        <f t="shared" si="2"/>
        <v>Oct-2024</v>
      </c>
      <c r="D48" t="str">
        <f t="shared" si="3"/>
        <v>Q4-2024</v>
      </c>
      <c r="E48" s="4">
        <v>45604</v>
      </c>
      <c r="F48" s="12">
        <f t="shared" si="0"/>
        <v>45604</v>
      </c>
      <c r="G48" s="13">
        <f t="shared" si="1"/>
        <v>23</v>
      </c>
      <c r="H48" t="s">
        <v>647</v>
      </c>
      <c r="I48" t="s">
        <v>652</v>
      </c>
      <c r="J48" t="s">
        <v>666</v>
      </c>
      <c r="K48" t="s">
        <v>705</v>
      </c>
      <c r="L48" t="s">
        <v>707</v>
      </c>
      <c r="M48" t="s">
        <v>713</v>
      </c>
      <c r="N48" t="s">
        <v>729</v>
      </c>
      <c r="O48" t="s">
        <v>842</v>
      </c>
      <c r="P48" s="6">
        <v>82.14</v>
      </c>
      <c r="Q48" s="6">
        <v>166.04</v>
      </c>
      <c r="R48" s="10">
        <v>0</v>
      </c>
      <c r="S48" s="10" t="b">
        <f t="shared" si="4"/>
        <v>0</v>
      </c>
      <c r="T48" s="8">
        <v>10</v>
      </c>
      <c r="U48">
        <f t="shared" si="5"/>
        <v>1660.3999999999999</v>
      </c>
      <c r="V48">
        <f t="shared" si="6"/>
        <v>821.4</v>
      </c>
      <c r="W48">
        <f t="shared" si="7"/>
        <v>838.99999999999989</v>
      </c>
      <c r="X48" s="10">
        <f t="shared" si="8"/>
        <v>0.50529992772825827</v>
      </c>
      <c r="Y48" t="str">
        <f t="shared" si="9"/>
        <v>Low</v>
      </c>
      <c r="Z48" t="str">
        <f t="shared" si="10"/>
        <v>Not Met</v>
      </c>
      <c r="AA48" t="str">
        <f t="shared" si="11"/>
        <v>Low Discount</v>
      </c>
      <c r="AB48" s="10">
        <f>MIN(R48,ControlPanel!$B$5)</f>
        <v>0</v>
      </c>
      <c r="AC48">
        <f>P48*(1+ControlPanel!$B$6)</f>
        <v>86.247</v>
      </c>
      <c r="AD48">
        <f>T48*(1+ControlPanel!$B$7)</f>
        <v>11</v>
      </c>
      <c r="AE48" s="6">
        <f t="shared" si="12"/>
        <v>1826.4399999999998</v>
      </c>
      <c r="AF48">
        <f t="shared" si="13"/>
        <v>877.72299999999984</v>
      </c>
    </row>
    <row r="49" spans="1:32" x14ac:dyDescent="0.3">
      <c r="A49" t="s">
        <v>502</v>
      </c>
      <c r="B49" s="4">
        <v>45424</v>
      </c>
      <c r="C49" s="4" t="str">
        <f t="shared" si="2"/>
        <v>May-2024</v>
      </c>
      <c r="D49" t="str">
        <f t="shared" si="3"/>
        <v>Q2-2024</v>
      </c>
      <c r="E49" s="4">
        <v>45436</v>
      </c>
      <c r="F49" s="12">
        <f t="shared" si="0"/>
        <v>45436</v>
      </c>
      <c r="G49" s="13">
        <f t="shared" si="1"/>
        <v>12</v>
      </c>
      <c r="H49" t="s">
        <v>649</v>
      </c>
      <c r="I49" t="s">
        <v>658</v>
      </c>
      <c r="J49" t="s">
        <v>693</v>
      </c>
      <c r="K49" t="s">
        <v>702</v>
      </c>
      <c r="L49" t="s">
        <v>709</v>
      </c>
      <c r="M49" t="s">
        <v>723</v>
      </c>
      <c r="N49" t="s">
        <v>728</v>
      </c>
      <c r="O49" t="s">
        <v>1221</v>
      </c>
      <c r="P49" s="6">
        <v>111.02</v>
      </c>
      <c r="Q49" s="6">
        <v>172.88</v>
      </c>
      <c r="R49" s="10">
        <v>0.19700000000000001</v>
      </c>
      <c r="S49" s="10" t="b">
        <f t="shared" si="4"/>
        <v>0</v>
      </c>
      <c r="T49" s="8">
        <v>29</v>
      </c>
      <c r="U49">
        <f t="shared" si="5"/>
        <v>4025.8565599999993</v>
      </c>
      <c r="V49">
        <f t="shared" si="6"/>
        <v>3219.58</v>
      </c>
      <c r="W49">
        <f t="shared" si="7"/>
        <v>806.27655999999934</v>
      </c>
      <c r="X49" s="10">
        <f t="shared" si="8"/>
        <v>0.20027453735212053</v>
      </c>
      <c r="Y49" t="str">
        <f t="shared" si="9"/>
        <v>Low</v>
      </c>
      <c r="Z49" t="str">
        <f t="shared" si="10"/>
        <v>Not Met</v>
      </c>
      <c r="AA49" t="str">
        <f t="shared" si="11"/>
        <v>Low Discount</v>
      </c>
      <c r="AB49" s="10">
        <f>MIN(R49,ControlPanel!$B$5)</f>
        <v>0.19700000000000001</v>
      </c>
      <c r="AC49">
        <f>P49*(1+ControlPanel!$B$6)</f>
        <v>116.571</v>
      </c>
      <c r="AD49">
        <f>T49*(1+ControlPanel!$B$7)</f>
        <v>31.900000000000002</v>
      </c>
      <c r="AE49" s="6">
        <f t="shared" si="12"/>
        <v>4428.4422159999995</v>
      </c>
      <c r="AF49">
        <f t="shared" si="13"/>
        <v>709.82731599999943</v>
      </c>
    </row>
    <row r="50" spans="1:32" x14ac:dyDescent="0.3">
      <c r="A50" t="s">
        <v>41</v>
      </c>
      <c r="B50" s="4">
        <v>45626</v>
      </c>
      <c r="C50" s="4" t="str">
        <f t="shared" si="2"/>
        <v>Nov-2024</v>
      </c>
      <c r="D50" t="str">
        <f t="shared" si="3"/>
        <v>Q4-2024</v>
      </c>
      <c r="E50" s="4">
        <v>45656</v>
      </c>
      <c r="F50" s="12">
        <f t="shared" si="0"/>
        <v>45656</v>
      </c>
      <c r="G50" s="13">
        <f t="shared" si="1"/>
        <v>30</v>
      </c>
      <c r="H50" t="s">
        <v>649</v>
      </c>
      <c r="I50" t="s">
        <v>657</v>
      </c>
      <c r="J50" t="s">
        <v>673</v>
      </c>
      <c r="K50" t="s">
        <v>704</v>
      </c>
      <c r="L50" t="s">
        <v>709</v>
      </c>
      <c r="M50" t="s">
        <v>721</v>
      </c>
      <c r="N50" t="s">
        <v>728</v>
      </c>
      <c r="O50" t="s">
        <v>760</v>
      </c>
      <c r="P50" s="6">
        <v>117.64</v>
      </c>
      <c r="Q50" s="6">
        <v>175.67</v>
      </c>
      <c r="R50" s="10">
        <v>0</v>
      </c>
      <c r="S50" s="10" t="b">
        <f t="shared" si="4"/>
        <v>0</v>
      </c>
      <c r="T50" s="8">
        <v>10</v>
      </c>
      <c r="U50">
        <f t="shared" si="5"/>
        <v>1756.6999999999998</v>
      </c>
      <c r="V50">
        <f t="shared" si="6"/>
        <v>1176.4000000000001</v>
      </c>
      <c r="W50">
        <f t="shared" si="7"/>
        <v>580.29999999999973</v>
      </c>
      <c r="X50" s="10">
        <f t="shared" si="8"/>
        <v>0.33033528775545046</v>
      </c>
      <c r="Y50" t="str">
        <f t="shared" si="9"/>
        <v>Low</v>
      </c>
      <c r="Z50" t="str">
        <f t="shared" si="10"/>
        <v>Not Met</v>
      </c>
      <c r="AA50" t="str">
        <f t="shared" si="11"/>
        <v>Low Discount</v>
      </c>
      <c r="AB50" s="10">
        <f>MIN(R50,ControlPanel!$B$5)</f>
        <v>0</v>
      </c>
      <c r="AC50">
        <f>P50*(1+ControlPanel!$B$6)</f>
        <v>123.52200000000001</v>
      </c>
      <c r="AD50">
        <f>T50*(1+ControlPanel!$B$7)</f>
        <v>11</v>
      </c>
      <c r="AE50" s="6">
        <f t="shared" si="12"/>
        <v>1932.37</v>
      </c>
      <c r="AF50">
        <f t="shared" si="13"/>
        <v>573.62799999999993</v>
      </c>
    </row>
    <row r="51" spans="1:32" x14ac:dyDescent="0.3">
      <c r="A51" t="s">
        <v>220</v>
      </c>
      <c r="B51" s="4">
        <v>45109</v>
      </c>
      <c r="C51" s="4" t="str">
        <f t="shared" si="2"/>
        <v>Jul-2023</v>
      </c>
      <c r="D51" t="str">
        <f t="shared" si="3"/>
        <v>Q3-2023</v>
      </c>
      <c r="E51" s="4">
        <v>45139</v>
      </c>
      <c r="F51" s="12">
        <f t="shared" si="0"/>
        <v>45139</v>
      </c>
      <c r="G51" s="13">
        <f t="shared" si="1"/>
        <v>30</v>
      </c>
      <c r="H51" t="s">
        <v>649</v>
      </c>
      <c r="I51" t="s">
        <v>658</v>
      </c>
      <c r="J51" t="s">
        <v>674</v>
      </c>
      <c r="K51" t="s">
        <v>705</v>
      </c>
      <c r="L51" t="s">
        <v>707</v>
      </c>
      <c r="M51" t="s">
        <v>717</v>
      </c>
      <c r="N51" t="s">
        <v>727</v>
      </c>
      <c r="O51" t="s">
        <v>940</v>
      </c>
      <c r="P51" s="6">
        <v>137.46</v>
      </c>
      <c r="Q51" s="6">
        <v>188.3</v>
      </c>
      <c r="R51" s="10">
        <v>3.7999999999999999E-2</v>
      </c>
      <c r="S51" s="10" t="b">
        <f t="shared" si="4"/>
        <v>0</v>
      </c>
      <c r="T51" s="8">
        <v>37</v>
      </c>
      <c r="U51">
        <f t="shared" si="5"/>
        <v>6702.3501999999999</v>
      </c>
      <c r="V51">
        <f t="shared" si="6"/>
        <v>5086.0200000000004</v>
      </c>
      <c r="W51">
        <f t="shared" si="7"/>
        <v>1616.3301999999994</v>
      </c>
      <c r="X51" s="10">
        <f t="shared" si="8"/>
        <v>0.24115872071262398</v>
      </c>
      <c r="Y51" t="str">
        <f t="shared" si="9"/>
        <v>Low</v>
      </c>
      <c r="Z51" t="str">
        <f t="shared" si="10"/>
        <v>Not Met</v>
      </c>
      <c r="AA51" t="str">
        <f t="shared" si="11"/>
        <v>Low Discount</v>
      </c>
      <c r="AB51" s="10">
        <f>MIN(R51,ControlPanel!$B$5)</f>
        <v>3.7999999999999999E-2</v>
      </c>
      <c r="AC51">
        <f>P51*(1+ControlPanel!$B$6)</f>
        <v>144.33300000000003</v>
      </c>
      <c r="AD51">
        <f>T51*(1+ControlPanel!$B$7)</f>
        <v>40.700000000000003</v>
      </c>
      <c r="AE51" s="6">
        <f t="shared" si="12"/>
        <v>7372.5852200000008</v>
      </c>
      <c r="AF51">
        <f t="shared" si="13"/>
        <v>1498.2321199999997</v>
      </c>
    </row>
    <row r="52" spans="1:32" x14ac:dyDescent="0.3">
      <c r="A52" t="s">
        <v>448</v>
      </c>
      <c r="B52" s="4">
        <v>45542</v>
      </c>
      <c r="C52" s="4" t="str">
        <f t="shared" si="2"/>
        <v>Sep-2024</v>
      </c>
      <c r="D52" t="str">
        <f t="shared" si="3"/>
        <v>Q3-2024</v>
      </c>
      <c r="E52" s="4">
        <v>45553</v>
      </c>
      <c r="F52" s="12">
        <f t="shared" si="0"/>
        <v>45553</v>
      </c>
      <c r="G52" s="13">
        <f t="shared" si="1"/>
        <v>11</v>
      </c>
      <c r="H52" t="s">
        <v>647</v>
      </c>
      <c r="I52" t="s">
        <v>659</v>
      </c>
      <c r="J52" t="s">
        <v>699</v>
      </c>
      <c r="K52" t="s">
        <v>704</v>
      </c>
      <c r="L52" t="s">
        <v>710</v>
      </c>
      <c r="M52" t="s">
        <v>719</v>
      </c>
      <c r="N52" t="s">
        <v>729</v>
      </c>
      <c r="O52" t="s">
        <v>1167</v>
      </c>
      <c r="P52" s="6">
        <v>181.74</v>
      </c>
      <c r="Q52" s="6">
        <v>190.84</v>
      </c>
      <c r="R52" s="10">
        <v>0.214</v>
      </c>
      <c r="S52" s="10" t="b">
        <f t="shared" si="4"/>
        <v>0</v>
      </c>
      <c r="T52" s="8">
        <v>13</v>
      </c>
      <c r="U52">
        <f t="shared" si="5"/>
        <v>1950.0031200000003</v>
      </c>
      <c r="V52">
        <f t="shared" si="6"/>
        <v>2362.62</v>
      </c>
      <c r="W52">
        <f t="shared" si="7"/>
        <v>-412.61687999999958</v>
      </c>
      <c r="X52" s="10">
        <f t="shared" si="8"/>
        <v>-0.21159806144310145</v>
      </c>
      <c r="Y52" t="str">
        <f t="shared" si="9"/>
        <v>Low</v>
      </c>
      <c r="Z52" t="str">
        <f t="shared" si="10"/>
        <v>Not Met</v>
      </c>
      <c r="AA52" t="str">
        <f t="shared" si="11"/>
        <v>High Discount</v>
      </c>
      <c r="AB52" s="10">
        <f>MIN(R52,ControlPanel!$B$5)</f>
        <v>0.2</v>
      </c>
      <c r="AC52">
        <f>P52*(1+ControlPanel!$B$6)</f>
        <v>190.82700000000003</v>
      </c>
      <c r="AD52">
        <f>T52*(1+ControlPanel!$B$7)</f>
        <v>14.3</v>
      </c>
      <c r="AE52" s="6">
        <f t="shared" si="12"/>
        <v>2183.2096000000001</v>
      </c>
      <c r="AF52">
        <f t="shared" si="13"/>
        <v>-545.61650000000054</v>
      </c>
    </row>
    <row r="53" spans="1:32" x14ac:dyDescent="0.3">
      <c r="A53" t="s">
        <v>457</v>
      </c>
      <c r="B53" s="4">
        <v>45526</v>
      </c>
      <c r="C53" s="4" t="str">
        <f t="shared" si="2"/>
        <v>Aug-2024</v>
      </c>
      <c r="D53" t="str">
        <f t="shared" si="3"/>
        <v>Q3-2024</v>
      </c>
      <c r="E53" s="4">
        <v>45539</v>
      </c>
      <c r="F53" s="12">
        <f t="shared" si="0"/>
        <v>45539</v>
      </c>
      <c r="G53" s="13">
        <f t="shared" si="1"/>
        <v>13</v>
      </c>
      <c r="H53" t="s">
        <v>649</v>
      </c>
      <c r="I53" t="s">
        <v>656</v>
      </c>
      <c r="J53" t="s">
        <v>698</v>
      </c>
      <c r="K53" t="s">
        <v>703</v>
      </c>
      <c r="L53" t="s">
        <v>707</v>
      </c>
      <c r="M53" t="s">
        <v>716</v>
      </c>
      <c r="N53" t="s">
        <v>728</v>
      </c>
      <c r="O53" t="s">
        <v>1176</v>
      </c>
      <c r="P53" s="6">
        <v>90.04</v>
      </c>
      <c r="Q53" s="6">
        <v>194.62</v>
      </c>
      <c r="R53" s="10">
        <v>4.2999999999999997E-2</v>
      </c>
      <c r="S53" s="10" t="b">
        <f t="shared" si="4"/>
        <v>0</v>
      </c>
      <c r="T53" s="8">
        <v>32</v>
      </c>
      <c r="U53">
        <f t="shared" si="5"/>
        <v>5960.04288</v>
      </c>
      <c r="V53">
        <f t="shared" si="6"/>
        <v>2881.28</v>
      </c>
      <c r="W53">
        <f t="shared" si="7"/>
        <v>3078.7628799999998</v>
      </c>
      <c r="X53" s="10">
        <f t="shared" si="8"/>
        <v>0.51656723650954672</v>
      </c>
      <c r="Y53" t="str">
        <f t="shared" si="9"/>
        <v>Low</v>
      </c>
      <c r="Z53" t="str">
        <f t="shared" si="10"/>
        <v>Not Met</v>
      </c>
      <c r="AA53" t="str">
        <f t="shared" si="11"/>
        <v>Low Discount</v>
      </c>
      <c r="AB53" s="10">
        <f>MIN(R53,ControlPanel!$B$5)</f>
        <v>4.2999999999999997E-2</v>
      </c>
      <c r="AC53">
        <f>P53*(1+ControlPanel!$B$6)</f>
        <v>94.542000000000016</v>
      </c>
      <c r="AD53">
        <f>T53*(1+ControlPanel!$B$7)</f>
        <v>35.200000000000003</v>
      </c>
      <c r="AE53" s="6">
        <f t="shared" si="12"/>
        <v>6556.0471680000001</v>
      </c>
      <c r="AF53">
        <f t="shared" si="13"/>
        <v>3228.1687679999991</v>
      </c>
    </row>
    <row r="54" spans="1:32" x14ac:dyDescent="0.3">
      <c r="A54" t="s">
        <v>50</v>
      </c>
      <c r="B54" s="4">
        <v>45012</v>
      </c>
      <c r="C54" s="4" t="str">
        <f t="shared" si="2"/>
        <v>Mar-2023</v>
      </c>
      <c r="D54" t="str">
        <f t="shared" si="3"/>
        <v>Q1-2023</v>
      </c>
      <c r="E54" s="4">
        <v>45038</v>
      </c>
      <c r="F54" s="12">
        <f t="shared" si="0"/>
        <v>45038</v>
      </c>
      <c r="G54" s="13">
        <f t="shared" si="1"/>
        <v>26</v>
      </c>
      <c r="H54" t="s">
        <v>647</v>
      </c>
      <c r="I54" t="s">
        <v>654</v>
      </c>
      <c r="J54" t="s">
        <v>680</v>
      </c>
      <c r="K54" t="s">
        <v>703</v>
      </c>
      <c r="L54" t="s">
        <v>709</v>
      </c>
      <c r="M54" t="s">
        <v>713</v>
      </c>
      <c r="N54" t="s">
        <v>728</v>
      </c>
      <c r="O54" t="s">
        <v>769</v>
      </c>
      <c r="P54" s="6">
        <v>178.53</v>
      </c>
      <c r="Q54" s="6">
        <v>199.37</v>
      </c>
      <c r="R54" s="10">
        <v>0.10100000000000001</v>
      </c>
      <c r="S54" s="10" t="b">
        <f t="shared" si="4"/>
        <v>0</v>
      </c>
      <c r="T54" s="8">
        <v>37</v>
      </c>
      <c r="U54">
        <f t="shared" si="5"/>
        <v>6631.6443100000006</v>
      </c>
      <c r="V54">
        <f t="shared" si="6"/>
        <v>6605.61</v>
      </c>
      <c r="W54">
        <f t="shared" si="7"/>
        <v>26.034310000000914</v>
      </c>
      <c r="X54" s="10">
        <f t="shared" si="8"/>
        <v>3.9257699573457538E-3</v>
      </c>
      <c r="Y54" t="str">
        <f t="shared" si="9"/>
        <v>Low</v>
      </c>
      <c r="Z54" t="str">
        <f t="shared" si="10"/>
        <v>Not Met</v>
      </c>
      <c r="AA54" t="str">
        <f t="shared" si="11"/>
        <v>Low Discount</v>
      </c>
      <c r="AB54" s="10">
        <f>MIN(R54,ControlPanel!$B$5)</f>
        <v>0.10100000000000001</v>
      </c>
      <c r="AC54">
        <f>P54*(1+ControlPanel!$B$6)</f>
        <v>187.45650000000001</v>
      </c>
      <c r="AD54">
        <f>T54*(1+ControlPanel!$B$7)</f>
        <v>40.700000000000003</v>
      </c>
      <c r="AE54" s="6">
        <f t="shared" si="12"/>
        <v>7294.8087410000007</v>
      </c>
      <c r="AF54">
        <f t="shared" si="13"/>
        <v>-334.67080900000019</v>
      </c>
    </row>
    <row r="55" spans="1:32" x14ac:dyDescent="0.3">
      <c r="A55" t="s">
        <v>474</v>
      </c>
      <c r="B55" s="4">
        <v>45116</v>
      </c>
      <c r="C55" s="4" t="str">
        <f t="shared" si="2"/>
        <v>Jul-2023</v>
      </c>
      <c r="D55" t="str">
        <f t="shared" si="3"/>
        <v>Q3-2023</v>
      </c>
      <c r="E55" s="4">
        <v>45126</v>
      </c>
      <c r="F55" s="12">
        <f t="shared" si="0"/>
        <v>45126</v>
      </c>
      <c r="G55" s="13">
        <f t="shared" si="1"/>
        <v>10</v>
      </c>
      <c r="H55" t="s">
        <v>647</v>
      </c>
      <c r="I55" t="s">
        <v>652</v>
      </c>
      <c r="J55" t="s">
        <v>689</v>
      </c>
      <c r="K55" t="s">
        <v>706</v>
      </c>
      <c r="L55" t="s">
        <v>710</v>
      </c>
      <c r="M55" t="s">
        <v>725</v>
      </c>
      <c r="N55" t="s">
        <v>727</v>
      </c>
      <c r="O55" t="s">
        <v>1193</v>
      </c>
      <c r="P55" s="6">
        <v>141.26</v>
      </c>
      <c r="Q55" s="6">
        <v>206.88</v>
      </c>
      <c r="R55" s="10">
        <v>0.107</v>
      </c>
      <c r="S55" s="10" t="b">
        <f t="shared" si="4"/>
        <v>0</v>
      </c>
      <c r="T55" s="8">
        <v>9</v>
      </c>
      <c r="U55">
        <f t="shared" si="5"/>
        <v>1662.6945600000001</v>
      </c>
      <c r="V55">
        <f t="shared" si="6"/>
        <v>1271.3399999999999</v>
      </c>
      <c r="W55">
        <f t="shared" si="7"/>
        <v>391.35456000000022</v>
      </c>
      <c r="X55" s="10">
        <f t="shared" si="8"/>
        <v>0.23537369365062469</v>
      </c>
      <c r="Y55" t="str">
        <f t="shared" si="9"/>
        <v>Low</v>
      </c>
      <c r="Z55" t="str">
        <f t="shared" si="10"/>
        <v>Not Met</v>
      </c>
      <c r="AA55" t="str">
        <f t="shared" si="11"/>
        <v>Low Discount</v>
      </c>
      <c r="AB55" s="10">
        <f>MIN(R55,ControlPanel!$B$5)</f>
        <v>0.107</v>
      </c>
      <c r="AC55">
        <f>P55*(1+ControlPanel!$B$6)</f>
        <v>148.32300000000001</v>
      </c>
      <c r="AD55">
        <f>T55*(1+ControlPanel!$B$7)</f>
        <v>9.9</v>
      </c>
      <c r="AE55" s="6">
        <f t="shared" si="12"/>
        <v>1828.9640160000001</v>
      </c>
      <c r="AF55">
        <f t="shared" si="13"/>
        <v>360.56631599999992</v>
      </c>
    </row>
    <row r="56" spans="1:32" x14ac:dyDescent="0.3">
      <c r="A56" t="s">
        <v>565</v>
      </c>
      <c r="B56" s="4">
        <v>45875</v>
      </c>
      <c r="C56" s="4" t="str">
        <f t="shared" si="2"/>
        <v>Aug-2025</v>
      </c>
      <c r="D56" t="str">
        <f t="shared" si="3"/>
        <v>Q3-2025</v>
      </c>
      <c r="E56" s="4">
        <v>45892</v>
      </c>
      <c r="F56" s="12">
        <f t="shared" si="0"/>
        <v>45892</v>
      </c>
      <c r="G56" s="13">
        <f t="shared" si="1"/>
        <v>17</v>
      </c>
      <c r="H56" t="s">
        <v>648</v>
      </c>
      <c r="I56" t="s">
        <v>655</v>
      </c>
      <c r="J56" t="s">
        <v>672</v>
      </c>
      <c r="K56" t="s">
        <v>704</v>
      </c>
      <c r="L56" t="s">
        <v>710</v>
      </c>
      <c r="M56" t="s">
        <v>720</v>
      </c>
      <c r="N56" t="s">
        <v>732</v>
      </c>
      <c r="O56" t="s">
        <v>1283</v>
      </c>
      <c r="P56" s="6">
        <v>86.64</v>
      </c>
      <c r="Q56" s="6">
        <v>213.06</v>
      </c>
      <c r="R56" s="10">
        <v>0.21199999999999999</v>
      </c>
      <c r="S56" s="10" t="b">
        <f t="shared" si="4"/>
        <v>0</v>
      </c>
      <c r="T56" s="8">
        <v>11</v>
      </c>
      <c r="U56">
        <f t="shared" si="5"/>
        <v>1846.8040800000003</v>
      </c>
      <c r="V56">
        <f t="shared" si="6"/>
        <v>953.04</v>
      </c>
      <c r="W56">
        <f t="shared" si="7"/>
        <v>893.76408000000038</v>
      </c>
      <c r="X56" s="10">
        <f t="shared" si="8"/>
        <v>0.48395175735154333</v>
      </c>
      <c r="Y56" t="str">
        <f t="shared" si="9"/>
        <v>Low</v>
      </c>
      <c r="Z56" t="str">
        <f t="shared" si="10"/>
        <v>Not Met</v>
      </c>
      <c r="AA56" t="str">
        <f t="shared" si="11"/>
        <v>High Discount</v>
      </c>
      <c r="AB56" s="10">
        <f>MIN(R56,ControlPanel!$B$5)</f>
        <v>0.2</v>
      </c>
      <c r="AC56">
        <f>P56*(1+ControlPanel!$B$6)</f>
        <v>90.972000000000008</v>
      </c>
      <c r="AD56">
        <f>T56*(1+ControlPanel!$B$7)</f>
        <v>12.100000000000001</v>
      </c>
      <c r="AE56" s="6">
        <f t="shared" si="12"/>
        <v>2062.4208000000003</v>
      </c>
      <c r="AF56">
        <f t="shared" si="13"/>
        <v>961.65960000000018</v>
      </c>
    </row>
    <row r="57" spans="1:32" x14ac:dyDescent="0.3">
      <c r="A57" t="s">
        <v>319</v>
      </c>
      <c r="B57" s="4">
        <v>45756</v>
      </c>
      <c r="C57" s="4" t="str">
        <f t="shared" si="2"/>
        <v>Apr-2025</v>
      </c>
      <c r="D57" t="str">
        <f t="shared" si="3"/>
        <v>Q2-2025</v>
      </c>
      <c r="E57" s="4">
        <v>45759</v>
      </c>
      <c r="F57" s="12">
        <f t="shared" si="0"/>
        <v>45759</v>
      </c>
      <c r="G57" s="13">
        <f t="shared" si="1"/>
        <v>3</v>
      </c>
      <c r="H57" t="s">
        <v>649</v>
      </c>
      <c r="I57" t="s">
        <v>657</v>
      </c>
      <c r="J57" t="s">
        <v>679</v>
      </c>
      <c r="K57" t="s">
        <v>705</v>
      </c>
      <c r="L57" t="s">
        <v>710</v>
      </c>
      <c r="M57" t="s">
        <v>722</v>
      </c>
      <c r="N57" t="s">
        <v>732</v>
      </c>
      <c r="O57" t="s">
        <v>1039</v>
      </c>
      <c r="P57" s="6">
        <v>86.68</v>
      </c>
      <c r="Q57" s="6">
        <v>213.32</v>
      </c>
      <c r="R57" s="10">
        <v>3.7999999999999999E-2</v>
      </c>
      <c r="S57" s="10" t="b">
        <f t="shared" si="4"/>
        <v>0</v>
      </c>
      <c r="T57" s="8">
        <v>8</v>
      </c>
      <c r="U57">
        <f t="shared" si="5"/>
        <v>1641.7107199999998</v>
      </c>
      <c r="V57">
        <f t="shared" si="6"/>
        <v>693.44</v>
      </c>
      <c r="W57">
        <f t="shared" si="7"/>
        <v>948.27071999999976</v>
      </c>
      <c r="X57" s="10">
        <f t="shared" si="8"/>
        <v>0.57761133459614611</v>
      </c>
      <c r="Y57" t="str">
        <f t="shared" si="9"/>
        <v>Low</v>
      </c>
      <c r="Z57" t="str">
        <f t="shared" si="10"/>
        <v>Met</v>
      </c>
      <c r="AA57" t="str">
        <f t="shared" si="11"/>
        <v>Low Discount</v>
      </c>
      <c r="AB57" s="10">
        <f>MIN(R57,ControlPanel!$B$5)</f>
        <v>3.7999999999999999E-2</v>
      </c>
      <c r="AC57">
        <f>P57*(1+ControlPanel!$B$6)</f>
        <v>91.01400000000001</v>
      </c>
      <c r="AD57">
        <f>T57*(1+ControlPanel!$B$7)</f>
        <v>8.8000000000000007</v>
      </c>
      <c r="AE57" s="6">
        <f t="shared" si="12"/>
        <v>1805.8817919999999</v>
      </c>
      <c r="AF57">
        <f t="shared" si="13"/>
        <v>1004.9585919999997</v>
      </c>
    </row>
    <row r="58" spans="1:32" x14ac:dyDescent="0.3">
      <c r="A58" t="s">
        <v>128</v>
      </c>
      <c r="B58" s="4">
        <v>45674</v>
      </c>
      <c r="C58" s="4" t="str">
        <f t="shared" si="2"/>
        <v>Jan-2025</v>
      </c>
      <c r="D58" t="str">
        <f t="shared" si="3"/>
        <v>Q1-2025</v>
      </c>
      <c r="E58" s="4">
        <v>45681</v>
      </c>
      <c r="F58" s="12">
        <f t="shared" si="0"/>
        <v>45681</v>
      </c>
      <c r="G58" s="13">
        <f t="shared" si="1"/>
        <v>7</v>
      </c>
      <c r="H58" t="s">
        <v>648</v>
      </c>
      <c r="I58" t="s">
        <v>660</v>
      </c>
      <c r="J58" t="s">
        <v>697</v>
      </c>
      <c r="K58" t="s">
        <v>706</v>
      </c>
      <c r="L58" t="s">
        <v>708</v>
      </c>
      <c r="M58" t="s">
        <v>715</v>
      </c>
      <c r="N58" t="s">
        <v>733</v>
      </c>
      <c r="O58" t="s">
        <v>847</v>
      </c>
      <c r="P58" s="6">
        <v>142.09</v>
      </c>
      <c r="Q58" s="6">
        <v>218.5</v>
      </c>
      <c r="R58" s="10">
        <v>0.11899999999999999</v>
      </c>
      <c r="S58" s="10" t="b">
        <f t="shared" si="4"/>
        <v>0</v>
      </c>
      <c r="T58" s="8">
        <v>11</v>
      </c>
      <c r="U58">
        <f t="shared" si="5"/>
        <v>2117.4835000000003</v>
      </c>
      <c r="V58">
        <f t="shared" si="6"/>
        <v>1562.99</v>
      </c>
      <c r="W58">
        <f t="shared" si="7"/>
        <v>554.49350000000027</v>
      </c>
      <c r="X58" s="10">
        <f t="shared" si="8"/>
        <v>0.26186437816398578</v>
      </c>
      <c r="Y58" t="str">
        <f t="shared" si="9"/>
        <v>Low</v>
      </c>
      <c r="Z58" t="str">
        <f t="shared" si="10"/>
        <v>Met</v>
      </c>
      <c r="AA58" t="str">
        <f t="shared" si="11"/>
        <v>Low Discount</v>
      </c>
      <c r="AB58" s="10">
        <f>MIN(R58,ControlPanel!$B$5)</f>
        <v>0.11899999999999999</v>
      </c>
      <c r="AC58">
        <f>P58*(1+ControlPanel!$B$6)</f>
        <v>149.19450000000001</v>
      </c>
      <c r="AD58">
        <f>T58*(1+ControlPanel!$B$7)</f>
        <v>12.100000000000001</v>
      </c>
      <c r="AE58" s="6">
        <f t="shared" si="12"/>
        <v>2329.2318500000006</v>
      </c>
      <c r="AF58">
        <f t="shared" si="13"/>
        <v>523.97840000000019</v>
      </c>
    </row>
    <row r="59" spans="1:32" x14ac:dyDescent="0.3">
      <c r="A59" t="s">
        <v>490</v>
      </c>
      <c r="B59" s="4">
        <v>45422</v>
      </c>
      <c r="C59" s="4" t="str">
        <f t="shared" si="2"/>
        <v>May-2024</v>
      </c>
      <c r="D59" t="str">
        <f t="shared" si="3"/>
        <v>Q2-2024</v>
      </c>
      <c r="E59" s="4">
        <v>45428</v>
      </c>
      <c r="F59" s="12">
        <f t="shared" si="0"/>
        <v>45428</v>
      </c>
      <c r="G59" s="13">
        <f t="shared" si="1"/>
        <v>6</v>
      </c>
      <c r="H59" t="s">
        <v>649</v>
      </c>
      <c r="I59" t="s">
        <v>658</v>
      </c>
      <c r="J59" t="s">
        <v>674</v>
      </c>
      <c r="K59" t="s">
        <v>703</v>
      </c>
      <c r="L59" t="s">
        <v>711</v>
      </c>
      <c r="M59" t="s">
        <v>715</v>
      </c>
      <c r="N59" t="s">
        <v>731</v>
      </c>
      <c r="O59" t="s">
        <v>1209</v>
      </c>
      <c r="P59" s="6">
        <v>210.76</v>
      </c>
      <c r="Q59" s="6">
        <v>221.58</v>
      </c>
      <c r="R59" s="10">
        <v>8.8999999999999996E-2</v>
      </c>
      <c r="S59" s="10" t="b">
        <f t="shared" si="4"/>
        <v>0</v>
      </c>
      <c r="T59" s="8">
        <v>5</v>
      </c>
      <c r="U59">
        <f t="shared" si="5"/>
        <v>1009.2969000000001</v>
      </c>
      <c r="V59">
        <f t="shared" si="6"/>
        <v>1053.8</v>
      </c>
      <c r="W59">
        <f t="shared" si="7"/>
        <v>-44.503099999999904</v>
      </c>
      <c r="X59" s="10">
        <f t="shared" si="8"/>
        <v>-4.4093170205912552E-2</v>
      </c>
      <c r="Y59" t="str">
        <f t="shared" si="9"/>
        <v>Low</v>
      </c>
      <c r="Z59" t="str">
        <f t="shared" si="10"/>
        <v>Met</v>
      </c>
      <c r="AA59" t="str">
        <f t="shared" si="11"/>
        <v>Low Discount</v>
      </c>
      <c r="AB59" s="10">
        <f>MIN(R59,ControlPanel!$B$5)</f>
        <v>8.8999999999999996E-2</v>
      </c>
      <c r="AC59">
        <f>P59*(1+ControlPanel!$B$6)</f>
        <v>221.298</v>
      </c>
      <c r="AD59">
        <f>T59*(1+ControlPanel!$B$7)</f>
        <v>5.5</v>
      </c>
      <c r="AE59" s="6">
        <f t="shared" si="12"/>
        <v>1110.22659</v>
      </c>
      <c r="AF59">
        <f t="shared" si="13"/>
        <v>-106.91241000000014</v>
      </c>
    </row>
    <row r="60" spans="1:32" x14ac:dyDescent="0.3">
      <c r="A60" t="s">
        <v>322</v>
      </c>
      <c r="B60" s="4">
        <v>45679</v>
      </c>
      <c r="C60" s="4" t="str">
        <f t="shared" si="2"/>
        <v>Jan-2025</v>
      </c>
      <c r="D60" t="str">
        <f t="shared" si="3"/>
        <v>Q1-2025</v>
      </c>
      <c r="E60" s="4">
        <v>45692</v>
      </c>
      <c r="F60" s="12">
        <f t="shared" si="0"/>
        <v>45692</v>
      </c>
      <c r="G60" s="13">
        <f t="shared" si="1"/>
        <v>13</v>
      </c>
      <c r="H60" t="s">
        <v>647</v>
      </c>
      <c r="I60" t="s">
        <v>652</v>
      </c>
      <c r="J60" t="s">
        <v>689</v>
      </c>
      <c r="K60" t="s">
        <v>705</v>
      </c>
      <c r="L60" t="s">
        <v>710</v>
      </c>
      <c r="M60" t="s">
        <v>716</v>
      </c>
      <c r="N60" t="s">
        <v>728</v>
      </c>
      <c r="O60" t="s">
        <v>1042</v>
      </c>
      <c r="P60" s="6">
        <v>122.29</v>
      </c>
      <c r="Q60" s="6">
        <v>224.95</v>
      </c>
      <c r="R60" s="10">
        <v>0.153</v>
      </c>
      <c r="S60" s="10" t="b">
        <f t="shared" si="4"/>
        <v>0</v>
      </c>
      <c r="T60" s="8">
        <v>28</v>
      </c>
      <c r="U60">
        <f t="shared" si="5"/>
        <v>5334.9141999999993</v>
      </c>
      <c r="V60">
        <f t="shared" si="6"/>
        <v>3424.1200000000003</v>
      </c>
      <c r="W60">
        <f t="shared" si="7"/>
        <v>1910.7941999999989</v>
      </c>
      <c r="X60" s="10">
        <f t="shared" si="8"/>
        <v>0.3581677471026618</v>
      </c>
      <c r="Y60" t="str">
        <f t="shared" si="9"/>
        <v>Low</v>
      </c>
      <c r="Z60" t="str">
        <f t="shared" si="10"/>
        <v>Not Met</v>
      </c>
      <c r="AA60" t="str">
        <f t="shared" si="11"/>
        <v>Low Discount</v>
      </c>
      <c r="AB60" s="10">
        <f>MIN(R60,ControlPanel!$B$5)</f>
        <v>0.153</v>
      </c>
      <c r="AC60">
        <f>P60*(1+ControlPanel!$B$6)</f>
        <v>128.40450000000001</v>
      </c>
      <c r="AD60">
        <f>T60*(1+ControlPanel!$B$7)</f>
        <v>30.800000000000004</v>
      </c>
      <c r="AE60" s="6">
        <f t="shared" si="12"/>
        <v>5868.4056200000005</v>
      </c>
      <c r="AF60">
        <f t="shared" si="13"/>
        <v>1913.5470199999995</v>
      </c>
    </row>
    <row r="61" spans="1:32" x14ac:dyDescent="0.3">
      <c r="A61" t="s">
        <v>344</v>
      </c>
      <c r="B61" s="4">
        <v>45668</v>
      </c>
      <c r="C61" s="4" t="str">
        <f t="shared" si="2"/>
        <v>Jan-2025</v>
      </c>
      <c r="D61" t="str">
        <f t="shared" si="3"/>
        <v>Q1-2025</v>
      </c>
      <c r="E61" s="4">
        <v>45680</v>
      </c>
      <c r="F61" s="12">
        <f t="shared" si="0"/>
        <v>45680</v>
      </c>
      <c r="G61" s="13">
        <f t="shared" si="1"/>
        <v>12</v>
      </c>
      <c r="H61" t="s">
        <v>648</v>
      </c>
      <c r="I61" t="s">
        <v>660</v>
      </c>
      <c r="J61" t="s">
        <v>697</v>
      </c>
      <c r="K61" t="s">
        <v>704</v>
      </c>
      <c r="L61" t="s">
        <v>710</v>
      </c>
      <c r="M61" t="s">
        <v>722</v>
      </c>
      <c r="N61" t="s">
        <v>730</v>
      </c>
      <c r="O61" t="s">
        <v>1064</v>
      </c>
      <c r="P61" s="6">
        <v>100.69</v>
      </c>
      <c r="Q61" s="6">
        <v>226.14</v>
      </c>
      <c r="R61" s="10">
        <v>6.5000000000000002E-2</v>
      </c>
      <c r="S61" s="10" t="b">
        <f t="shared" si="4"/>
        <v>0</v>
      </c>
      <c r="T61" s="8">
        <v>12</v>
      </c>
      <c r="U61">
        <f t="shared" si="5"/>
        <v>2537.2907999999998</v>
      </c>
      <c r="V61">
        <f t="shared" si="6"/>
        <v>1208.28</v>
      </c>
      <c r="W61">
        <f t="shared" si="7"/>
        <v>1329.0107999999998</v>
      </c>
      <c r="X61" s="10">
        <f t="shared" si="8"/>
        <v>0.52379128162999677</v>
      </c>
      <c r="Y61" t="str">
        <f t="shared" si="9"/>
        <v>Low</v>
      </c>
      <c r="Z61" t="str">
        <f t="shared" si="10"/>
        <v>Not Met</v>
      </c>
      <c r="AA61" t="str">
        <f t="shared" si="11"/>
        <v>Low Discount</v>
      </c>
      <c r="AB61" s="10">
        <f>MIN(R61,ControlPanel!$B$5)</f>
        <v>6.5000000000000002E-2</v>
      </c>
      <c r="AC61">
        <f>P61*(1+ControlPanel!$B$6)</f>
        <v>105.72450000000001</v>
      </c>
      <c r="AD61">
        <f>T61*(1+ControlPanel!$B$7)</f>
        <v>13.200000000000001</v>
      </c>
      <c r="AE61" s="6">
        <f t="shared" si="12"/>
        <v>2791.0198800000003</v>
      </c>
      <c r="AF61">
        <f t="shared" si="13"/>
        <v>1395.4564800000001</v>
      </c>
    </row>
    <row r="62" spans="1:32" x14ac:dyDescent="0.3">
      <c r="A62" t="s">
        <v>332</v>
      </c>
      <c r="B62" s="4">
        <v>45748</v>
      </c>
      <c r="C62" s="4" t="str">
        <f t="shared" si="2"/>
        <v>Apr-2025</v>
      </c>
      <c r="D62" t="str">
        <f t="shared" si="3"/>
        <v>Q2-2025</v>
      </c>
      <c r="E62" s="4">
        <v>45774</v>
      </c>
      <c r="F62" s="12">
        <f t="shared" si="0"/>
        <v>45774</v>
      </c>
      <c r="G62" s="13">
        <f t="shared" si="1"/>
        <v>26</v>
      </c>
      <c r="H62" t="s">
        <v>648</v>
      </c>
      <c r="I62" t="s">
        <v>660</v>
      </c>
      <c r="J62" t="s">
        <v>686</v>
      </c>
      <c r="K62" t="s">
        <v>701</v>
      </c>
      <c r="L62" t="s">
        <v>711</v>
      </c>
      <c r="M62" t="s">
        <v>714</v>
      </c>
      <c r="N62" t="s">
        <v>732</v>
      </c>
      <c r="O62" t="s">
        <v>1052</v>
      </c>
      <c r="P62" s="6">
        <v>156.55000000000001</v>
      </c>
      <c r="Q62" s="6">
        <v>227.45</v>
      </c>
      <c r="R62" s="10">
        <v>1.4E-2</v>
      </c>
      <c r="S62" s="10" t="b">
        <f t="shared" si="4"/>
        <v>0</v>
      </c>
      <c r="T62" s="8">
        <v>13</v>
      </c>
      <c r="U62">
        <f t="shared" si="5"/>
        <v>2915.4540999999999</v>
      </c>
      <c r="V62">
        <f t="shared" si="6"/>
        <v>2035.15</v>
      </c>
      <c r="W62">
        <f t="shared" si="7"/>
        <v>880.30409999999983</v>
      </c>
      <c r="X62" s="10">
        <f t="shared" si="8"/>
        <v>0.3019440779396938</v>
      </c>
      <c r="Y62" t="str">
        <f t="shared" si="9"/>
        <v>Low</v>
      </c>
      <c r="Z62" t="str">
        <f t="shared" si="10"/>
        <v>Not Met</v>
      </c>
      <c r="AA62" t="str">
        <f t="shared" si="11"/>
        <v>Low Discount</v>
      </c>
      <c r="AB62" s="10">
        <f>MIN(R62,ControlPanel!$B$5)</f>
        <v>1.4E-2</v>
      </c>
      <c r="AC62">
        <f>P62*(1+ControlPanel!$B$6)</f>
        <v>164.37750000000003</v>
      </c>
      <c r="AD62">
        <f>T62*(1+ControlPanel!$B$7)</f>
        <v>14.3</v>
      </c>
      <c r="AE62" s="6">
        <f t="shared" si="12"/>
        <v>3206.9995100000001</v>
      </c>
      <c r="AF62">
        <f t="shared" si="13"/>
        <v>856.40125999999964</v>
      </c>
    </row>
    <row r="63" spans="1:32" x14ac:dyDescent="0.3">
      <c r="A63" t="s">
        <v>235</v>
      </c>
      <c r="B63" s="4">
        <v>45194</v>
      </c>
      <c r="C63" s="4" t="str">
        <f t="shared" si="2"/>
        <v>Sep-2023</v>
      </c>
      <c r="D63" t="str">
        <f t="shared" si="3"/>
        <v>Q3-2023</v>
      </c>
      <c r="E63" s="4">
        <v>45201</v>
      </c>
      <c r="F63" s="12">
        <f t="shared" si="0"/>
        <v>45201</v>
      </c>
      <c r="G63" s="13">
        <f t="shared" si="1"/>
        <v>7</v>
      </c>
      <c r="H63" t="s">
        <v>648</v>
      </c>
      <c r="I63" t="s">
        <v>660</v>
      </c>
      <c r="J63" t="s">
        <v>700</v>
      </c>
      <c r="K63" t="s">
        <v>702</v>
      </c>
      <c r="L63" t="s">
        <v>709</v>
      </c>
      <c r="M63" t="s">
        <v>714</v>
      </c>
      <c r="N63" t="s">
        <v>733</v>
      </c>
      <c r="O63" t="s">
        <v>955</v>
      </c>
      <c r="P63" s="6">
        <v>145.58000000000001</v>
      </c>
      <c r="Q63" s="6">
        <v>228.15</v>
      </c>
      <c r="R63" s="10">
        <v>0.20399999999999999</v>
      </c>
      <c r="S63" s="10" t="b">
        <f t="shared" si="4"/>
        <v>0</v>
      </c>
      <c r="T63" s="8">
        <v>5</v>
      </c>
      <c r="U63">
        <f t="shared" si="5"/>
        <v>908.03700000000003</v>
      </c>
      <c r="V63">
        <f t="shared" si="6"/>
        <v>727.90000000000009</v>
      </c>
      <c r="W63">
        <f t="shared" si="7"/>
        <v>180.13699999999994</v>
      </c>
      <c r="X63" s="10">
        <f t="shared" si="8"/>
        <v>0.19838068272548359</v>
      </c>
      <c r="Y63" t="str">
        <f t="shared" si="9"/>
        <v>Low</v>
      </c>
      <c r="Z63" t="str">
        <f t="shared" si="10"/>
        <v>Met</v>
      </c>
      <c r="AA63" t="str">
        <f t="shared" si="11"/>
        <v>High Discount</v>
      </c>
      <c r="AB63" s="10">
        <f>MIN(R63,ControlPanel!$B$5)</f>
        <v>0.2</v>
      </c>
      <c r="AC63">
        <f>P63*(1+ControlPanel!$B$6)</f>
        <v>152.85900000000001</v>
      </c>
      <c r="AD63">
        <f>T63*(1+ControlPanel!$B$7)</f>
        <v>5.5</v>
      </c>
      <c r="AE63" s="6">
        <f t="shared" si="12"/>
        <v>1003.86</v>
      </c>
      <c r="AF63">
        <f t="shared" si="13"/>
        <v>163.13549999999998</v>
      </c>
    </row>
    <row r="64" spans="1:32" x14ac:dyDescent="0.3">
      <c r="A64" t="s">
        <v>622</v>
      </c>
      <c r="B64" s="4">
        <v>45623</v>
      </c>
      <c r="C64" s="4" t="str">
        <f t="shared" si="2"/>
        <v>Nov-2024</v>
      </c>
      <c r="D64" t="str">
        <f t="shared" si="3"/>
        <v>Q4-2024</v>
      </c>
      <c r="E64" s="4">
        <v>45650</v>
      </c>
      <c r="F64" s="12">
        <f t="shared" si="0"/>
        <v>45650</v>
      </c>
      <c r="G64" s="13">
        <f t="shared" si="1"/>
        <v>27</v>
      </c>
      <c r="H64" t="s">
        <v>646</v>
      </c>
      <c r="I64" t="s">
        <v>650</v>
      </c>
      <c r="J64" t="s">
        <v>675</v>
      </c>
      <c r="K64" t="s">
        <v>701</v>
      </c>
      <c r="L64" t="s">
        <v>710</v>
      </c>
      <c r="M64" t="s">
        <v>717</v>
      </c>
      <c r="N64" t="s">
        <v>728</v>
      </c>
      <c r="O64" t="s">
        <v>1340</v>
      </c>
      <c r="P64" s="6">
        <v>143.33000000000001</v>
      </c>
      <c r="Q64" s="6">
        <v>233.51</v>
      </c>
      <c r="R64" s="10">
        <v>0.16300000000000001</v>
      </c>
      <c r="S64" s="10" t="b">
        <f t="shared" si="4"/>
        <v>0</v>
      </c>
      <c r="T64" s="8">
        <v>14</v>
      </c>
      <c r="U64">
        <f t="shared" si="5"/>
        <v>2736.27018</v>
      </c>
      <c r="V64">
        <f t="shared" si="6"/>
        <v>2006.6200000000001</v>
      </c>
      <c r="W64">
        <f t="shared" si="7"/>
        <v>729.65017999999986</v>
      </c>
      <c r="X64" s="10">
        <f t="shared" si="8"/>
        <v>0.26665867476580835</v>
      </c>
      <c r="Y64" t="str">
        <f t="shared" si="9"/>
        <v>Low</v>
      </c>
      <c r="Z64" t="str">
        <f t="shared" si="10"/>
        <v>Not Met</v>
      </c>
      <c r="AA64" t="str">
        <f t="shared" si="11"/>
        <v>Low Discount</v>
      </c>
      <c r="AB64" s="10">
        <f>MIN(R64,ControlPanel!$B$5)</f>
        <v>0.16300000000000001</v>
      </c>
      <c r="AC64">
        <f>P64*(1+ControlPanel!$B$6)</f>
        <v>150.49650000000003</v>
      </c>
      <c r="AD64">
        <f>T64*(1+ControlPanel!$B$7)</f>
        <v>15.400000000000002</v>
      </c>
      <c r="AE64" s="6">
        <f t="shared" si="12"/>
        <v>3009.8971980000001</v>
      </c>
      <c r="AF64">
        <f t="shared" si="13"/>
        <v>692.25109799999927</v>
      </c>
    </row>
    <row r="65" spans="1:32" x14ac:dyDescent="0.3">
      <c r="A65" t="s">
        <v>68</v>
      </c>
      <c r="B65" s="4">
        <v>45678</v>
      </c>
      <c r="C65" s="4" t="str">
        <f t="shared" si="2"/>
        <v>Jan-2025</v>
      </c>
      <c r="D65" t="str">
        <f t="shared" si="3"/>
        <v>Q1-2025</v>
      </c>
      <c r="E65" s="4">
        <v>45704</v>
      </c>
      <c r="F65" s="12">
        <f t="shared" si="0"/>
        <v>45704</v>
      </c>
      <c r="G65" s="13">
        <f t="shared" si="1"/>
        <v>26</v>
      </c>
      <c r="H65" t="s">
        <v>649</v>
      </c>
      <c r="I65" t="s">
        <v>657</v>
      </c>
      <c r="J65" t="s">
        <v>679</v>
      </c>
      <c r="K65" t="s">
        <v>701</v>
      </c>
      <c r="L65" t="s">
        <v>710</v>
      </c>
      <c r="M65" t="s">
        <v>719</v>
      </c>
      <c r="N65" t="s">
        <v>731</v>
      </c>
      <c r="O65" t="s">
        <v>787</v>
      </c>
      <c r="P65" s="6">
        <v>204.11</v>
      </c>
      <c r="Q65" s="6">
        <v>236.87</v>
      </c>
      <c r="R65" s="10">
        <v>0.182</v>
      </c>
      <c r="S65" s="10" t="b">
        <f t="shared" si="4"/>
        <v>0</v>
      </c>
      <c r="T65" s="8">
        <v>13</v>
      </c>
      <c r="U65">
        <f t="shared" si="5"/>
        <v>2518.8755800000004</v>
      </c>
      <c r="V65">
        <f t="shared" si="6"/>
        <v>2653.4300000000003</v>
      </c>
      <c r="W65">
        <f t="shared" si="7"/>
        <v>-134.55441999999994</v>
      </c>
      <c r="X65" s="10">
        <f t="shared" si="8"/>
        <v>-5.3418446337075494E-2</v>
      </c>
      <c r="Y65" t="str">
        <f t="shared" si="9"/>
        <v>Low</v>
      </c>
      <c r="Z65" t="str">
        <f t="shared" si="10"/>
        <v>Not Met</v>
      </c>
      <c r="AA65" t="str">
        <f t="shared" si="11"/>
        <v>Low Discount</v>
      </c>
      <c r="AB65" s="10">
        <f>MIN(R65,ControlPanel!$B$5)</f>
        <v>0.182</v>
      </c>
      <c r="AC65">
        <f>P65*(1+ControlPanel!$B$6)</f>
        <v>214.31550000000001</v>
      </c>
      <c r="AD65">
        <f>T65*(1+ControlPanel!$B$7)</f>
        <v>14.3</v>
      </c>
      <c r="AE65" s="6">
        <f t="shared" si="12"/>
        <v>2770.7631380000007</v>
      </c>
      <c r="AF65">
        <f t="shared" si="13"/>
        <v>-293.94851199999948</v>
      </c>
    </row>
    <row r="66" spans="1:32" x14ac:dyDescent="0.3">
      <c r="A66" t="s">
        <v>118</v>
      </c>
      <c r="B66" s="4">
        <v>45631</v>
      </c>
      <c r="C66" s="4" t="str">
        <f t="shared" si="2"/>
        <v>Dec-2024</v>
      </c>
      <c r="D66" t="str">
        <f t="shared" si="3"/>
        <v>Q4-2024</v>
      </c>
      <c r="E66" s="4">
        <v>45654</v>
      </c>
      <c r="F66" s="12">
        <f t="shared" ref="F66:F129" si="14">IF(B66&gt;E66,B66+14,E66)</f>
        <v>45654</v>
      </c>
      <c r="G66" s="13">
        <f t="shared" ref="G66:G129" si="15">F66-B66</f>
        <v>23</v>
      </c>
      <c r="H66" t="s">
        <v>648</v>
      </c>
      <c r="I66" t="s">
        <v>653</v>
      </c>
      <c r="J66" t="s">
        <v>688</v>
      </c>
      <c r="K66" t="s">
        <v>701</v>
      </c>
      <c r="L66" t="s">
        <v>711</v>
      </c>
      <c r="M66" t="s">
        <v>721</v>
      </c>
      <c r="N66" t="s">
        <v>733</v>
      </c>
      <c r="O66" t="s">
        <v>837</v>
      </c>
      <c r="P66" s="6">
        <v>107.03</v>
      </c>
      <c r="Q66" s="6">
        <v>242.29</v>
      </c>
      <c r="R66" s="10">
        <v>0.18</v>
      </c>
      <c r="S66" s="10" t="b">
        <f t="shared" si="4"/>
        <v>0</v>
      </c>
      <c r="T66" s="8">
        <v>30</v>
      </c>
      <c r="U66">
        <f t="shared" si="5"/>
        <v>5960.3340000000007</v>
      </c>
      <c r="V66">
        <f t="shared" si="6"/>
        <v>3210.9</v>
      </c>
      <c r="W66">
        <f t="shared" si="7"/>
        <v>2749.4340000000007</v>
      </c>
      <c r="X66" s="10">
        <f t="shared" si="8"/>
        <v>0.46128857879440988</v>
      </c>
      <c r="Y66" t="str">
        <f t="shared" si="9"/>
        <v>Low</v>
      </c>
      <c r="Z66" t="str">
        <f t="shared" si="10"/>
        <v>Not Met</v>
      </c>
      <c r="AA66" t="str">
        <f t="shared" si="11"/>
        <v>Low Discount</v>
      </c>
      <c r="AB66" s="10">
        <f>MIN(R66,ControlPanel!$B$5)</f>
        <v>0.18</v>
      </c>
      <c r="AC66">
        <f>P66*(1+ControlPanel!$B$6)</f>
        <v>112.3815</v>
      </c>
      <c r="AD66">
        <f>T66*(1+ControlPanel!$B$7)</f>
        <v>33</v>
      </c>
      <c r="AE66" s="6">
        <f t="shared" si="12"/>
        <v>6556.367400000001</v>
      </c>
      <c r="AF66">
        <f t="shared" si="13"/>
        <v>2847.777900000001</v>
      </c>
    </row>
    <row r="67" spans="1:32" x14ac:dyDescent="0.3">
      <c r="A67" t="s">
        <v>358</v>
      </c>
      <c r="B67" s="4">
        <v>45486</v>
      </c>
      <c r="C67" s="4" t="str">
        <f t="shared" ref="C67:C130" si="16">TEXT(B67,"MMM-YYYY")</f>
        <v>Jul-2024</v>
      </c>
      <c r="D67" t="str">
        <f t="shared" ref="D67:D130" si="17">"Q" &amp; ROUNDUP(MONTH(B67)/3,0) &amp; "-" &amp; YEAR(B67)</f>
        <v>Q3-2024</v>
      </c>
      <c r="E67" s="4">
        <v>45485</v>
      </c>
      <c r="F67" s="12">
        <f t="shared" si="14"/>
        <v>45500</v>
      </c>
      <c r="G67" s="13">
        <f t="shared" si="15"/>
        <v>14</v>
      </c>
      <c r="H67" t="s">
        <v>647</v>
      </c>
      <c r="I67" t="s">
        <v>652</v>
      </c>
      <c r="J67" t="s">
        <v>694</v>
      </c>
      <c r="K67" t="s">
        <v>705</v>
      </c>
      <c r="L67" t="s">
        <v>709</v>
      </c>
      <c r="M67" t="s">
        <v>721</v>
      </c>
      <c r="N67" t="s">
        <v>729</v>
      </c>
      <c r="O67" t="s">
        <v>1078</v>
      </c>
      <c r="P67" s="6">
        <v>105.13</v>
      </c>
      <c r="Q67" s="6">
        <v>244.13</v>
      </c>
      <c r="R67" s="10">
        <v>7.0999999999999994E-2</v>
      </c>
      <c r="S67" s="10" t="b">
        <f t="shared" ref="S67:S130" si="18">IF(R67&gt;30,TRUE)</f>
        <v>0</v>
      </c>
      <c r="T67" s="8">
        <v>14</v>
      </c>
      <c r="U67">
        <f t="shared" ref="U67:U130" si="19">(Q67*(100%-R67))*T67</f>
        <v>3175.1547800000003</v>
      </c>
      <c r="V67">
        <f t="shared" ref="V67:V130" si="20">P67*T67</f>
        <v>1471.82</v>
      </c>
      <c r="W67">
        <f t="shared" ref="W67:W130" si="21">U67-V67</f>
        <v>1703.3347800000004</v>
      </c>
      <c r="X67" s="10">
        <f t="shared" ref="X67:X130" si="22">IF(U67=0,0,W67/U67)</f>
        <v>0.53645724319618848</v>
      </c>
      <c r="Y67" t="str">
        <f t="shared" ref="Y67:Y130" si="23">IF(Q67&lt;=_xlfn.PERCENTILE.INC($Q$2:$Q$610,0.33),"Low",IF(Q67&lt;=_xlfn.PERCENTILE.INC($Q$2:$Q$610,0.67),"Medium","High"))</f>
        <v>Low</v>
      </c>
      <c r="Z67" t="str">
        <f t="shared" ref="Z67:Z130" si="24">IF(G67&lt;=7,"Met","Not Met")</f>
        <v>Not Met</v>
      </c>
      <c r="AA67" t="str">
        <f t="shared" ref="AA67:AA130" si="25">IF(R67&gt;20%,"High Discount","Low Discount")</f>
        <v>Low Discount</v>
      </c>
      <c r="AB67" s="10">
        <f>MIN(R67,ControlPanel!$B$5)</f>
        <v>7.0999999999999994E-2</v>
      </c>
      <c r="AC67">
        <f>P67*(1+ControlPanel!$B$6)</f>
        <v>110.3865</v>
      </c>
      <c r="AD67">
        <f>T67*(1+ControlPanel!$B$7)</f>
        <v>15.400000000000002</v>
      </c>
      <c r="AE67" s="6">
        <f t="shared" ref="AE67:AE130" si="26">(Q67*(100%-AB67)*AD67)</f>
        <v>3492.6702580000006</v>
      </c>
      <c r="AF67">
        <f t="shared" ref="AF67:AF130" si="27">AE67-(AC67*AD67)</f>
        <v>1792.7181580000004</v>
      </c>
    </row>
    <row r="68" spans="1:32" x14ac:dyDescent="0.3">
      <c r="A68" t="s">
        <v>189</v>
      </c>
      <c r="B68" s="4">
        <v>45435</v>
      </c>
      <c r="C68" s="4" t="str">
        <f t="shared" si="16"/>
        <v>May-2024</v>
      </c>
      <c r="D68" t="str">
        <f t="shared" si="17"/>
        <v>Q2-2024</v>
      </c>
      <c r="E68" s="4">
        <v>45446</v>
      </c>
      <c r="F68" s="12">
        <f t="shared" si="14"/>
        <v>45446</v>
      </c>
      <c r="G68" s="13">
        <f t="shared" si="15"/>
        <v>11</v>
      </c>
      <c r="H68" t="s">
        <v>646</v>
      </c>
      <c r="I68" t="s">
        <v>661</v>
      </c>
      <c r="J68" t="s">
        <v>682</v>
      </c>
      <c r="K68" t="s">
        <v>705</v>
      </c>
      <c r="L68" t="s">
        <v>710</v>
      </c>
      <c r="M68" t="s">
        <v>721</v>
      </c>
      <c r="N68" t="s">
        <v>728</v>
      </c>
      <c r="O68" t="s">
        <v>908</v>
      </c>
      <c r="P68" s="6">
        <v>180.89</v>
      </c>
      <c r="Q68" s="6">
        <v>249.57</v>
      </c>
      <c r="R68" s="10">
        <v>2.1999999999999999E-2</v>
      </c>
      <c r="S68" s="10" t="b">
        <f t="shared" si="18"/>
        <v>0</v>
      </c>
      <c r="T68" s="8">
        <v>8</v>
      </c>
      <c r="U68">
        <f t="shared" si="19"/>
        <v>1952.6356799999999</v>
      </c>
      <c r="V68">
        <f t="shared" si="20"/>
        <v>1447.12</v>
      </c>
      <c r="W68">
        <f t="shared" si="21"/>
        <v>505.51567999999997</v>
      </c>
      <c r="X68" s="10">
        <f t="shared" si="22"/>
        <v>0.25888888806948362</v>
      </c>
      <c r="Y68" t="str">
        <f t="shared" si="23"/>
        <v>Low</v>
      </c>
      <c r="Z68" t="str">
        <f t="shared" si="24"/>
        <v>Not Met</v>
      </c>
      <c r="AA68" t="str">
        <f t="shared" si="25"/>
        <v>Low Discount</v>
      </c>
      <c r="AB68" s="10">
        <f>MIN(R68,ControlPanel!$B$5)</f>
        <v>2.1999999999999999E-2</v>
      </c>
      <c r="AC68">
        <f>P68*(1+ControlPanel!$B$6)</f>
        <v>189.93449999999999</v>
      </c>
      <c r="AD68">
        <f>T68*(1+ControlPanel!$B$7)</f>
        <v>8.8000000000000007</v>
      </c>
      <c r="AE68" s="6">
        <f t="shared" si="26"/>
        <v>2147.8992480000002</v>
      </c>
      <c r="AF68">
        <f t="shared" si="27"/>
        <v>476.47564800000009</v>
      </c>
    </row>
    <row r="69" spans="1:32" x14ac:dyDescent="0.3">
      <c r="A69" t="s">
        <v>129</v>
      </c>
      <c r="B69" s="4">
        <v>45250</v>
      </c>
      <c r="C69" s="4" t="str">
        <f t="shared" si="16"/>
        <v>Nov-2023</v>
      </c>
      <c r="D69" t="str">
        <f t="shared" si="17"/>
        <v>Q4-2023</v>
      </c>
      <c r="E69" s="4">
        <v>45265</v>
      </c>
      <c r="F69" s="12">
        <f t="shared" si="14"/>
        <v>45265</v>
      </c>
      <c r="G69" s="13">
        <f t="shared" si="15"/>
        <v>15</v>
      </c>
      <c r="H69" t="s">
        <v>647</v>
      </c>
      <c r="I69" t="s">
        <v>652</v>
      </c>
      <c r="J69" t="s">
        <v>689</v>
      </c>
      <c r="K69" t="s">
        <v>706</v>
      </c>
      <c r="L69" t="s">
        <v>707</v>
      </c>
      <c r="M69" t="s">
        <v>716</v>
      </c>
      <c r="N69" t="s">
        <v>729</v>
      </c>
      <c r="O69" t="s">
        <v>848</v>
      </c>
      <c r="P69" s="6">
        <v>354.24</v>
      </c>
      <c r="Q69" s="6">
        <v>249.87</v>
      </c>
      <c r="R69" s="10">
        <v>0</v>
      </c>
      <c r="S69" s="10" t="b">
        <f t="shared" si="18"/>
        <v>0</v>
      </c>
      <c r="T69" s="8">
        <v>6</v>
      </c>
      <c r="U69">
        <f t="shared" si="19"/>
        <v>1499.22</v>
      </c>
      <c r="V69">
        <f t="shared" si="20"/>
        <v>2125.44</v>
      </c>
      <c r="W69">
        <f t="shared" si="21"/>
        <v>-626.22</v>
      </c>
      <c r="X69" s="10">
        <f t="shared" si="22"/>
        <v>-0.41769720254532355</v>
      </c>
      <c r="Y69" t="str">
        <f t="shared" si="23"/>
        <v>Low</v>
      </c>
      <c r="Z69" t="str">
        <f t="shared" si="24"/>
        <v>Not Met</v>
      </c>
      <c r="AA69" t="str">
        <f t="shared" si="25"/>
        <v>Low Discount</v>
      </c>
      <c r="AB69" s="10">
        <f>MIN(R69,ControlPanel!$B$5)</f>
        <v>0</v>
      </c>
      <c r="AC69">
        <f>P69*(1+ControlPanel!$B$6)</f>
        <v>371.952</v>
      </c>
      <c r="AD69">
        <f>T69*(1+ControlPanel!$B$7)</f>
        <v>6.6000000000000005</v>
      </c>
      <c r="AE69" s="6">
        <f t="shared" si="26"/>
        <v>1649.1420000000001</v>
      </c>
      <c r="AF69">
        <f t="shared" si="27"/>
        <v>-805.74120000000016</v>
      </c>
    </row>
    <row r="70" spans="1:32" x14ac:dyDescent="0.3">
      <c r="A70" t="s">
        <v>387</v>
      </c>
      <c r="B70" s="4">
        <v>45751</v>
      </c>
      <c r="C70" s="4" t="str">
        <f t="shared" si="16"/>
        <v>Apr-2025</v>
      </c>
      <c r="D70" t="str">
        <f t="shared" si="17"/>
        <v>Q2-2025</v>
      </c>
      <c r="E70" s="4">
        <v>45757</v>
      </c>
      <c r="F70" s="12">
        <f t="shared" si="14"/>
        <v>45757</v>
      </c>
      <c r="G70" s="13">
        <f t="shared" si="15"/>
        <v>6</v>
      </c>
      <c r="H70" t="s">
        <v>649</v>
      </c>
      <c r="I70" t="s">
        <v>658</v>
      </c>
      <c r="J70" t="s">
        <v>674</v>
      </c>
      <c r="K70" t="s">
        <v>703</v>
      </c>
      <c r="L70" t="s">
        <v>711</v>
      </c>
      <c r="M70" t="s">
        <v>725</v>
      </c>
      <c r="N70" t="s">
        <v>728</v>
      </c>
      <c r="O70" t="s">
        <v>1107</v>
      </c>
      <c r="P70" s="6">
        <v>290.14</v>
      </c>
      <c r="Q70" s="6">
        <v>250.73</v>
      </c>
      <c r="R70" s="10">
        <v>3.4000000000000002E-2</v>
      </c>
      <c r="S70" s="10" t="b">
        <f t="shared" si="18"/>
        <v>0</v>
      </c>
      <c r="T70" s="8">
        <v>17</v>
      </c>
      <c r="U70">
        <f t="shared" si="19"/>
        <v>4117.4880599999997</v>
      </c>
      <c r="V70">
        <f t="shared" si="20"/>
        <v>4932.38</v>
      </c>
      <c r="W70">
        <f t="shared" si="21"/>
        <v>-814.89194000000043</v>
      </c>
      <c r="X70" s="10">
        <f t="shared" si="22"/>
        <v>-0.19790997038131072</v>
      </c>
      <c r="Y70" t="str">
        <f t="shared" si="23"/>
        <v>Low</v>
      </c>
      <c r="Z70" t="str">
        <f t="shared" si="24"/>
        <v>Met</v>
      </c>
      <c r="AA70" t="str">
        <f t="shared" si="25"/>
        <v>Low Discount</v>
      </c>
      <c r="AB70" s="10">
        <f>MIN(R70,ControlPanel!$B$5)</f>
        <v>3.4000000000000002E-2</v>
      </c>
      <c r="AC70">
        <f>P70*(1+ControlPanel!$B$6)</f>
        <v>304.64699999999999</v>
      </c>
      <c r="AD70">
        <f>T70*(1+ControlPanel!$B$7)</f>
        <v>18.700000000000003</v>
      </c>
      <c r="AE70" s="6">
        <f t="shared" si="26"/>
        <v>4529.2368660000002</v>
      </c>
      <c r="AF70">
        <f t="shared" si="27"/>
        <v>-1167.6620340000009</v>
      </c>
    </row>
    <row r="71" spans="1:32" x14ac:dyDescent="0.3">
      <c r="A71" t="s">
        <v>18</v>
      </c>
      <c r="B71" s="4">
        <v>45745</v>
      </c>
      <c r="C71" s="4" t="str">
        <f t="shared" si="16"/>
        <v>Mar-2025</v>
      </c>
      <c r="D71" t="str">
        <f t="shared" si="17"/>
        <v>Q1-2025</v>
      </c>
      <c r="E71" s="4">
        <v>45749</v>
      </c>
      <c r="F71" s="12">
        <f t="shared" si="14"/>
        <v>45749</v>
      </c>
      <c r="G71" s="13">
        <f t="shared" si="15"/>
        <v>4</v>
      </c>
      <c r="H71" t="s">
        <v>646</v>
      </c>
      <c r="I71" t="s">
        <v>651</v>
      </c>
      <c r="J71" t="s">
        <v>665</v>
      </c>
      <c r="K71" t="s">
        <v>703</v>
      </c>
      <c r="L71" t="s">
        <v>709</v>
      </c>
      <c r="M71" t="s">
        <v>715</v>
      </c>
      <c r="N71" t="s">
        <v>730</v>
      </c>
      <c r="O71" t="s">
        <v>737</v>
      </c>
      <c r="P71" s="6">
        <v>259.93</v>
      </c>
      <c r="Q71" s="6">
        <v>255.94</v>
      </c>
      <c r="R71" s="10">
        <v>7.1999999999999995E-2</v>
      </c>
      <c r="S71" s="10" t="b">
        <f t="shared" si="18"/>
        <v>0</v>
      </c>
      <c r="T71" s="8">
        <v>22</v>
      </c>
      <c r="U71">
        <f t="shared" si="19"/>
        <v>5225.2710400000005</v>
      </c>
      <c r="V71">
        <f t="shared" si="20"/>
        <v>5718.46</v>
      </c>
      <c r="W71">
        <f t="shared" si="21"/>
        <v>-493.1889599999995</v>
      </c>
      <c r="X71" s="10">
        <f t="shared" si="22"/>
        <v>-9.4385335463861311E-2</v>
      </c>
      <c r="Y71" t="str">
        <f t="shared" si="23"/>
        <v>Low</v>
      </c>
      <c r="Z71" t="str">
        <f t="shared" si="24"/>
        <v>Met</v>
      </c>
      <c r="AA71" t="str">
        <f t="shared" si="25"/>
        <v>Low Discount</v>
      </c>
      <c r="AB71" s="10">
        <f>MIN(R71,ControlPanel!$B$5)</f>
        <v>7.1999999999999995E-2</v>
      </c>
      <c r="AC71">
        <f>P71*(1+ControlPanel!$B$6)</f>
        <v>272.92650000000003</v>
      </c>
      <c r="AD71">
        <f>T71*(1+ControlPanel!$B$7)</f>
        <v>24.200000000000003</v>
      </c>
      <c r="AE71" s="6">
        <f t="shared" si="26"/>
        <v>5747.7981440000012</v>
      </c>
      <c r="AF71">
        <f t="shared" si="27"/>
        <v>-857.0231560000002</v>
      </c>
    </row>
    <row r="72" spans="1:32" x14ac:dyDescent="0.3">
      <c r="A72" t="s">
        <v>253</v>
      </c>
      <c r="B72" s="4">
        <v>45381</v>
      </c>
      <c r="C72" s="4" t="str">
        <f t="shared" si="16"/>
        <v>Mar-2024</v>
      </c>
      <c r="D72" t="str">
        <f t="shared" si="17"/>
        <v>Q1-2024</v>
      </c>
      <c r="E72" s="4">
        <v>45406</v>
      </c>
      <c r="F72" s="12">
        <f t="shared" si="14"/>
        <v>45406</v>
      </c>
      <c r="G72" s="13">
        <f t="shared" si="15"/>
        <v>25</v>
      </c>
      <c r="H72" t="s">
        <v>648</v>
      </c>
      <c r="I72" t="s">
        <v>660</v>
      </c>
      <c r="J72" t="s">
        <v>697</v>
      </c>
      <c r="K72" t="s">
        <v>703</v>
      </c>
      <c r="L72" t="s">
        <v>708</v>
      </c>
      <c r="M72" t="s">
        <v>715</v>
      </c>
      <c r="N72" t="s">
        <v>731</v>
      </c>
      <c r="O72" t="s">
        <v>973</v>
      </c>
      <c r="P72" s="6">
        <v>160.82</v>
      </c>
      <c r="Q72" s="6">
        <v>258.52</v>
      </c>
      <c r="R72" s="10">
        <v>0.13</v>
      </c>
      <c r="S72" s="10" t="b">
        <f t="shared" si="18"/>
        <v>0</v>
      </c>
      <c r="T72" s="8">
        <v>17</v>
      </c>
      <c r="U72">
        <f t="shared" si="19"/>
        <v>3823.5108</v>
      </c>
      <c r="V72">
        <f t="shared" si="20"/>
        <v>2733.94</v>
      </c>
      <c r="W72">
        <f t="shared" si="21"/>
        <v>1089.5708</v>
      </c>
      <c r="X72" s="10">
        <f t="shared" si="22"/>
        <v>0.28496605789631874</v>
      </c>
      <c r="Y72" t="str">
        <f t="shared" si="23"/>
        <v>Low</v>
      </c>
      <c r="Z72" t="str">
        <f t="shared" si="24"/>
        <v>Not Met</v>
      </c>
      <c r="AA72" t="str">
        <f t="shared" si="25"/>
        <v>Low Discount</v>
      </c>
      <c r="AB72" s="10">
        <f>MIN(R72,ControlPanel!$B$5)</f>
        <v>0.13</v>
      </c>
      <c r="AC72">
        <f>P72*(1+ControlPanel!$B$6)</f>
        <v>168.86099999999999</v>
      </c>
      <c r="AD72">
        <f>T72*(1+ControlPanel!$B$7)</f>
        <v>18.700000000000003</v>
      </c>
      <c r="AE72" s="6">
        <f t="shared" si="26"/>
        <v>4205.8618800000004</v>
      </c>
      <c r="AF72">
        <f t="shared" si="27"/>
        <v>1048.1611800000001</v>
      </c>
    </row>
    <row r="73" spans="1:32" x14ac:dyDescent="0.3">
      <c r="A73" t="s">
        <v>613</v>
      </c>
      <c r="B73" s="4">
        <v>45521</v>
      </c>
      <c r="C73" s="4" t="str">
        <f t="shared" si="16"/>
        <v>Aug-2024</v>
      </c>
      <c r="D73" t="str">
        <f t="shared" si="17"/>
        <v>Q3-2024</v>
      </c>
      <c r="E73" s="4">
        <v>45519</v>
      </c>
      <c r="F73" s="12">
        <f t="shared" si="14"/>
        <v>45535</v>
      </c>
      <c r="G73" s="13">
        <f t="shared" si="15"/>
        <v>14</v>
      </c>
      <c r="H73" t="s">
        <v>648</v>
      </c>
      <c r="I73" t="s">
        <v>655</v>
      </c>
      <c r="J73" t="s">
        <v>692</v>
      </c>
      <c r="K73" t="s">
        <v>704</v>
      </c>
      <c r="L73" t="s">
        <v>711</v>
      </c>
      <c r="M73" t="s">
        <v>724</v>
      </c>
      <c r="N73" t="s">
        <v>732</v>
      </c>
      <c r="O73" t="s">
        <v>1331</v>
      </c>
      <c r="P73" s="6">
        <v>165.3</v>
      </c>
      <c r="Q73" s="6">
        <v>275.07</v>
      </c>
      <c r="R73" s="10">
        <v>0.13300000000000001</v>
      </c>
      <c r="S73" s="10" t="b">
        <f t="shared" si="18"/>
        <v>0</v>
      </c>
      <c r="T73" s="8">
        <v>25</v>
      </c>
      <c r="U73">
        <f t="shared" si="19"/>
        <v>5962.1422499999999</v>
      </c>
      <c r="V73">
        <f t="shared" si="20"/>
        <v>4132.5</v>
      </c>
      <c r="W73">
        <f t="shared" si="21"/>
        <v>1829.6422499999999</v>
      </c>
      <c r="X73" s="10">
        <f t="shared" si="22"/>
        <v>0.30687665159280625</v>
      </c>
      <c r="Y73" t="str">
        <f t="shared" si="23"/>
        <v>Low</v>
      </c>
      <c r="Z73" t="str">
        <f t="shared" si="24"/>
        <v>Not Met</v>
      </c>
      <c r="AA73" t="str">
        <f t="shared" si="25"/>
        <v>Low Discount</v>
      </c>
      <c r="AB73" s="10">
        <f>MIN(R73,ControlPanel!$B$5)</f>
        <v>0.13300000000000001</v>
      </c>
      <c r="AC73">
        <f>P73*(1+ControlPanel!$B$6)</f>
        <v>173.56500000000003</v>
      </c>
      <c r="AD73">
        <f>T73*(1+ControlPanel!$B$7)</f>
        <v>27.500000000000004</v>
      </c>
      <c r="AE73" s="6">
        <f t="shared" si="26"/>
        <v>6558.3564750000014</v>
      </c>
      <c r="AF73">
        <f t="shared" si="27"/>
        <v>1785.3189750000001</v>
      </c>
    </row>
    <row r="74" spans="1:32" x14ac:dyDescent="0.3">
      <c r="A74" t="s">
        <v>446</v>
      </c>
      <c r="B74" s="4">
        <v>45220</v>
      </c>
      <c r="C74" s="4" t="str">
        <f t="shared" si="16"/>
        <v>Oct-2023</v>
      </c>
      <c r="D74" t="str">
        <f t="shared" si="17"/>
        <v>Q4-2023</v>
      </c>
      <c r="E74" s="4">
        <v>45220</v>
      </c>
      <c r="F74" s="12">
        <f t="shared" si="14"/>
        <v>45220</v>
      </c>
      <c r="G74" s="13">
        <f t="shared" si="15"/>
        <v>0</v>
      </c>
      <c r="H74" t="s">
        <v>649</v>
      </c>
      <c r="I74" t="s">
        <v>658</v>
      </c>
      <c r="J74" t="s">
        <v>693</v>
      </c>
      <c r="K74" t="s">
        <v>706</v>
      </c>
      <c r="L74" t="s">
        <v>710</v>
      </c>
      <c r="M74" t="s">
        <v>713</v>
      </c>
      <c r="N74" t="s">
        <v>732</v>
      </c>
      <c r="O74" t="s">
        <v>1165</v>
      </c>
      <c r="P74" s="6">
        <v>384.19</v>
      </c>
      <c r="Q74" s="6">
        <v>278.35000000000002</v>
      </c>
      <c r="R74" s="10">
        <v>5.6000000000000001E-2</v>
      </c>
      <c r="S74" s="10" t="b">
        <f t="shared" si="18"/>
        <v>0</v>
      </c>
      <c r="T74" s="8">
        <v>10</v>
      </c>
      <c r="U74">
        <f t="shared" si="19"/>
        <v>2627.6240000000003</v>
      </c>
      <c r="V74">
        <f t="shared" si="20"/>
        <v>3841.9</v>
      </c>
      <c r="W74">
        <f t="shared" si="21"/>
        <v>-1214.2759999999998</v>
      </c>
      <c r="X74" s="10">
        <f t="shared" si="22"/>
        <v>-0.46211938998882629</v>
      </c>
      <c r="Y74" t="str">
        <f t="shared" si="23"/>
        <v>Low</v>
      </c>
      <c r="Z74" t="str">
        <f t="shared" si="24"/>
        <v>Met</v>
      </c>
      <c r="AA74" t="str">
        <f t="shared" si="25"/>
        <v>Low Discount</v>
      </c>
      <c r="AB74" s="10">
        <f>MIN(R74,ControlPanel!$B$5)</f>
        <v>5.6000000000000001E-2</v>
      </c>
      <c r="AC74">
        <f>P74*(1+ControlPanel!$B$6)</f>
        <v>403.39949999999999</v>
      </c>
      <c r="AD74">
        <f>T74*(1+ControlPanel!$B$7)</f>
        <v>11</v>
      </c>
      <c r="AE74" s="6">
        <f t="shared" si="26"/>
        <v>2890.3864000000003</v>
      </c>
      <c r="AF74">
        <f t="shared" si="27"/>
        <v>-1547.0081</v>
      </c>
    </row>
    <row r="75" spans="1:32" x14ac:dyDescent="0.3">
      <c r="A75" t="s">
        <v>450</v>
      </c>
      <c r="B75" s="4">
        <v>45650</v>
      </c>
      <c r="C75" s="4" t="str">
        <f t="shared" si="16"/>
        <v>Dec-2024</v>
      </c>
      <c r="D75" t="str">
        <f t="shared" si="17"/>
        <v>Q4-2024</v>
      </c>
      <c r="E75" s="4">
        <v>45670</v>
      </c>
      <c r="F75" s="12">
        <f t="shared" si="14"/>
        <v>45670</v>
      </c>
      <c r="G75" s="13">
        <f t="shared" si="15"/>
        <v>20</v>
      </c>
      <c r="H75" t="s">
        <v>647</v>
      </c>
      <c r="I75" t="s">
        <v>654</v>
      </c>
      <c r="J75" t="s">
        <v>668</v>
      </c>
      <c r="K75" t="s">
        <v>701</v>
      </c>
      <c r="L75" t="s">
        <v>709</v>
      </c>
      <c r="M75" t="s">
        <v>726</v>
      </c>
      <c r="N75" t="s">
        <v>729</v>
      </c>
      <c r="O75" t="s">
        <v>1169</v>
      </c>
      <c r="P75" s="6">
        <v>126.15</v>
      </c>
      <c r="Q75" s="6">
        <v>284.23</v>
      </c>
      <c r="R75" s="10">
        <v>0.113</v>
      </c>
      <c r="S75" s="10" t="b">
        <f t="shared" si="18"/>
        <v>0</v>
      </c>
      <c r="T75" s="8">
        <v>22</v>
      </c>
      <c r="U75">
        <f t="shared" si="19"/>
        <v>5546.4642200000008</v>
      </c>
      <c r="V75">
        <f t="shared" si="20"/>
        <v>2775.3</v>
      </c>
      <c r="W75">
        <f t="shared" si="21"/>
        <v>2771.1642200000006</v>
      </c>
      <c r="X75" s="10">
        <f t="shared" si="22"/>
        <v>0.49962716968541088</v>
      </c>
      <c r="Y75" t="str">
        <f t="shared" si="23"/>
        <v>Low</v>
      </c>
      <c r="Z75" t="str">
        <f t="shared" si="24"/>
        <v>Not Met</v>
      </c>
      <c r="AA75" t="str">
        <f t="shared" si="25"/>
        <v>Low Discount</v>
      </c>
      <c r="AB75" s="10">
        <f>MIN(R75,ControlPanel!$B$5)</f>
        <v>0.113</v>
      </c>
      <c r="AC75">
        <f>P75*(1+ControlPanel!$B$6)</f>
        <v>132.45750000000001</v>
      </c>
      <c r="AD75">
        <f>T75*(1+ControlPanel!$B$7)</f>
        <v>24.200000000000003</v>
      </c>
      <c r="AE75" s="6">
        <f t="shared" si="26"/>
        <v>6101.1106420000015</v>
      </c>
      <c r="AF75">
        <f t="shared" si="27"/>
        <v>2895.6391420000009</v>
      </c>
    </row>
    <row r="76" spans="1:32" x14ac:dyDescent="0.3">
      <c r="A76" t="s">
        <v>139</v>
      </c>
      <c r="B76" s="4">
        <v>45159</v>
      </c>
      <c r="C76" s="4" t="str">
        <f t="shared" si="16"/>
        <v>Aug-2023</v>
      </c>
      <c r="D76" t="str">
        <f t="shared" si="17"/>
        <v>Q3-2023</v>
      </c>
      <c r="E76" s="4">
        <v>45173</v>
      </c>
      <c r="F76" s="12">
        <f t="shared" si="14"/>
        <v>45173</v>
      </c>
      <c r="G76" s="13">
        <f t="shared" si="15"/>
        <v>14</v>
      </c>
      <c r="H76" t="s">
        <v>648</v>
      </c>
      <c r="I76" t="s">
        <v>653</v>
      </c>
      <c r="J76" t="s">
        <v>681</v>
      </c>
      <c r="K76" t="s">
        <v>702</v>
      </c>
      <c r="L76" t="s">
        <v>710</v>
      </c>
      <c r="M76" t="s">
        <v>721</v>
      </c>
      <c r="N76" t="s">
        <v>727</v>
      </c>
      <c r="O76" t="s">
        <v>858</v>
      </c>
      <c r="P76" s="6">
        <v>178.19</v>
      </c>
      <c r="Q76" s="6">
        <v>284.43</v>
      </c>
      <c r="R76" s="10">
        <v>8.8999999999999996E-2</v>
      </c>
      <c r="S76" s="10" t="b">
        <f t="shared" si="18"/>
        <v>0</v>
      </c>
      <c r="T76" s="8">
        <v>8</v>
      </c>
      <c r="U76">
        <f t="shared" si="19"/>
        <v>2072.9258400000003</v>
      </c>
      <c r="V76">
        <f t="shared" si="20"/>
        <v>1425.52</v>
      </c>
      <c r="W76">
        <f t="shared" si="21"/>
        <v>647.40584000000035</v>
      </c>
      <c r="X76" s="10">
        <f t="shared" si="22"/>
        <v>0.31231500302972742</v>
      </c>
      <c r="Y76" t="str">
        <f t="shared" si="23"/>
        <v>Low</v>
      </c>
      <c r="Z76" t="str">
        <f t="shared" si="24"/>
        <v>Not Met</v>
      </c>
      <c r="AA76" t="str">
        <f t="shared" si="25"/>
        <v>Low Discount</v>
      </c>
      <c r="AB76" s="10">
        <f>MIN(R76,ControlPanel!$B$5)</f>
        <v>8.8999999999999996E-2</v>
      </c>
      <c r="AC76">
        <f>P76*(1+ControlPanel!$B$6)</f>
        <v>187.09950000000001</v>
      </c>
      <c r="AD76">
        <f>T76*(1+ControlPanel!$B$7)</f>
        <v>8.8000000000000007</v>
      </c>
      <c r="AE76" s="6">
        <f t="shared" si="26"/>
        <v>2280.2184240000006</v>
      </c>
      <c r="AF76">
        <f t="shared" si="27"/>
        <v>633.74282400000038</v>
      </c>
    </row>
    <row r="77" spans="1:32" x14ac:dyDescent="0.3">
      <c r="A77" t="s">
        <v>584</v>
      </c>
      <c r="B77" s="4">
        <v>45760</v>
      </c>
      <c r="C77" s="4" t="str">
        <f t="shared" si="16"/>
        <v>Apr-2025</v>
      </c>
      <c r="D77" t="str">
        <f t="shared" si="17"/>
        <v>Q2-2025</v>
      </c>
      <c r="E77" s="4">
        <v>45761</v>
      </c>
      <c r="F77" s="12">
        <f t="shared" si="14"/>
        <v>45761</v>
      </c>
      <c r="G77" s="13">
        <f t="shared" si="15"/>
        <v>1</v>
      </c>
      <c r="H77" t="s">
        <v>647</v>
      </c>
      <c r="I77" t="s">
        <v>652</v>
      </c>
      <c r="J77" t="s">
        <v>666</v>
      </c>
      <c r="K77" t="s">
        <v>706</v>
      </c>
      <c r="L77" t="s">
        <v>708</v>
      </c>
      <c r="M77" t="s">
        <v>715</v>
      </c>
      <c r="N77" t="s">
        <v>727</v>
      </c>
      <c r="O77" t="s">
        <v>1302</v>
      </c>
      <c r="P77" s="6">
        <v>138.9</v>
      </c>
      <c r="Q77" s="6">
        <v>289.92</v>
      </c>
      <c r="R77" s="10">
        <v>2.9000000000000001E-2</v>
      </c>
      <c r="S77" s="10" t="b">
        <f t="shared" si="18"/>
        <v>0</v>
      </c>
      <c r="T77" s="8">
        <v>12</v>
      </c>
      <c r="U77">
        <f t="shared" si="19"/>
        <v>3378.1478399999996</v>
      </c>
      <c r="V77">
        <f t="shared" si="20"/>
        <v>1666.8000000000002</v>
      </c>
      <c r="W77">
        <f t="shared" si="21"/>
        <v>1711.3478399999995</v>
      </c>
      <c r="X77" s="10">
        <f t="shared" si="22"/>
        <v>0.50659353025828491</v>
      </c>
      <c r="Y77" t="str">
        <f t="shared" si="23"/>
        <v>Low</v>
      </c>
      <c r="Z77" t="str">
        <f t="shared" si="24"/>
        <v>Met</v>
      </c>
      <c r="AA77" t="str">
        <f t="shared" si="25"/>
        <v>Low Discount</v>
      </c>
      <c r="AB77" s="10">
        <f>MIN(R77,ControlPanel!$B$5)</f>
        <v>2.9000000000000001E-2</v>
      </c>
      <c r="AC77">
        <f>P77*(1+ControlPanel!$B$6)</f>
        <v>145.845</v>
      </c>
      <c r="AD77">
        <f>T77*(1+ControlPanel!$B$7)</f>
        <v>13.200000000000001</v>
      </c>
      <c r="AE77" s="6">
        <f t="shared" si="26"/>
        <v>3715.9626240000002</v>
      </c>
      <c r="AF77">
        <f t="shared" si="27"/>
        <v>1790.808624</v>
      </c>
    </row>
    <row r="78" spans="1:32" x14ac:dyDescent="0.3">
      <c r="A78" t="s">
        <v>499</v>
      </c>
      <c r="B78" s="4">
        <v>45634</v>
      </c>
      <c r="C78" s="4" t="str">
        <f t="shared" si="16"/>
        <v>Dec-2024</v>
      </c>
      <c r="D78" t="str">
        <f t="shared" si="17"/>
        <v>Q4-2024</v>
      </c>
      <c r="E78" s="4">
        <v>45634</v>
      </c>
      <c r="F78" s="12">
        <f t="shared" si="14"/>
        <v>45634</v>
      </c>
      <c r="G78" s="13">
        <f t="shared" si="15"/>
        <v>0</v>
      </c>
      <c r="H78" t="s">
        <v>649</v>
      </c>
      <c r="I78" t="s">
        <v>657</v>
      </c>
      <c r="J78" t="s">
        <v>679</v>
      </c>
      <c r="K78" t="s">
        <v>706</v>
      </c>
      <c r="L78" t="s">
        <v>707</v>
      </c>
      <c r="M78" t="s">
        <v>722</v>
      </c>
      <c r="N78" t="s">
        <v>727</v>
      </c>
      <c r="O78" t="s">
        <v>1218</v>
      </c>
      <c r="P78" s="6">
        <v>257.44</v>
      </c>
      <c r="Q78" s="6">
        <v>290.33</v>
      </c>
      <c r="R78" s="10">
        <v>9.1999999999999998E-2</v>
      </c>
      <c r="S78" s="10" t="b">
        <f t="shared" si="18"/>
        <v>0</v>
      </c>
      <c r="T78" s="8">
        <v>23</v>
      </c>
      <c r="U78">
        <f t="shared" si="19"/>
        <v>6063.2517200000002</v>
      </c>
      <c r="V78">
        <f t="shared" si="20"/>
        <v>5921.12</v>
      </c>
      <c r="W78">
        <f t="shared" si="21"/>
        <v>142.13172000000031</v>
      </c>
      <c r="X78" s="10">
        <f t="shared" si="22"/>
        <v>2.3441500792581362E-2</v>
      </c>
      <c r="Y78" t="str">
        <f t="shared" si="23"/>
        <v>Low</v>
      </c>
      <c r="Z78" t="str">
        <f t="shared" si="24"/>
        <v>Met</v>
      </c>
      <c r="AA78" t="str">
        <f t="shared" si="25"/>
        <v>Low Discount</v>
      </c>
      <c r="AB78" s="10">
        <f>MIN(R78,ControlPanel!$B$5)</f>
        <v>9.1999999999999998E-2</v>
      </c>
      <c r="AC78">
        <f>P78*(1+ControlPanel!$B$6)</f>
        <v>270.31200000000001</v>
      </c>
      <c r="AD78">
        <f>T78*(1+ControlPanel!$B$7)</f>
        <v>25.3</v>
      </c>
      <c r="AE78" s="6">
        <f t="shared" si="26"/>
        <v>6669.576892</v>
      </c>
      <c r="AF78">
        <f t="shared" si="27"/>
        <v>-169.31670800000029</v>
      </c>
    </row>
    <row r="79" spans="1:32" x14ac:dyDescent="0.3">
      <c r="A79" t="s">
        <v>533</v>
      </c>
      <c r="B79" s="4">
        <v>45047</v>
      </c>
      <c r="C79" s="4" t="str">
        <f t="shared" si="16"/>
        <v>May-2023</v>
      </c>
      <c r="D79" t="str">
        <f t="shared" si="17"/>
        <v>Q2-2023</v>
      </c>
      <c r="E79" s="4">
        <v>45064</v>
      </c>
      <c r="F79" s="12">
        <f t="shared" si="14"/>
        <v>45064</v>
      </c>
      <c r="G79" s="13">
        <f t="shared" si="15"/>
        <v>17</v>
      </c>
      <c r="H79" t="s">
        <v>646</v>
      </c>
      <c r="I79" t="s">
        <v>651</v>
      </c>
      <c r="J79" t="s">
        <v>663</v>
      </c>
      <c r="K79" t="s">
        <v>701</v>
      </c>
      <c r="L79" t="s">
        <v>711</v>
      </c>
      <c r="M79" t="s">
        <v>721</v>
      </c>
      <c r="N79" t="s">
        <v>727</v>
      </c>
      <c r="O79" t="s">
        <v>1252</v>
      </c>
      <c r="P79" s="6">
        <v>327.97</v>
      </c>
      <c r="Q79" s="6">
        <v>299.94</v>
      </c>
      <c r="R79" s="10">
        <v>4.9000000000000002E-2</v>
      </c>
      <c r="S79" s="10" t="b">
        <f t="shared" si="18"/>
        <v>0</v>
      </c>
      <c r="T79" s="8">
        <v>3</v>
      </c>
      <c r="U79">
        <f t="shared" si="19"/>
        <v>855.72881999999993</v>
      </c>
      <c r="V79">
        <f t="shared" si="20"/>
        <v>983.91000000000008</v>
      </c>
      <c r="W79">
        <f t="shared" si="21"/>
        <v>-128.18118000000015</v>
      </c>
      <c r="X79" s="10">
        <f t="shared" si="22"/>
        <v>-0.14979182306843442</v>
      </c>
      <c r="Y79" t="str">
        <f t="shared" si="23"/>
        <v>Low</v>
      </c>
      <c r="Z79" t="str">
        <f t="shared" si="24"/>
        <v>Not Met</v>
      </c>
      <c r="AA79" t="str">
        <f t="shared" si="25"/>
        <v>Low Discount</v>
      </c>
      <c r="AB79" s="10">
        <f>MIN(R79,ControlPanel!$B$5)</f>
        <v>4.9000000000000002E-2</v>
      </c>
      <c r="AC79">
        <f>P79*(1+ControlPanel!$B$6)</f>
        <v>344.36850000000004</v>
      </c>
      <c r="AD79">
        <f>T79*(1+ControlPanel!$B$7)</f>
        <v>3.3000000000000003</v>
      </c>
      <c r="AE79" s="6">
        <f t="shared" si="26"/>
        <v>941.30170199999998</v>
      </c>
      <c r="AF79">
        <f t="shared" si="27"/>
        <v>-195.11434800000029</v>
      </c>
    </row>
    <row r="80" spans="1:32" x14ac:dyDescent="0.3">
      <c r="A80" t="s">
        <v>178</v>
      </c>
      <c r="B80" s="4">
        <v>45010</v>
      </c>
      <c r="C80" s="4" t="str">
        <f t="shared" si="16"/>
        <v>Mar-2023</v>
      </c>
      <c r="D80" t="str">
        <f t="shared" si="17"/>
        <v>Q1-2023</v>
      </c>
      <c r="E80" s="4">
        <v>45011</v>
      </c>
      <c r="F80" s="12">
        <f t="shared" si="14"/>
        <v>45011</v>
      </c>
      <c r="G80" s="13">
        <f t="shared" si="15"/>
        <v>1</v>
      </c>
      <c r="H80" t="s">
        <v>647</v>
      </c>
      <c r="I80" t="s">
        <v>652</v>
      </c>
      <c r="J80" t="s">
        <v>666</v>
      </c>
      <c r="K80" t="s">
        <v>705</v>
      </c>
      <c r="L80" t="s">
        <v>710</v>
      </c>
      <c r="M80" t="s">
        <v>714</v>
      </c>
      <c r="N80" t="s">
        <v>732</v>
      </c>
      <c r="O80" t="s">
        <v>897</v>
      </c>
      <c r="P80" s="6">
        <v>135.12</v>
      </c>
      <c r="Q80" s="6">
        <v>301.7</v>
      </c>
      <c r="R80" s="10">
        <v>0.14000000000000001</v>
      </c>
      <c r="S80" s="10" t="b">
        <f t="shared" si="18"/>
        <v>0</v>
      </c>
      <c r="T80" s="8">
        <v>47</v>
      </c>
      <c r="U80">
        <f t="shared" si="19"/>
        <v>12194.714</v>
      </c>
      <c r="V80">
        <f t="shared" si="20"/>
        <v>6350.64</v>
      </c>
      <c r="W80">
        <f t="shared" si="21"/>
        <v>5844.0739999999996</v>
      </c>
      <c r="X80" s="10">
        <f t="shared" si="22"/>
        <v>0.47923009920527859</v>
      </c>
      <c r="Y80" t="str">
        <f t="shared" si="23"/>
        <v>Low</v>
      </c>
      <c r="Z80" t="str">
        <f t="shared" si="24"/>
        <v>Met</v>
      </c>
      <c r="AA80" t="str">
        <f t="shared" si="25"/>
        <v>Low Discount</v>
      </c>
      <c r="AB80" s="10">
        <f>MIN(R80,ControlPanel!$B$5)</f>
        <v>0.14000000000000001</v>
      </c>
      <c r="AC80">
        <f>P80*(1+ControlPanel!$B$6)</f>
        <v>141.876</v>
      </c>
      <c r="AD80">
        <f>T80*(1+ControlPanel!$B$7)</f>
        <v>51.7</v>
      </c>
      <c r="AE80" s="6">
        <f t="shared" si="26"/>
        <v>13414.1854</v>
      </c>
      <c r="AF80">
        <f t="shared" si="27"/>
        <v>6079.1961999999994</v>
      </c>
    </row>
    <row r="81" spans="1:32" x14ac:dyDescent="0.3">
      <c r="A81" t="s">
        <v>504</v>
      </c>
      <c r="B81" s="4">
        <v>45403</v>
      </c>
      <c r="C81" s="4" t="str">
        <f t="shared" si="16"/>
        <v>Apr-2024</v>
      </c>
      <c r="D81" t="str">
        <f t="shared" si="17"/>
        <v>Q2-2024</v>
      </c>
      <c r="E81" s="4">
        <v>45431</v>
      </c>
      <c r="F81" s="12">
        <f t="shared" si="14"/>
        <v>45431</v>
      </c>
      <c r="G81" s="13">
        <f t="shared" si="15"/>
        <v>28</v>
      </c>
      <c r="H81" t="s">
        <v>646</v>
      </c>
      <c r="I81" t="s">
        <v>651</v>
      </c>
      <c r="J81" t="s">
        <v>665</v>
      </c>
      <c r="K81" t="s">
        <v>701</v>
      </c>
      <c r="L81" t="s">
        <v>710</v>
      </c>
      <c r="M81" t="s">
        <v>720</v>
      </c>
      <c r="N81" t="s">
        <v>733</v>
      </c>
      <c r="O81" t="s">
        <v>1223</v>
      </c>
      <c r="P81" s="6">
        <v>187.22</v>
      </c>
      <c r="Q81" s="6">
        <v>309.47000000000003</v>
      </c>
      <c r="R81" s="10">
        <v>0</v>
      </c>
      <c r="S81" s="10" t="b">
        <f t="shared" si="18"/>
        <v>0</v>
      </c>
      <c r="T81" s="8">
        <v>5</v>
      </c>
      <c r="U81">
        <f t="shared" si="19"/>
        <v>1547.3500000000001</v>
      </c>
      <c r="V81">
        <f t="shared" si="20"/>
        <v>936.1</v>
      </c>
      <c r="W81">
        <f t="shared" si="21"/>
        <v>611.25000000000011</v>
      </c>
      <c r="X81" s="10">
        <f t="shared" si="22"/>
        <v>0.39503021294471197</v>
      </c>
      <c r="Y81" t="str">
        <f t="shared" si="23"/>
        <v>Low</v>
      </c>
      <c r="Z81" t="str">
        <f t="shared" si="24"/>
        <v>Not Met</v>
      </c>
      <c r="AA81" t="str">
        <f t="shared" si="25"/>
        <v>Low Discount</v>
      </c>
      <c r="AB81" s="10">
        <f>MIN(R81,ControlPanel!$B$5)</f>
        <v>0</v>
      </c>
      <c r="AC81">
        <f>P81*(1+ControlPanel!$B$6)</f>
        <v>196.58100000000002</v>
      </c>
      <c r="AD81">
        <f>T81*(1+ControlPanel!$B$7)</f>
        <v>5.5</v>
      </c>
      <c r="AE81" s="6">
        <f t="shared" si="26"/>
        <v>1702.085</v>
      </c>
      <c r="AF81">
        <f t="shared" si="27"/>
        <v>620.8895</v>
      </c>
    </row>
    <row r="82" spans="1:32" x14ac:dyDescent="0.3">
      <c r="A82" t="s">
        <v>461</v>
      </c>
      <c r="B82" s="4">
        <v>45746</v>
      </c>
      <c r="C82" s="4" t="str">
        <f t="shared" si="16"/>
        <v>Mar-2025</v>
      </c>
      <c r="D82" t="str">
        <f t="shared" si="17"/>
        <v>Q1-2025</v>
      </c>
      <c r="E82" s="4">
        <v>45776</v>
      </c>
      <c r="F82" s="12">
        <f t="shared" si="14"/>
        <v>45776</v>
      </c>
      <c r="G82" s="13">
        <f t="shared" si="15"/>
        <v>30</v>
      </c>
      <c r="H82" t="s">
        <v>646</v>
      </c>
      <c r="I82" t="s">
        <v>661</v>
      </c>
      <c r="J82" t="s">
        <v>687</v>
      </c>
      <c r="K82" t="s">
        <v>704</v>
      </c>
      <c r="L82" t="s">
        <v>709</v>
      </c>
      <c r="M82" t="s">
        <v>713</v>
      </c>
      <c r="N82" t="s">
        <v>732</v>
      </c>
      <c r="O82" t="s">
        <v>1180</v>
      </c>
      <c r="P82" s="6">
        <v>194.6</v>
      </c>
      <c r="Q82" s="6">
        <v>314.87</v>
      </c>
      <c r="R82" s="10">
        <v>0.29299999999999998</v>
      </c>
      <c r="S82" s="10" t="b">
        <f t="shared" si="18"/>
        <v>0</v>
      </c>
      <c r="T82" s="8">
        <v>25</v>
      </c>
      <c r="U82">
        <f t="shared" si="19"/>
        <v>5565.3272500000003</v>
      </c>
      <c r="V82">
        <f t="shared" si="20"/>
        <v>4865</v>
      </c>
      <c r="W82">
        <f t="shared" si="21"/>
        <v>700.32725000000028</v>
      </c>
      <c r="X82" s="10">
        <f t="shared" si="22"/>
        <v>0.1258375686712763</v>
      </c>
      <c r="Y82" t="str">
        <f t="shared" si="23"/>
        <v>Low</v>
      </c>
      <c r="Z82" t="str">
        <f t="shared" si="24"/>
        <v>Not Met</v>
      </c>
      <c r="AA82" t="str">
        <f t="shared" si="25"/>
        <v>High Discount</v>
      </c>
      <c r="AB82" s="10">
        <f>MIN(R82,ControlPanel!$B$5)</f>
        <v>0.2</v>
      </c>
      <c r="AC82">
        <f>P82*(1+ControlPanel!$B$6)</f>
        <v>204.33</v>
      </c>
      <c r="AD82">
        <f>T82*(1+ControlPanel!$B$7)</f>
        <v>27.500000000000004</v>
      </c>
      <c r="AE82" s="6">
        <f t="shared" si="26"/>
        <v>6927.1400000000012</v>
      </c>
      <c r="AF82">
        <f t="shared" si="27"/>
        <v>1308.0650000000005</v>
      </c>
    </row>
    <row r="83" spans="1:32" x14ac:dyDescent="0.3">
      <c r="A83" t="s">
        <v>229</v>
      </c>
      <c r="B83" s="4">
        <v>45351</v>
      </c>
      <c r="C83" s="4" t="str">
        <f t="shared" si="16"/>
        <v>Feb-2024</v>
      </c>
      <c r="D83" t="str">
        <f t="shared" si="17"/>
        <v>Q1-2024</v>
      </c>
      <c r="E83" s="4">
        <v>45381</v>
      </c>
      <c r="F83" s="12">
        <f t="shared" si="14"/>
        <v>45381</v>
      </c>
      <c r="G83" s="13">
        <f t="shared" si="15"/>
        <v>30</v>
      </c>
      <c r="H83" t="s">
        <v>647</v>
      </c>
      <c r="I83" t="s">
        <v>652</v>
      </c>
      <c r="J83" t="s">
        <v>694</v>
      </c>
      <c r="K83" t="s">
        <v>705</v>
      </c>
      <c r="L83" t="s">
        <v>711</v>
      </c>
      <c r="M83" t="s">
        <v>714</v>
      </c>
      <c r="N83" t="s">
        <v>729</v>
      </c>
      <c r="O83" t="s">
        <v>949</v>
      </c>
      <c r="P83" s="6">
        <v>231.11</v>
      </c>
      <c r="Q83" s="6">
        <v>318.17</v>
      </c>
      <c r="R83" s="10">
        <v>0.20100000000000001</v>
      </c>
      <c r="S83" s="10" t="b">
        <f t="shared" si="18"/>
        <v>0</v>
      </c>
      <c r="T83" s="8">
        <v>60</v>
      </c>
      <c r="U83">
        <f t="shared" si="19"/>
        <v>15253.069799999999</v>
      </c>
      <c r="V83">
        <f t="shared" si="20"/>
        <v>13866.6</v>
      </c>
      <c r="W83">
        <f t="shared" si="21"/>
        <v>1386.4697999999989</v>
      </c>
      <c r="X83" s="10">
        <f t="shared" si="22"/>
        <v>9.0897754889969692E-2</v>
      </c>
      <c r="Y83" t="str">
        <f t="shared" si="23"/>
        <v>Low</v>
      </c>
      <c r="Z83" t="str">
        <f t="shared" si="24"/>
        <v>Not Met</v>
      </c>
      <c r="AA83" t="str">
        <f t="shared" si="25"/>
        <v>High Discount</v>
      </c>
      <c r="AB83" s="10">
        <f>MIN(R83,ControlPanel!$B$5)</f>
        <v>0.2</v>
      </c>
      <c r="AC83">
        <f>P83*(1+ControlPanel!$B$6)</f>
        <v>242.66550000000004</v>
      </c>
      <c r="AD83">
        <f>T83*(1+ControlPanel!$B$7)</f>
        <v>66</v>
      </c>
      <c r="AE83" s="6">
        <f t="shared" si="26"/>
        <v>16799.376</v>
      </c>
      <c r="AF83">
        <f t="shared" si="27"/>
        <v>783.4529999999977</v>
      </c>
    </row>
    <row r="84" spans="1:32" x14ac:dyDescent="0.3">
      <c r="A84" t="s">
        <v>383</v>
      </c>
      <c r="B84" s="4">
        <v>45832</v>
      </c>
      <c r="C84" s="4" t="str">
        <f t="shared" si="16"/>
        <v>Jun-2025</v>
      </c>
      <c r="D84" t="str">
        <f t="shared" si="17"/>
        <v>Q2-2025</v>
      </c>
      <c r="E84" s="4">
        <v>45861</v>
      </c>
      <c r="F84" s="12">
        <f t="shared" si="14"/>
        <v>45861</v>
      </c>
      <c r="G84" s="13">
        <f t="shared" si="15"/>
        <v>29</v>
      </c>
      <c r="H84" t="s">
        <v>648</v>
      </c>
      <c r="I84" t="s">
        <v>653</v>
      </c>
      <c r="J84" t="s">
        <v>688</v>
      </c>
      <c r="K84" t="s">
        <v>703</v>
      </c>
      <c r="L84" t="s">
        <v>709</v>
      </c>
      <c r="M84" t="s">
        <v>714</v>
      </c>
      <c r="N84" t="s">
        <v>728</v>
      </c>
      <c r="O84" t="s">
        <v>1103</v>
      </c>
      <c r="P84" s="6">
        <v>255.4</v>
      </c>
      <c r="Q84" s="6">
        <v>322.70999999999998</v>
      </c>
      <c r="R84" s="10">
        <v>0.115</v>
      </c>
      <c r="S84" s="10" t="b">
        <f t="shared" si="18"/>
        <v>0</v>
      </c>
      <c r="T84" s="8">
        <v>16</v>
      </c>
      <c r="U84">
        <f t="shared" si="19"/>
        <v>4569.5735999999997</v>
      </c>
      <c r="V84">
        <f t="shared" si="20"/>
        <v>4086.4</v>
      </c>
      <c r="W84">
        <f t="shared" si="21"/>
        <v>483.17359999999962</v>
      </c>
      <c r="X84" s="10">
        <f t="shared" si="22"/>
        <v>0.10573713048412212</v>
      </c>
      <c r="Y84" t="str">
        <f t="shared" si="23"/>
        <v>Low</v>
      </c>
      <c r="Z84" t="str">
        <f t="shared" si="24"/>
        <v>Not Met</v>
      </c>
      <c r="AA84" t="str">
        <f t="shared" si="25"/>
        <v>Low Discount</v>
      </c>
      <c r="AB84" s="10">
        <f>MIN(R84,ControlPanel!$B$5)</f>
        <v>0.115</v>
      </c>
      <c r="AC84">
        <f>P84*(1+ControlPanel!$B$6)</f>
        <v>268.17</v>
      </c>
      <c r="AD84">
        <f>T84*(1+ControlPanel!$B$7)</f>
        <v>17.600000000000001</v>
      </c>
      <c r="AE84" s="6">
        <f t="shared" si="26"/>
        <v>5026.5309600000001</v>
      </c>
      <c r="AF84">
        <f t="shared" si="27"/>
        <v>306.73895999999968</v>
      </c>
    </row>
    <row r="85" spans="1:32" x14ac:dyDescent="0.3">
      <c r="A85" t="s">
        <v>246</v>
      </c>
      <c r="B85" s="4">
        <v>45538</v>
      </c>
      <c r="C85" s="4" t="str">
        <f t="shared" si="16"/>
        <v>Sep-2024</v>
      </c>
      <c r="D85" t="str">
        <f t="shared" si="17"/>
        <v>Q3-2024</v>
      </c>
      <c r="E85" s="4">
        <v>45543</v>
      </c>
      <c r="F85" s="12">
        <f t="shared" si="14"/>
        <v>45543</v>
      </c>
      <c r="G85" s="13">
        <f t="shared" si="15"/>
        <v>5</v>
      </c>
      <c r="H85" t="s">
        <v>646</v>
      </c>
      <c r="I85" t="s">
        <v>651</v>
      </c>
      <c r="J85" t="s">
        <v>665</v>
      </c>
      <c r="K85" t="s">
        <v>705</v>
      </c>
      <c r="L85" t="s">
        <v>711</v>
      </c>
      <c r="M85" t="s">
        <v>723</v>
      </c>
      <c r="N85" t="s">
        <v>728</v>
      </c>
      <c r="O85" t="s">
        <v>966</v>
      </c>
      <c r="P85" s="6">
        <v>197.63</v>
      </c>
      <c r="Q85" s="6">
        <v>325.79000000000002</v>
      </c>
      <c r="R85" s="10">
        <v>0.11600000000000001</v>
      </c>
      <c r="S85" s="10" t="b">
        <f t="shared" si="18"/>
        <v>0</v>
      </c>
      <c r="T85" s="8">
        <v>10</v>
      </c>
      <c r="U85">
        <f t="shared" si="19"/>
        <v>2879.9836000000005</v>
      </c>
      <c r="V85">
        <f t="shared" si="20"/>
        <v>1976.3</v>
      </c>
      <c r="W85">
        <f t="shared" si="21"/>
        <v>903.68360000000052</v>
      </c>
      <c r="X85" s="10">
        <f t="shared" si="22"/>
        <v>0.3137808145851943</v>
      </c>
      <c r="Y85" t="str">
        <f t="shared" si="23"/>
        <v>Low</v>
      </c>
      <c r="Z85" t="str">
        <f t="shared" si="24"/>
        <v>Met</v>
      </c>
      <c r="AA85" t="str">
        <f t="shared" si="25"/>
        <v>Low Discount</v>
      </c>
      <c r="AB85" s="10">
        <f>MIN(R85,ControlPanel!$B$5)</f>
        <v>0.11600000000000001</v>
      </c>
      <c r="AC85">
        <f>P85*(1+ControlPanel!$B$6)</f>
        <v>207.51150000000001</v>
      </c>
      <c r="AD85">
        <f>T85*(1+ControlPanel!$B$7)</f>
        <v>11</v>
      </c>
      <c r="AE85" s="6">
        <f t="shared" si="26"/>
        <v>3167.9819600000005</v>
      </c>
      <c r="AF85">
        <f t="shared" si="27"/>
        <v>885.35546000000022</v>
      </c>
    </row>
    <row r="86" spans="1:32" x14ac:dyDescent="0.3">
      <c r="A86" t="s">
        <v>593</v>
      </c>
      <c r="B86" s="4">
        <v>45607</v>
      </c>
      <c r="C86" s="4" t="str">
        <f t="shared" si="16"/>
        <v>Nov-2024</v>
      </c>
      <c r="D86" t="str">
        <f t="shared" si="17"/>
        <v>Q4-2024</v>
      </c>
      <c r="E86" s="4">
        <v>45620</v>
      </c>
      <c r="F86" s="12">
        <f t="shared" si="14"/>
        <v>45620</v>
      </c>
      <c r="G86" s="13">
        <f t="shared" si="15"/>
        <v>13</v>
      </c>
      <c r="H86" t="s">
        <v>649</v>
      </c>
      <c r="I86" t="s">
        <v>658</v>
      </c>
      <c r="J86" t="s">
        <v>683</v>
      </c>
      <c r="K86" t="s">
        <v>701</v>
      </c>
      <c r="L86" t="s">
        <v>707</v>
      </c>
      <c r="M86" t="s">
        <v>718</v>
      </c>
      <c r="N86" t="s">
        <v>729</v>
      </c>
      <c r="O86" t="s">
        <v>1311</v>
      </c>
      <c r="P86" s="6">
        <v>164.53</v>
      </c>
      <c r="Q86" s="6">
        <v>327.72</v>
      </c>
      <c r="R86" s="10">
        <v>6.7000000000000004E-2</v>
      </c>
      <c r="S86" s="10" t="b">
        <f t="shared" si="18"/>
        <v>0</v>
      </c>
      <c r="T86" s="8">
        <v>14</v>
      </c>
      <c r="U86">
        <f t="shared" si="19"/>
        <v>4280.6786400000001</v>
      </c>
      <c r="V86">
        <f t="shared" si="20"/>
        <v>2303.42</v>
      </c>
      <c r="W86">
        <f t="shared" si="21"/>
        <v>1977.25864</v>
      </c>
      <c r="X86" s="10">
        <f t="shared" si="22"/>
        <v>0.46190307805960412</v>
      </c>
      <c r="Y86" t="str">
        <f t="shared" si="23"/>
        <v>Low</v>
      </c>
      <c r="Z86" t="str">
        <f t="shared" si="24"/>
        <v>Not Met</v>
      </c>
      <c r="AA86" t="str">
        <f t="shared" si="25"/>
        <v>Low Discount</v>
      </c>
      <c r="AB86" s="10">
        <f>MIN(R86,ControlPanel!$B$5)</f>
        <v>6.7000000000000004E-2</v>
      </c>
      <c r="AC86">
        <f>P86*(1+ControlPanel!$B$6)</f>
        <v>172.75650000000002</v>
      </c>
      <c r="AD86">
        <f>T86*(1+ControlPanel!$B$7)</f>
        <v>15.400000000000002</v>
      </c>
      <c r="AE86" s="6">
        <f t="shared" si="26"/>
        <v>4708.7465040000006</v>
      </c>
      <c r="AF86">
        <f t="shared" si="27"/>
        <v>2048.2964040000002</v>
      </c>
    </row>
    <row r="87" spans="1:32" x14ac:dyDescent="0.3">
      <c r="A87" t="s">
        <v>525</v>
      </c>
      <c r="B87" s="4">
        <v>45353</v>
      </c>
      <c r="C87" s="4" t="str">
        <f t="shared" si="16"/>
        <v>Mar-2024</v>
      </c>
      <c r="D87" t="str">
        <f t="shared" si="17"/>
        <v>Q1-2024</v>
      </c>
      <c r="E87" s="4">
        <v>45374</v>
      </c>
      <c r="F87" s="12">
        <f t="shared" si="14"/>
        <v>45374</v>
      </c>
      <c r="G87" s="13">
        <f t="shared" si="15"/>
        <v>21</v>
      </c>
      <c r="H87" t="s">
        <v>648</v>
      </c>
      <c r="I87" t="s">
        <v>660</v>
      </c>
      <c r="J87" t="s">
        <v>677</v>
      </c>
      <c r="K87" t="s">
        <v>705</v>
      </c>
      <c r="L87" t="s">
        <v>708</v>
      </c>
      <c r="M87" t="s">
        <v>721</v>
      </c>
      <c r="N87" t="s">
        <v>727</v>
      </c>
      <c r="O87" t="s">
        <v>1244</v>
      </c>
      <c r="P87" s="6">
        <v>225.01</v>
      </c>
      <c r="Q87" s="6">
        <v>333.48</v>
      </c>
      <c r="R87" s="10">
        <v>0.11899999999999999</v>
      </c>
      <c r="S87" s="10" t="b">
        <f t="shared" si="18"/>
        <v>0</v>
      </c>
      <c r="T87" s="8">
        <v>12</v>
      </c>
      <c r="U87">
        <f t="shared" si="19"/>
        <v>3525.5505600000001</v>
      </c>
      <c r="V87">
        <f t="shared" si="20"/>
        <v>2700.12</v>
      </c>
      <c r="W87">
        <f t="shared" si="21"/>
        <v>825.43056000000024</v>
      </c>
      <c r="X87" s="10">
        <f t="shared" si="22"/>
        <v>0.23412813004729685</v>
      </c>
      <c r="Y87" t="str">
        <f t="shared" si="23"/>
        <v>Low</v>
      </c>
      <c r="Z87" t="str">
        <f t="shared" si="24"/>
        <v>Not Met</v>
      </c>
      <c r="AA87" t="str">
        <f t="shared" si="25"/>
        <v>Low Discount</v>
      </c>
      <c r="AB87" s="10">
        <f>MIN(R87,ControlPanel!$B$5)</f>
        <v>0.11899999999999999</v>
      </c>
      <c r="AC87">
        <f>P87*(1+ControlPanel!$B$6)</f>
        <v>236.26050000000001</v>
      </c>
      <c r="AD87">
        <f>T87*(1+ControlPanel!$B$7)</f>
        <v>13.200000000000001</v>
      </c>
      <c r="AE87" s="6">
        <f t="shared" si="26"/>
        <v>3878.1056160000003</v>
      </c>
      <c r="AF87">
        <f t="shared" si="27"/>
        <v>759.46701600000006</v>
      </c>
    </row>
    <row r="88" spans="1:32" x14ac:dyDescent="0.3">
      <c r="A88" t="s">
        <v>284</v>
      </c>
      <c r="B88" s="4">
        <v>45141</v>
      </c>
      <c r="C88" s="4" t="str">
        <f t="shared" si="16"/>
        <v>Aug-2023</v>
      </c>
      <c r="D88" t="str">
        <f t="shared" si="17"/>
        <v>Q3-2023</v>
      </c>
      <c r="E88" s="4">
        <v>45152</v>
      </c>
      <c r="F88" s="12">
        <f t="shared" si="14"/>
        <v>45152</v>
      </c>
      <c r="G88" s="13">
        <f t="shared" si="15"/>
        <v>11</v>
      </c>
      <c r="H88" t="s">
        <v>648</v>
      </c>
      <c r="I88" t="s">
        <v>655</v>
      </c>
      <c r="J88" t="s">
        <v>672</v>
      </c>
      <c r="K88" t="s">
        <v>701</v>
      </c>
      <c r="L88" t="s">
        <v>711</v>
      </c>
      <c r="M88" t="s">
        <v>713</v>
      </c>
      <c r="N88" t="s">
        <v>733</v>
      </c>
      <c r="O88" t="s">
        <v>1004</v>
      </c>
      <c r="P88" s="6">
        <v>232.73</v>
      </c>
      <c r="Q88" s="6">
        <v>334.19</v>
      </c>
      <c r="R88" s="10">
        <v>0.13400000000000001</v>
      </c>
      <c r="S88" s="10" t="b">
        <f t="shared" si="18"/>
        <v>0</v>
      </c>
      <c r="T88" s="8">
        <v>25</v>
      </c>
      <c r="U88">
        <f t="shared" si="19"/>
        <v>7235.2135000000007</v>
      </c>
      <c r="V88">
        <f t="shared" si="20"/>
        <v>5818.25</v>
      </c>
      <c r="W88">
        <f t="shared" si="21"/>
        <v>1416.9635000000007</v>
      </c>
      <c r="X88" s="10">
        <f t="shared" si="22"/>
        <v>0.19584266587295601</v>
      </c>
      <c r="Y88" t="str">
        <f t="shared" si="23"/>
        <v>Low</v>
      </c>
      <c r="Z88" t="str">
        <f t="shared" si="24"/>
        <v>Not Met</v>
      </c>
      <c r="AA88" t="str">
        <f t="shared" si="25"/>
        <v>Low Discount</v>
      </c>
      <c r="AB88" s="10">
        <f>MIN(R88,ControlPanel!$B$5)</f>
        <v>0.13400000000000001</v>
      </c>
      <c r="AC88">
        <f>P88*(1+ControlPanel!$B$6)</f>
        <v>244.3665</v>
      </c>
      <c r="AD88">
        <f>T88*(1+ControlPanel!$B$7)</f>
        <v>27.500000000000004</v>
      </c>
      <c r="AE88" s="6">
        <f t="shared" si="26"/>
        <v>7958.7348500000016</v>
      </c>
      <c r="AF88">
        <f t="shared" si="27"/>
        <v>1238.6561000000011</v>
      </c>
    </row>
    <row r="89" spans="1:32" x14ac:dyDescent="0.3">
      <c r="A89" t="s">
        <v>116</v>
      </c>
      <c r="B89" s="4">
        <v>45304</v>
      </c>
      <c r="C89" s="4" t="str">
        <f t="shared" si="16"/>
        <v>Jan-2024</v>
      </c>
      <c r="D89" t="str">
        <f t="shared" si="17"/>
        <v>Q1-2024</v>
      </c>
      <c r="E89" s="4">
        <v>45313</v>
      </c>
      <c r="F89" s="12">
        <f t="shared" si="14"/>
        <v>45313</v>
      </c>
      <c r="G89" s="13">
        <f t="shared" si="15"/>
        <v>9</v>
      </c>
      <c r="H89" t="s">
        <v>647</v>
      </c>
      <c r="I89" t="s">
        <v>654</v>
      </c>
      <c r="J89" t="s">
        <v>691</v>
      </c>
      <c r="K89" t="s">
        <v>706</v>
      </c>
      <c r="L89" t="s">
        <v>709</v>
      </c>
      <c r="M89" t="s">
        <v>713</v>
      </c>
      <c r="N89" t="s">
        <v>727</v>
      </c>
      <c r="O89" t="s">
        <v>835</v>
      </c>
      <c r="P89" s="6">
        <v>313.60000000000002</v>
      </c>
      <c r="Q89" s="6">
        <v>334.28</v>
      </c>
      <c r="R89" s="10">
        <v>0.14000000000000001</v>
      </c>
      <c r="S89" s="10" t="b">
        <f t="shared" si="18"/>
        <v>0</v>
      </c>
      <c r="T89" s="8">
        <v>22</v>
      </c>
      <c r="U89">
        <f t="shared" si="19"/>
        <v>6324.5775999999996</v>
      </c>
      <c r="V89">
        <f t="shared" si="20"/>
        <v>6899.2000000000007</v>
      </c>
      <c r="W89">
        <f t="shared" si="21"/>
        <v>-574.62240000000111</v>
      </c>
      <c r="X89" s="10">
        <f t="shared" si="22"/>
        <v>-9.0855458868905517E-2</v>
      </c>
      <c r="Y89" t="str">
        <f t="shared" si="23"/>
        <v>Low</v>
      </c>
      <c r="Z89" t="str">
        <f t="shared" si="24"/>
        <v>Not Met</v>
      </c>
      <c r="AA89" t="str">
        <f t="shared" si="25"/>
        <v>Low Discount</v>
      </c>
      <c r="AB89" s="10">
        <f>MIN(R89,ControlPanel!$B$5)</f>
        <v>0.14000000000000001</v>
      </c>
      <c r="AC89">
        <f>P89*(1+ControlPanel!$B$6)</f>
        <v>329.28000000000003</v>
      </c>
      <c r="AD89">
        <f>T89*(1+ControlPanel!$B$7)</f>
        <v>24.200000000000003</v>
      </c>
      <c r="AE89" s="6">
        <f t="shared" si="26"/>
        <v>6957.0353600000008</v>
      </c>
      <c r="AF89">
        <f t="shared" si="27"/>
        <v>-1011.5406400000011</v>
      </c>
    </row>
    <row r="90" spans="1:32" x14ac:dyDescent="0.3">
      <c r="A90" t="s">
        <v>231</v>
      </c>
      <c r="B90" s="4">
        <v>44948</v>
      </c>
      <c r="C90" s="4" t="str">
        <f t="shared" si="16"/>
        <v>Jan-2023</v>
      </c>
      <c r="D90" t="str">
        <f t="shared" si="17"/>
        <v>Q1-2023</v>
      </c>
      <c r="E90" s="4">
        <v>44947</v>
      </c>
      <c r="F90" s="12">
        <f t="shared" si="14"/>
        <v>44962</v>
      </c>
      <c r="G90" s="13">
        <f t="shared" si="15"/>
        <v>14</v>
      </c>
      <c r="H90" t="s">
        <v>649</v>
      </c>
      <c r="I90" t="s">
        <v>656</v>
      </c>
      <c r="J90" t="s">
        <v>684</v>
      </c>
      <c r="K90" t="s">
        <v>701</v>
      </c>
      <c r="L90" t="s">
        <v>711</v>
      </c>
      <c r="M90" t="s">
        <v>721</v>
      </c>
      <c r="N90" t="s">
        <v>732</v>
      </c>
      <c r="O90" t="s">
        <v>951</v>
      </c>
      <c r="P90" s="6">
        <v>150.86000000000001</v>
      </c>
      <c r="Q90" s="6">
        <v>346.96</v>
      </c>
      <c r="R90" s="10">
        <v>0.19600000000000001</v>
      </c>
      <c r="S90" s="10" t="b">
        <f t="shared" si="18"/>
        <v>0</v>
      </c>
      <c r="T90" s="8">
        <v>8</v>
      </c>
      <c r="U90">
        <f t="shared" si="19"/>
        <v>2231.6467200000002</v>
      </c>
      <c r="V90">
        <f t="shared" si="20"/>
        <v>1206.8800000000001</v>
      </c>
      <c r="W90">
        <f t="shared" si="21"/>
        <v>1024.7667200000001</v>
      </c>
      <c r="X90" s="10">
        <f t="shared" si="22"/>
        <v>0.45919755614365343</v>
      </c>
      <c r="Y90" t="str">
        <f t="shared" si="23"/>
        <v>Low</v>
      </c>
      <c r="Z90" t="str">
        <f t="shared" si="24"/>
        <v>Not Met</v>
      </c>
      <c r="AA90" t="str">
        <f t="shared" si="25"/>
        <v>Low Discount</v>
      </c>
      <c r="AB90" s="10">
        <f>MIN(R90,ControlPanel!$B$5)</f>
        <v>0.19600000000000001</v>
      </c>
      <c r="AC90">
        <f>P90*(1+ControlPanel!$B$6)</f>
        <v>158.40300000000002</v>
      </c>
      <c r="AD90">
        <f>T90*(1+ControlPanel!$B$7)</f>
        <v>8.8000000000000007</v>
      </c>
      <c r="AE90" s="6">
        <f t="shared" si="26"/>
        <v>2454.8113920000005</v>
      </c>
      <c r="AF90">
        <f t="shared" si="27"/>
        <v>1060.8649920000003</v>
      </c>
    </row>
    <row r="91" spans="1:32" x14ac:dyDescent="0.3">
      <c r="A91" t="s">
        <v>591</v>
      </c>
      <c r="B91" s="4">
        <v>45140</v>
      </c>
      <c r="C91" s="4" t="str">
        <f t="shared" si="16"/>
        <v>Aug-2023</v>
      </c>
      <c r="D91" t="str">
        <f t="shared" si="17"/>
        <v>Q3-2023</v>
      </c>
      <c r="E91" s="4">
        <v>45157</v>
      </c>
      <c r="F91" s="12">
        <f t="shared" si="14"/>
        <v>45157</v>
      </c>
      <c r="G91" s="13">
        <f t="shared" si="15"/>
        <v>17</v>
      </c>
      <c r="H91" t="s">
        <v>648</v>
      </c>
      <c r="I91" t="s">
        <v>653</v>
      </c>
      <c r="J91" t="s">
        <v>688</v>
      </c>
      <c r="K91" t="s">
        <v>701</v>
      </c>
      <c r="L91" t="s">
        <v>708</v>
      </c>
      <c r="M91" t="s">
        <v>721</v>
      </c>
      <c r="N91" t="s">
        <v>729</v>
      </c>
      <c r="O91" t="s">
        <v>1309</v>
      </c>
      <c r="P91" s="6">
        <v>175.38</v>
      </c>
      <c r="Q91" s="6">
        <v>347.9</v>
      </c>
      <c r="R91" s="10">
        <v>7.1999999999999995E-2</v>
      </c>
      <c r="S91" s="10" t="b">
        <f t="shared" si="18"/>
        <v>0</v>
      </c>
      <c r="T91" s="8">
        <v>43</v>
      </c>
      <c r="U91">
        <f t="shared" si="19"/>
        <v>13882.6016</v>
      </c>
      <c r="V91">
        <f t="shared" si="20"/>
        <v>7541.34</v>
      </c>
      <c r="W91">
        <f t="shared" si="21"/>
        <v>6341.2615999999998</v>
      </c>
      <c r="X91" s="10">
        <f t="shared" si="22"/>
        <v>0.45677761148169804</v>
      </c>
      <c r="Y91" t="str">
        <f t="shared" si="23"/>
        <v>Low</v>
      </c>
      <c r="Z91" t="str">
        <f t="shared" si="24"/>
        <v>Not Met</v>
      </c>
      <c r="AA91" t="str">
        <f t="shared" si="25"/>
        <v>Low Discount</v>
      </c>
      <c r="AB91" s="10">
        <f>MIN(R91,ControlPanel!$B$5)</f>
        <v>7.1999999999999995E-2</v>
      </c>
      <c r="AC91">
        <f>P91*(1+ControlPanel!$B$6)</f>
        <v>184.149</v>
      </c>
      <c r="AD91">
        <f>T91*(1+ControlPanel!$B$7)</f>
        <v>47.300000000000004</v>
      </c>
      <c r="AE91" s="6">
        <f t="shared" si="26"/>
        <v>15270.861760000002</v>
      </c>
      <c r="AF91">
        <f t="shared" si="27"/>
        <v>6560.6140599999999</v>
      </c>
    </row>
    <row r="92" spans="1:32" x14ac:dyDescent="0.3">
      <c r="A92" t="s">
        <v>124</v>
      </c>
      <c r="B92" s="4">
        <v>45445</v>
      </c>
      <c r="C92" s="4" t="str">
        <f t="shared" si="16"/>
        <v>Jun-2024</v>
      </c>
      <c r="D92" t="str">
        <f t="shared" si="17"/>
        <v>Q2-2024</v>
      </c>
      <c r="E92" s="4">
        <v>45451</v>
      </c>
      <c r="F92" s="12">
        <f t="shared" si="14"/>
        <v>45451</v>
      </c>
      <c r="G92" s="13">
        <f t="shared" si="15"/>
        <v>6</v>
      </c>
      <c r="H92" t="s">
        <v>646</v>
      </c>
      <c r="I92" t="s">
        <v>650</v>
      </c>
      <c r="J92" t="s">
        <v>662</v>
      </c>
      <c r="K92" t="s">
        <v>704</v>
      </c>
      <c r="L92" t="s">
        <v>709</v>
      </c>
      <c r="M92" t="s">
        <v>720</v>
      </c>
      <c r="N92" t="s">
        <v>733</v>
      </c>
      <c r="O92" t="s">
        <v>843</v>
      </c>
      <c r="P92" s="6">
        <v>292.94</v>
      </c>
      <c r="Q92" s="6">
        <v>356.55</v>
      </c>
      <c r="R92" s="10">
        <v>0.22900000000000001</v>
      </c>
      <c r="S92" s="10" t="b">
        <f t="shared" si="18"/>
        <v>0</v>
      </c>
      <c r="T92" s="8">
        <v>2</v>
      </c>
      <c r="U92">
        <f t="shared" si="19"/>
        <v>549.80010000000004</v>
      </c>
      <c r="V92">
        <f t="shared" si="20"/>
        <v>585.88</v>
      </c>
      <c r="W92">
        <f t="shared" si="21"/>
        <v>-36.079899999999952</v>
      </c>
      <c r="X92" s="10">
        <f t="shared" si="22"/>
        <v>-6.5623669402751925E-2</v>
      </c>
      <c r="Y92" t="str">
        <f t="shared" si="23"/>
        <v>Low</v>
      </c>
      <c r="Z92" t="str">
        <f t="shared" si="24"/>
        <v>Met</v>
      </c>
      <c r="AA92" t="str">
        <f t="shared" si="25"/>
        <v>High Discount</v>
      </c>
      <c r="AB92" s="10">
        <f>MIN(R92,ControlPanel!$B$5)</f>
        <v>0.2</v>
      </c>
      <c r="AC92">
        <f>P92*(1+ControlPanel!$B$6)</f>
        <v>307.58699999999999</v>
      </c>
      <c r="AD92">
        <f>T92*(1+ControlPanel!$B$7)</f>
        <v>2.2000000000000002</v>
      </c>
      <c r="AE92" s="6">
        <f t="shared" si="26"/>
        <v>627.52800000000002</v>
      </c>
      <c r="AF92">
        <f t="shared" si="27"/>
        <v>-49.163400000000024</v>
      </c>
    </row>
    <row r="93" spans="1:32" x14ac:dyDescent="0.3">
      <c r="A93" t="s">
        <v>491</v>
      </c>
      <c r="B93" s="4">
        <v>44999</v>
      </c>
      <c r="C93" s="4" t="str">
        <f t="shared" si="16"/>
        <v>Mar-2023</v>
      </c>
      <c r="D93" t="str">
        <f t="shared" si="17"/>
        <v>Q1-2023</v>
      </c>
      <c r="E93" s="4">
        <v>45003</v>
      </c>
      <c r="F93" s="12">
        <f t="shared" si="14"/>
        <v>45003</v>
      </c>
      <c r="G93" s="13">
        <f t="shared" si="15"/>
        <v>4</v>
      </c>
      <c r="H93" t="s">
        <v>649</v>
      </c>
      <c r="I93" t="s">
        <v>656</v>
      </c>
      <c r="J93" t="s">
        <v>698</v>
      </c>
      <c r="K93" t="s">
        <v>706</v>
      </c>
      <c r="L93" t="s">
        <v>711</v>
      </c>
      <c r="M93" t="s">
        <v>720</v>
      </c>
      <c r="N93" t="s">
        <v>727</v>
      </c>
      <c r="O93" t="s">
        <v>1210</v>
      </c>
      <c r="P93" s="6">
        <v>472.33</v>
      </c>
      <c r="Q93" s="6">
        <v>360.34</v>
      </c>
      <c r="R93" s="10">
        <v>0.16500000000000001</v>
      </c>
      <c r="S93" s="10" t="b">
        <f t="shared" si="18"/>
        <v>0</v>
      </c>
      <c r="T93" s="8">
        <v>14</v>
      </c>
      <c r="U93">
        <f t="shared" si="19"/>
        <v>4212.3746000000001</v>
      </c>
      <c r="V93">
        <f t="shared" si="20"/>
        <v>6612.62</v>
      </c>
      <c r="W93">
        <f t="shared" si="21"/>
        <v>-2400.2453999999998</v>
      </c>
      <c r="X93" s="10">
        <f t="shared" si="22"/>
        <v>-0.56980815523861528</v>
      </c>
      <c r="Y93" t="str">
        <f t="shared" si="23"/>
        <v>Low</v>
      </c>
      <c r="Z93" t="str">
        <f t="shared" si="24"/>
        <v>Met</v>
      </c>
      <c r="AA93" t="str">
        <f t="shared" si="25"/>
        <v>Low Discount</v>
      </c>
      <c r="AB93" s="10">
        <f>MIN(R93,ControlPanel!$B$5)</f>
        <v>0.16500000000000001</v>
      </c>
      <c r="AC93">
        <f>P93*(1+ControlPanel!$B$6)</f>
        <v>495.94650000000001</v>
      </c>
      <c r="AD93">
        <f>T93*(1+ControlPanel!$B$7)</f>
        <v>15.400000000000002</v>
      </c>
      <c r="AE93" s="6">
        <f t="shared" si="26"/>
        <v>4633.6120600000004</v>
      </c>
      <c r="AF93">
        <f t="shared" si="27"/>
        <v>-3003.9640400000008</v>
      </c>
    </row>
    <row r="94" spans="1:32" x14ac:dyDescent="0.3">
      <c r="A94" t="s">
        <v>143</v>
      </c>
      <c r="B94" s="4">
        <v>45442</v>
      </c>
      <c r="C94" s="4" t="str">
        <f t="shared" si="16"/>
        <v>May-2024</v>
      </c>
      <c r="D94" t="str">
        <f t="shared" si="17"/>
        <v>Q2-2024</v>
      </c>
      <c r="E94" s="4">
        <v>45456</v>
      </c>
      <c r="F94" s="12">
        <f t="shared" si="14"/>
        <v>45456</v>
      </c>
      <c r="G94" s="13">
        <f t="shared" si="15"/>
        <v>14</v>
      </c>
      <c r="H94" t="s">
        <v>648</v>
      </c>
      <c r="I94" t="s">
        <v>660</v>
      </c>
      <c r="J94" t="s">
        <v>686</v>
      </c>
      <c r="K94" t="s">
        <v>705</v>
      </c>
      <c r="L94" t="s">
        <v>707</v>
      </c>
      <c r="M94" t="s">
        <v>721</v>
      </c>
      <c r="N94" t="s">
        <v>730</v>
      </c>
      <c r="O94" t="s">
        <v>862</v>
      </c>
      <c r="P94" s="6">
        <v>157.78</v>
      </c>
      <c r="Q94" s="6">
        <v>361.1</v>
      </c>
      <c r="R94" s="10">
        <v>0.187</v>
      </c>
      <c r="S94" s="10" t="b">
        <f t="shared" si="18"/>
        <v>0</v>
      </c>
      <c r="T94" s="8">
        <v>9</v>
      </c>
      <c r="U94">
        <f t="shared" si="19"/>
        <v>2642.1687000000002</v>
      </c>
      <c r="V94">
        <f t="shared" si="20"/>
        <v>1420.02</v>
      </c>
      <c r="W94">
        <f t="shared" si="21"/>
        <v>1222.1487000000002</v>
      </c>
      <c r="X94" s="10">
        <f t="shared" si="22"/>
        <v>0.46255513510549123</v>
      </c>
      <c r="Y94" t="str">
        <f t="shared" si="23"/>
        <v>Low</v>
      </c>
      <c r="Z94" t="str">
        <f t="shared" si="24"/>
        <v>Not Met</v>
      </c>
      <c r="AA94" t="str">
        <f t="shared" si="25"/>
        <v>Low Discount</v>
      </c>
      <c r="AB94" s="10">
        <f>MIN(R94,ControlPanel!$B$5)</f>
        <v>0.187</v>
      </c>
      <c r="AC94">
        <f>P94*(1+ControlPanel!$B$6)</f>
        <v>165.66900000000001</v>
      </c>
      <c r="AD94">
        <f>T94*(1+ControlPanel!$B$7)</f>
        <v>9.9</v>
      </c>
      <c r="AE94" s="6">
        <f t="shared" si="26"/>
        <v>2906.3855699999999</v>
      </c>
      <c r="AF94">
        <f t="shared" si="27"/>
        <v>1266.2624699999997</v>
      </c>
    </row>
    <row r="95" spans="1:32" x14ac:dyDescent="0.3">
      <c r="A95" t="s">
        <v>208</v>
      </c>
      <c r="B95" s="4">
        <v>45050</v>
      </c>
      <c r="C95" s="4" t="str">
        <f t="shared" si="16"/>
        <v>May-2023</v>
      </c>
      <c r="D95" t="str">
        <f t="shared" si="17"/>
        <v>Q2-2023</v>
      </c>
      <c r="E95" s="4">
        <v>45072</v>
      </c>
      <c r="F95" s="12">
        <f t="shared" si="14"/>
        <v>45072</v>
      </c>
      <c r="G95" s="13">
        <f t="shared" si="15"/>
        <v>22</v>
      </c>
      <c r="H95" t="s">
        <v>648</v>
      </c>
      <c r="I95" t="s">
        <v>660</v>
      </c>
      <c r="J95" t="s">
        <v>686</v>
      </c>
      <c r="K95" t="s">
        <v>706</v>
      </c>
      <c r="L95" t="s">
        <v>708</v>
      </c>
      <c r="M95" t="s">
        <v>713</v>
      </c>
      <c r="N95" t="s">
        <v>729</v>
      </c>
      <c r="O95" t="s">
        <v>928</v>
      </c>
      <c r="P95" s="6">
        <v>249.71</v>
      </c>
      <c r="Q95" s="6">
        <v>361.33</v>
      </c>
      <c r="R95" s="10">
        <v>9.4E-2</v>
      </c>
      <c r="S95" s="10" t="b">
        <f t="shared" si="18"/>
        <v>0</v>
      </c>
      <c r="T95" s="8">
        <v>12</v>
      </c>
      <c r="U95">
        <f t="shared" si="19"/>
        <v>3928.3797599999998</v>
      </c>
      <c r="V95">
        <f t="shared" si="20"/>
        <v>2996.52</v>
      </c>
      <c r="W95">
        <f t="shared" si="21"/>
        <v>931.85975999999982</v>
      </c>
      <c r="X95" s="10">
        <f t="shared" si="22"/>
        <v>0.23721223937881195</v>
      </c>
      <c r="Y95" t="str">
        <f t="shared" si="23"/>
        <v>Low</v>
      </c>
      <c r="Z95" t="str">
        <f t="shared" si="24"/>
        <v>Not Met</v>
      </c>
      <c r="AA95" t="str">
        <f t="shared" si="25"/>
        <v>Low Discount</v>
      </c>
      <c r="AB95" s="10">
        <f>MIN(R95,ControlPanel!$B$5)</f>
        <v>9.4E-2</v>
      </c>
      <c r="AC95">
        <f>P95*(1+ControlPanel!$B$6)</f>
        <v>262.19550000000004</v>
      </c>
      <c r="AD95">
        <f>T95*(1+ControlPanel!$B$7)</f>
        <v>13.200000000000001</v>
      </c>
      <c r="AE95" s="6">
        <f t="shared" si="26"/>
        <v>4321.2177360000005</v>
      </c>
      <c r="AF95">
        <f t="shared" si="27"/>
        <v>860.23713599999974</v>
      </c>
    </row>
    <row r="96" spans="1:32" x14ac:dyDescent="0.3">
      <c r="A96" t="s">
        <v>554</v>
      </c>
      <c r="B96" s="4">
        <v>44952</v>
      </c>
      <c r="C96" s="4" t="str">
        <f t="shared" si="16"/>
        <v>Jan-2023</v>
      </c>
      <c r="D96" t="str">
        <f t="shared" si="17"/>
        <v>Q1-2023</v>
      </c>
      <c r="E96" s="4">
        <v>44972</v>
      </c>
      <c r="F96" s="12">
        <f t="shared" si="14"/>
        <v>44972</v>
      </c>
      <c r="G96" s="13">
        <f t="shared" si="15"/>
        <v>20</v>
      </c>
      <c r="H96" t="s">
        <v>649</v>
      </c>
      <c r="I96" t="s">
        <v>656</v>
      </c>
      <c r="J96" t="s">
        <v>671</v>
      </c>
      <c r="K96" t="s">
        <v>705</v>
      </c>
      <c r="L96" t="s">
        <v>708</v>
      </c>
      <c r="M96" t="s">
        <v>719</v>
      </c>
      <c r="N96" t="s">
        <v>729</v>
      </c>
      <c r="O96" t="s">
        <v>1272</v>
      </c>
      <c r="P96" s="6">
        <v>492.62</v>
      </c>
      <c r="Q96" s="6">
        <v>366.7</v>
      </c>
      <c r="R96" s="10">
        <v>8.8999999999999996E-2</v>
      </c>
      <c r="S96" s="10" t="b">
        <f t="shared" si="18"/>
        <v>0</v>
      </c>
      <c r="T96" s="8">
        <v>10</v>
      </c>
      <c r="U96">
        <f t="shared" si="19"/>
        <v>3340.6369999999997</v>
      </c>
      <c r="V96">
        <f t="shared" si="20"/>
        <v>4926.2</v>
      </c>
      <c r="W96">
        <f t="shared" si="21"/>
        <v>-1585.5630000000001</v>
      </c>
      <c r="X96" s="10">
        <f t="shared" si="22"/>
        <v>-0.47462894052840826</v>
      </c>
      <c r="Y96" t="str">
        <f t="shared" si="23"/>
        <v>Low</v>
      </c>
      <c r="Z96" t="str">
        <f t="shared" si="24"/>
        <v>Not Met</v>
      </c>
      <c r="AA96" t="str">
        <f t="shared" si="25"/>
        <v>Low Discount</v>
      </c>
      <c r="AB96" s="10">
        <f>MIN(R96,ControlPanel!$B$5)</f>
        <v>8.8999999999999996E-2</v>
      </c>
      <c r="AC96">
        <f>P96*(1+ControlPanel!$B$6)</f>
        <v>517.25099999999998</v>
      </c>
      <c r="AD96">
        <f>T96*(1+ControlPanel!$B$7)</f>
        <v>11</v>
      </c>
      <c r="AE96" s="6">
        <f t="shared" si="26"/>
        <v>3674.7006999999999</v>
      </c>
      <c r="AF96">
        <f t="shared" si="27"/>
        <v>-2015.0602999999996</v>
      </c>
    </row>
    <row r="97" spans="1:32" x14ac:dyDescent="0.3">
      <c r="A97" t="s">
        <v>67</v>
      </c>
      <c r="B97" s="4">
        <v>45016</v>
      </c>
      <c r="C97" s="4" t="str">
        <f t="shared" si="16"/>
        <v>Mar-2023</v>
      </c>
      <c r="D97" t="str">
        <f t="shared" si="17"/>
        <v>Q1-2023</v>
      </c>
      <c r="E97" s="4">
        <v>45021</v>
      </c>
      <c r="F97" s="12">
        <f t="shared" si="14"/>
        <v>45021</v>
      </c>
      <c r="G97" s="13">
        <f t="shared" si="15"/>
        <v>5</v>
      </c>
      <c r="H97" t="s">
        <v>646</v>
      </c>
      <c r="I97" t="s">
        <v>650</v>
      </c>
      <c r="J97" t="s">
        <v>678</v>
      </c>
      <c r="K97" t="s">
        <v>702</v>
      </c>
      <c r="L97" t="s">
        <v>709</v>
      </c>
      <c r="M97" t="s">
        <v>717</v>
      </c>
      <c r="N97" t="s">
        <v>731</v>
      </c>
      <c r="O97" t="s">
        <v>786</v>
      </c>
      <c r="P97" s="6">
        <v>533.26</v>
      </c>
      <c r="Q97" s="6">
        <v>385.72</v>
      </c>
      <c r="R97" s="10">
        <v>0</v>
      </c>
      <c r="S97" s="10" t="b">
        <f t="shared" si="18"/>
        <v>0</v>
      </c>
      <c r="T97" s="8">
        <v>15</v>
      </c>
      <c r="U97">
        <f t="shared" si="19"/>
        <v>5785.8</v>
      </c>
      <c r="V97">
        <f t="shared" si="20"/>
        <v>7998.9</v>
      </c>
      <c r="W97">
        <f t="shared" si="21"/>
        <v>-2213.0999999999995</v>
      </c>
      <c r="X97" s="10">
        <f t="shared" si="22"/>
        <v>-0.38250544436378708</v>
      </c>
      <c r="Y97" t="str">
        <f t="shared" si="23"/>
        <v>Low</v>
      </c>
      <c r="Z97" t="str">
        <f t="shared" si="24"/>
        <v>Met</v>
      </c>
      <c r="AA97" t="str">
        <f t="shared" si="25"/>
        <v>Low Discount</v>
      </c>
      <c r="AB97" s="10">
        <f>MIN(R97,ControlPanel!$B$5)</f>
        <v>0</v>
      </c>
      <c r="AC97">
        <f>P97*(1+ControlPanel!$B$6)</f>
        <v>559.923</v>
      </c>
      <c r="AD97">
        <f>T97*(1+ControlPanel!$B$7)</f>
        <v>16.5</v>
      </c>
      <c r="AE97" s="6">
        <f t="shared" si="26"/>
        <v>6364.38</v>
      </c>
      <c r="AF97">
        <f t="shared" si="27"/>
        <v>-2874.3494999999994</v>
      </c>
    </row>
    <row r="98" spans="1:32" x14ac:dyDescent="0.3">
      <c r="A98" t="s">
        <v>97</v>
      </c>
      <c r="B98" s="4">
        <v>45791</v>
      </c>
      <c r="C98" s="4" t="str">
        <f t="shared" si="16"/>
        <v>May-2025</v>
      </c>
      <c r="D98" t="str">
        <f t="shared" si="17"/>
        <v>Q2-2025</v>
      </c>
      <c r="E98" s="4">
        <v>45801</v>
      </c>
      <c r="F98" s="12">
        <f t="shared" si="14"/>
        <v>45801</v>
      </c>
      <c r="G98" s="13">
        <f t="shared" si="15"/>
        <v>10</v>
      </c>
      <c r="H98" t="s">
        <v>649</v>
      </c>
      <c r="I98" t="s">
        <v>657</v>
      </c>
      <c r="J98" t="s">
        <v>690</v>
      </c>
      <c r="K98" t="s">
        <v>705</v>
      </c>
      <c r="L98" t="s">
        <v>709</v>
      </c>
      <c r="M98" t="s">
        <v>723</v>
      </c>
      <c r="N98" t="s">
        <v>727</v>
      </c>
      <c r="O98" t="s">
        <v>816</v>
      </c>
      <c r="P98" s="6">
        <v>170.39</v>
      </c>
      <c r="Q98" s="6">
        <v>388.04</v>
      </c>
      <c r="R98" s="10">
        <v>8.4000000000000005E-2</v>
      </c>
      <c r="S98" s="10" t="b">
        <f t="shared" si="18"/>
        <v>0</v>
      </c>
      <c r="T98" s="8">
        <v>15</v>
      </c>
      <c r="U98">
        <f t="shared" si="19"/>
        <v>5331.6696000000011</v>
      </c>
      <c r="V98">
        <f t="shared" si="20"/>
        <v>2555.85</v>
      </c>
      <c r="W98">
        <f t="shared" si="21"/>
        <v>2775.8196000000012</v>
      </c>
      <c r="X98" s="10">
        <f t="shared" si="22"/>
        <v>0.52062858508711807</v>
      </c>
      <c r="Y98" t="str">
        <f t="shared" si="23"/>
        <v>Low</v>
      </c>
      <c r="Z98" t="str">
        <f t="shared" si="24"/>
        <v>Not Met</v>
      </c>
      <c r="AA98" t="str">
        <f t="shared" si="25"/>
        <v>Low Discount</v>
      </c>
      <c r="AB98" s="10">
        <f>MIN(R98,ControlPanel!$B$5)</f>
        <v>8.4000000000000005E-2</v>
      </c>
      <c r="AC98">
        <f>P98*(1+ControlPanel!$B$6)</f>
        <v>178.90949999999998</v>
      </c>
      <c r="AD98">
        <f>T98*(1+ControlPanel!$B$7)</f>
        <v>16.5</v>
      </c>
      <c r="AE98" s="6">
        <f t="shared" si="26"/>
        <v>5864.8365600000006</v>
      </c>
      <c r="AF98">
        <f t="shared" si="27"/>
        <v>2912.8298100000011</v>
      </c>
    </row>
    <row r="99" spans="1:32" x14ac:dyDescent="0.3">
      <c r="A99" t="s">
        <v>181</v>
      </c>
      <c r="B99" s="4">
        <v>45034</v>
      </c>
      <c r="C99" s="4" t="str">
        <f t="shared" si="16"/>
        <v>Apr-2023</v>
      </c>
      <c r="D99" t="str">
        <f t="shared" si="17"/>
        <v>Q2-2023</v>
      </c>
      <c r="E99" s="4">
        <v>45064</v>
      </c>
      <c r="F99" s="12">
        <f t="shared" si="14"/>
        <v>45064</v>
      </c>
      <c r="G99" s="13">
        <f t="shared" si="15"/>
        <v>30</v>
      </c>
      <c r="H99" t="s">
        <v>647</v>
      </c>
      <c r="I99" t="s">
        <v>659</v>
      </c>
      <c r="J99" t="s">
        <v>676</v>
      </c>
      <c r="K99" t="s">
        <v>703</v>
      </c>
      <c r="L99" t="s">
        <v>707</v>
      </c>
      <c r="M99" t="s">
        <v>722</v>
      </c>
      <c r="N99" t="s">
        <v>731</v>
      </c>
      <c r="O99" t="s">
        <v>900</v>
      </c>
      <c r="P99" s="6">
        <v>329.03</v>
      </c>
      <c r="Q99" s="6">
        <v>391.15</v>
      </c>
      <c r="R99" s="10">
        <v>0.19700000000000001</v>
      </c>
      <c r="S99" s="10" t="b">
        <f t="shared" si="18"/>
        <v>0</v>
      </c>
      <c r="T99" s="8">
        <v>46</v>
      </c>
      <c r="U99">
        <f t="shared" si="19"/>
        <v>14448.298699999998</v>
      </c>
      <c r="V99">
        <f t="shared" si="20"/>
        <v>15135.38</v>
      </c>
      <c r="W99">
        <f t="shared" si="21"/>
        <v>-687.08130000000165</v>
      </c>
      <c r="X99" s="10">
        <f t="shared" si="22"/>
        <v>-4.7554477815440081E-2</v>
      </c>
      <c r="Y99" t="str">
        <f t="shared" si="23"/>
        <v>Low</v>
      </c>
      <c r="Z99" t="str">
        <f t="shared" si="24"/>
        <v>Not Met</v>
      </c>
      <c r="AA99" t="str">
        <f t="shared" si="25"/>
        <v>Low Discount</v>
      </c>
      <c r="AB99" s="10">
        <f>MIN(R99,ControlPanel!$B$5)</f>
        <v>0.19700000000000001</v>
      </c>
      <c r="AC99">
        <f>P99*(1+ControlPanel!$B$6)</f>
        <v>345.48149999999998</v>
      </c>
      <c r="AD99">
        <f>T99*(1+ControlPanel!$B$7)</f>
        <v>50.6</v>
      </c>
      <c r="AE99" s="6">
        <f t="shared" si="26"/>
        <v>15893.128569999999</v>
      </c>
      <c r="AF99">
        <f t="shared" si="27"/>
        <v>-1588.2353300000013</v>
      </c>
    </row>
    <row r="100" spans="1:32" x14ac:dyDescent="0.3">
      <c r="A100" t="s">
        <v>152</v>
      </c>
      <c r="B100" s="4">
        <v>45016</v>
      </c>
      <c r="C100" s="4" t="str">
        <f t="shared" si="16"/>
        <v>Mar-2023</v>
      </c>
      <c r="D100" t="str">
        <f t="shared" si="17"/>
        <v>Q1-2023</v>
      </c>
      <c r="E100" s="4">
        <v>45028</v>
      </c>
      <c r="F100" s="12">
        <f t="shared" si="14"/>
        <v>45028</v>
      </c>
      <c r="G100" s="13">
        <f t="shared" si="15"/>
        <v>12</v>
      </c>
      <c r="H100" t="s">
        <v>646</v>
      </c>
      <c r="I100" t="s">
        <v>650</v>
      </c>
      <c r="J100" t="s">
        <v>675</v>
      </c>
      <c r="K100" t="s">
        <v>705</v>
      </c>
      <c r="L100" t="s">
        <v>708</v>
      </c>
      <c r="M100" t="s">
        <v>712</v>
      </c>
      <c r="N100" t="s">
        <v>730</v>
      </c>
      <c r="O100" t="s">
        <v>871</v>
      </c>
      <c r="P100" s="6">
        <v>304.22000000000003</v>
      </c>
      <c r="Q100" s="6">
        <v>393.31</v>
      </c>
      <c r="R100" s="10">
        <v>0.26500000000000001</v>
      </c>
      <c r="S100" s="10" t="b">
        <f t="shared" si="18"/>
        <v>0</v>
      </c>
      <c r="T100" s="8">
        <v>15</v>
      </c>
      <c r="U100">
        <f t="shared" si="19"/>
        <v>4336.2427500000003</v>
      </c>
      <c r="V100">
        <f t="shared" si="20"/>
        <v>4563.3</v>
      </c>
      <c r="W100">
        <f t="shared" si="21"/>
        <v>-227.05724999999984</v>
      </c>
      <c r="X100" s="10">
        <f t="shared" si="22"/>
        <v>-5.2362670424758812E-2</v>
      </c>
      <c r="Y100" t="str">
        <f t="shared" si="23"/>
        <v>Low</v>
      </c>
      <c r="Z100" t="str">
        <f t="shared" si="24"/>
        <v>Not Met</v>
      </c>
      <c r="AA100" t="str">
        <f t="shared" si="25"/>
        <v>High Discount</v>
      </c>
      <c r="AB100" s="10">
        <f>MIN(R100,ControlPanel!$B$5)</f>
        <v>0.2</v>
      </c>
      <c r="AC100">
        <f>P100*(1+ControlPanel!$B$6)</f>
        <v>319.43100000000004</v>
      </c>
      <c r="AD100">
        <f>T100*(1+ControlPanel!$B$7)</f>
        <v>16.5</v>
      </c>
      <c r="AE100" s="6">
        <f t="shared" si="26"/>
        <v>5191.692</v>
      </c>
      <c r="AF100">
        <f t="shared" si="27"/>
        <v>-78.91950000000088</v>
      </c>
    </row>
    <row r="101" spans="1:32" x14ac:dyDescent="0.3">
      <c r="A101" t="s">
        <v>442</v>
      </c>
      <c r="B101" s="4">
        <v>45347</v>
      </c>
      <c r="C101" s="4" t="str">
        <f t="shared" si="16"/>
        <v>Feb-2024</v>
      </c>
      <c r="D101" t="str">
        <f t="shared" si="17"/>
        <v>Q1-2024</v>
      </c>
      <c r="E101" s="4">
        <v>45360</v>
      </c>
      <c r="F101" s="12">
        <f t="shared" si="14"/>
        <v>45360</v>
      </c>
      <c r="G101" s="13">
        <f t="shared" si="15"/>
        <v>13</v>
      </c>
      <c r="H101" t="s">
        <v>649</v>
      </c>
      <c r="I101" t="s">
        <v>657</v>
      </c>
      <c r="J101" t="s">
        <v>673</v>
      </c>
      <c r="K101" t="s">
        <v>705</v>
      </c>
      <c r="L101" t="s">
        <v>710</v>
      </c>
      <c r="M101" t="s">
        <v>718</v>
      </c>
      <c r="N101" t="s">
        <v>732</v>
      </c>
      <c r="O101" t="s">
        <v>1161</v>
      </c>
      <c r="P101" s="6">
        <v>322.44</v>
      </c>
      <c r="Q101" s="6">
        <v>395.61</v>
      </c>
      <c r="R101" s="10">
        <v>0</v>
      </c>
      <c r="S101" s="10" t="b">
        <f t="shared" si="18"/>
        <v>0</v>
      </c>
      <c r="T101" s="8">
        <v>34</v>
      </c>
      <c r="U101">
        <f t="shared" si="19"/>
        <v>13450.74</v>
      </c>
      <c r="V101">
        <f t="shared" si="20"/>
        <v>10962.96</v>
      </c>
      <c r="W101">
        <f t="shared" si="21"/>
        <v>2487.7800000000007</v>
      </c>
      <c r="X101" s="10">
        <f t="shared" si="22"/>
        <v>0.18495487980586947</v>
      </c>
      <c r="Y101" t="str">
        <f t="shared" si="23"/>
        <v>Low</v>
      </c>
      <c r="Z101" t="str">
        <f t="shared" si="24"/>
        <v>Not Met</v>
      </c>
      <c r="AA101" t="str">
        <f t="shared" si="25"/>
        <v>Low Discount</v>
      </c>
      <c r="AB101" s="10">
        <f>MIN(R101,ControlPanel!$B$5)</f>
        <v>0</v>
      </c>
      <c r="AC101">
        <f>P101*(1+ControlPanel!$B$6)</f>
        <v>338.56200000000001</v>
      </c>
      <c r="AD101">
        <f>T101*(1+ControlPanel!$B$7)</f>
        <v>37.400000000000006</v>
      </c>
      <c r="AE101" s="6">
        <f t="shared" si="26"/>
        <v>14795.814000000002</v>
      </c>
      <c r="AF101">
        <f t="shared" si="27"/>
        <v>2133.5951999999997</v>
      </c>
    </row>
    <row r="102" spans="1:32" x14ac:dyDescent="0.3">
      <c r="A102" t="s">
        <v>375</v>
      </c>
      <c r="B102" s="4">
        <v>45833</v>
      </c>
      <c r="C102" s="4" t="str">
        <f t="shared" si="16"/>
        <v>Jun-2025</v>
      </c>
      <c r="D102" t="str">
        <f t="shared" si="17"/>
        <v>Q2-2025</v>
      </c>
      <c r="E102" s="4">
        <v>45848</v>
      </c>
      <c r="F102" s="12">
        <f t="shared" si="14"/>
        <v>45848</v>
      </c>
      <c r="G102" s="13">
        <f t="shared" si="15"/>
        <v>15</v>
      </c>
      <c r="H102" t="s">
        <v>649</v>
      </c>
      <c r="I102" t="s">
        <v>658</v>
      </c>
      <c r="J102" t="s">
        <v>674</v>
      </c>
      <c r="K102" t="s">
        <v>703</v>
      </c>
      <c r="L102" t="s">
        <v>709</v>
      </c>
      <c r="M102" t="s">
        <v>726</v>
      </c>
      <c r="N102" t="s">
        <v>730</v>
      </c>
      <c r="O102" t="s">
        <v>1095</v>
      </c>
      <c r="P102" s="6">
        <v>546.83000000000004</v>
      </c>
      <c r="Q102" s="6">
        <v>400.84</v>
      </c>
      <c r="R102" s="10">
        <v>7.8E-2</v>
      </c>
      <c r="S102" s="10" t="b">
        <f t="shared" si="18"/>
        <v>0</v>
      </c>
      <c r="T102" s="8">
        <v>13</v>
      </c>
      <c r="U102">
        <f t="shared" si="19"/>
        <v>4804.4682400000002</v>
      </c>
      <c r="V102">
        <f t="shared" si="20"/>
        <v>7108.7900000000009</v>
      </c>
      <c r="W102">
        <f t="shared" si="21"/>
        <v>-2304.3217600000007</v>
      </c>
      <c r="X102" s="10">
        <f t="shared" si="22"/>
        <v>-0.47962056254533608</v>
      </c>
      <c r="Y102" t="str">
        <f t="shared" si="23"/>
        <v>Low</v>
      </c>
      <c r="Z102" t="str">
        <f t="shared" si="24"/>
        <v>Not Met</v>
      </c>
      <c r="AA102" t="str">
        <f t="shared" si="25"/>
        <v>Low Discount</v>
      </c>
      <c r="AB102" s="10">
        <f>MIN(R102,ControlPanel!$B$5)</f>
        <v>7.8E-2</v>
      </c>
      <c r="AC102">
        <f>P102*(1+ControlPanel!$B$6)</f>
        <v>574.17150000000004</v>
      </c>
      <c r="AD102">
        <f>T102*(1+ControlPanel!$B$7)</f>
        <v>14.3</v>
      </c>
      <c r="AE102" s="6">
        <f t="shared" si="26"/>
        <v>5284.9150639999998</v>
      </c>
      <c r="AF102">
        <f t="shared" si="27"/>
        <v>-2925.7373860000016</v>
      </c>
    </row>
    <row r="103" spans="1:32" x14ac:dyDescent="0.3">
      <c r="A103" t="s">
        <v>247</v>
      </c>
      <c r="B103" s="4">
        <v>45540</v>
      </c>
      <c r="C103" s="4" t="str">
        <f t="shared" si="16"/>
        <v>Sep-2024</v>
      </c>
      <c r="D103" t="str">
        <f t="shared" si="17"/>
        <v>Q3-2024</v>
      </c>
      <c r="E103" s="4">
        <v>45560</v>
      </c>
      <c r="F103" s="12">
        <f t="shared" si="14"/>
        <v>45560</v>
      </c>
      <c r="G103" s="13">
        <f t="shared" si="15"/>
        <v>20</v>
      </c>
      <c r="H103" t="s">
        <v>647</v>
      </c>
      <c r="I103" t="s">
        <v>652</v>
      </c>
      <c r="J103" t="s">
        <v>666</v>
      </c>
      <c r="K103" t="s">
        <v>706</v>
      </c>
      <c r="L103" t="s">
        <v>710</v>
      </c>
      <c r="M103" t="s">
        <v>726</v>
      </c>
      <c r="N103" t="s">
        <v>732</v>
      </c>
      <c r="O103" t="s">
        <v>967</v>
      </c>
      <c r="P103" s="6">
        <v>195.54</v>
      </c>
      <c r="Q103" s="6">
        <v>405.97</v>
      </c>
      <c r="R103" s="10">
        <v>0.187</v>
      </c>
      <c r="S103" s="10" t="b">
        <f t="shared" si="18"/>
        <v>0</v>
      </c>
      <c r="T103" s="8">
        <v>16</v>
      </c>
      <c r="U103">
        <f t="shared" si="19"/>
        <v>5280.8577599999999</v>
      </c>
      <c r="V103">
        <f t="shared" si="20"/>
        <v>3128.64</v>
      </c>
      <c r="W103">
        <f t="shared" si="21"/>
        <v>2152.21776</v>
      </c>
      <c r="X103" s="10">
        <f t="shared" si="22"/>
        <v>0.40755079152141377</v>
      </c>
      <c r="Y103" t="str">
        <f t="shared" si="23"/>
        <v>Low</v>
      </c>
      <c r="Z103" t="str">
        <f t="shared" si="24"/>
        <v>Not Met</v>
      </c>
      <c r="AA103" t="str">
        <f t="shared" si="25"/>
        <v>Low Discount</v>
      </c>
      <c r="AB103" s="10">
        <f>MIN(R103,ControlPanel!$B$5)</f>
        <v>0.187</v>
      </c>
      <c r="AC103">
        <f>P103*(1+ControlPanel!$B$6)</f>
        <v>205.31700000000001</v>
      </c>
      <c r="AD103">
        <f>T103*(1+ControlPanel!$B$7)</f>
        <v>17.600000000000001</v>
      </c>
      <c r="AE103" s="6">
        <f t="shared" si="26"/>
        <v>5808.9435360000007</v>
      </c>
      <c r="AF103">
        <f t="shared" si="27"/>
        <v>2195.3643360000001</v>
      </c>
    </row>
    <row r="104" spans="1:32" x14ac:dyDescent="0.3">
      <c r="A104" t="s">
        <v>194</v>
      </c>
      <c r="B104" s="4">
        <v>45890</v>
      </c>
      <c r="C104" s="4" t="str">
        <f t="shared" si="16"/>
        <v>Aug-2025</v>
      </c>
      <c r="D104" t="str">
        <f t="shared" si="17"/>
        <v>Q3-2025</v>
      </c>
      <c r="E104" s="4">
        <v>45912</v>
      </c>
      <c r="F104" s="12">
        <f t="shared" si="14"/>
        <v>45912</v>
      </c>
      <c r="G104" s="13">
        <f t="shared" si="15"/>
        <v>22</v>
      </c>
      <c r="H104" t="s">
        <v>647</v>
      </c>
      <c r="I104" t="s">
        <v>659</v>
      </c>
      <c r="J104" t="s">
        <v>676</v>
      </c>
      <c r="K104" t="s">
        <v>702</v>
      </c>
      <c r="L104" t="s">
        <v>707</v>
      </c>
      <c r="M104" t="s">
        <v>717</v>
      </c>
      <c r="N104" t="s">
        <v>728</v>
      </c>
      <c r="O104" t="s">
        <v>913</v>
      </c>
      <c r="P104" s="6">
        <v>352.66</v>
      </c>
      <c r="Q104" s="6">
        <v>411.18</v>
      </c>
      <c r="R104" s="10">
        <v>0.17299999999999999</v>
      </c>
      <c r="S104" s="10" t="b">
        <f t="shared" si="18"/>
        <v>0</v>
      </c>
      <c r="T104" s="8">
        <v>13</v>
      </c>
      <c r="U104">
        <f t="shared" si="19"/>
        <v>4420.5961800000005</v>
      </c>
      <c r="V104">
        <f t="shared" si="20"/>
        <v>4584.58</v>
      </c>
      <c r="W104">
        <f t="shared" si="21"/>
        <v>-163.98381999999947</v>
      </c>
      <c r="X104" s="10">
        <f t="shared" si="22"/>
        <v>-3.7095408248757851E-2</v>
      </c>
      <c r="Y104" t="str">
        <f t="shared" si="23"/>
        <v>Low</v>
      </c>
      <c r="Z104" t="str">
        <f t="shared" si="24"/>
        <v>Not Met</v>
      </c>
      <c r="AA104" t="str">
        <f t="shared" si="25"/>
        <v>Low Discount</v>
      </c>
      <c r="AB104" s="10">
        <f>MIN(R104,ControlPanel!$B$5)</f>
        <v>0.17299999999999999</v>
      </c>
      <c r="AC104">
        <f>P104*(1+ControlPanel!$B$6)</f>
        <v>370.29300000000006</v>
      </c>
      <c r="AD104">
        <f>T104*(1+ControlPanel!$B$7)</f>
        <v>14.3</v>
      </c>
      <c r="AE104" s="6">
        <f t="shared" si="26"/>
        <v>4862.6557980000007</v>
      </c>
      <c r="AF104">
        <f t="shared" si="27"/>
        <v>-432.53410200000053</v>
      </c>
    </row>
    <row r="105" spans="1:32" x14ac:dyDescent="0.3">
      <c r="A105" t="s">
        <v>634</v>
      </c>
      <c r="B105" s="4">
        <v>45177</v>
      </c>
      <c r="C105" s="4" t="str">
        <f t="shared" si="16"/>
        <v>Sep-2023</v>
      </c>
      <c r="D105" t="str">
        <f t="shared" si="17"/>
        <v>Q3-2023</v>
      </c>
      <c r="E105" s="4">
        <v>45183</v>
      </c>
      <c r="F105" s="12">
        <f t="shared" si="14"/>
        <v>45183</v>
      </c>
      <c r="G105" s="13">
        <f t="shared" si="15"/>
        <v>6</v>
      </c>
      <c r="H105" t="s">
        <v>646</v>
      </c>
      <c r="I105" t="s">
        <v>650</v>
      </c>
      <c r="J105" t="s">
        <v>678</v>
      </c>
      <c r="K105" t="s">
        <v>702</v>
      </c>
      <c r="L105" t="s">
        <v>711</v>
      </c>
      <c r="M105" t="s">
        <v>714</v>
      </c>
      <c r="N105" t="s">
        <v>733</v>
      </c>
      <c r="O105" t="s">
        <v>1352</v>
      </c>
      <c r="P105" s="6">
        <v>251.03</v>
      </c>
      <c r="Q105" s="6">
        <v>411.48</v>
      </c>
      <c r="R105" s="10">
        <v>0.16500000000000001</v>
      </c>
      <c r="S105" s="10" t="b">
        <f t="shared" si="18"/>
        <v>0</v>
      </c>
      <c r="T105" s="8">
        <v>3</v>
      </c>
      <c r="U105">
        <f t="shared" si="19"/>
        <v>1030.7574</v>
      </c>
      <c r="V105">
        <f t="shared" si="20"/>
        <v>753.09</v>
      </c>
      <c r="W105">
        <f t="shared" si="21"/>
        <v>277.66739999999993</v>
      </c>
      <c r="X105" s="10">
        <f t="shared" si="22"/>
        <v>0.26938191275658069</v>
      </c>
      <c r="Y105" t="str">
        <f t="shared" si="23"/>
        <v>Low</v>
      </c>
      <c r="Z105" t="str">
        <f t="shared" si="24"/>
        <v>Met</v>
      </c>
      <c r="AA105" t="str">
        <f t="shared" si="25"/>
        <v>Low Discount</v>
      </c>
      <c r="AB105" s="10">
        <f>MIN(R105,ControlPanel!$B$5)</f>
        <v>0.16500000000000001</v>
      </c>
      <c r="AC105">
        <f>P105*(1+ControlPanel!$B$6)</f>
        <v>263.58150000000001</v>
      </c>
      <c r="AD105">
        <f>T105*(1+ControlPanel!$B$7)</f>
        <v>3.3000000000000003</v>
      </c>
      <c r="AE105" s="6">
        <f t="shared" si="26"/>
        <v>1133.8331400000002</v>
      </c>
      <c r="AF105">
        <f t="shared" si="27"/>
        <v>264.0141900000001</v>
      </c>
    </row>
    <row r="106" spans="1:32" x14ac:dyDescent="0.3">
      <c r="A106" t="s">
        <v>635</v>
      </c>
      <c r="B106" s="4">
        <v>45764</v>
      </c>
      <c r="C106" s="4" t="str">
        <f t="shared" si="16"/>
        <v>Apr-2025</v>
      </c>
      <c r="D106" t="str">
        <f t="shared" si="17"/>
        <v>Q2-2025</v>
      </c>
      <c r="E106" s="4">
        <v>45780</v>
      </c>
      <c r="F106" s="12">
        <f t="shared" si="14"/>
        <v>45780</v>
      </c>
      <c r="G106" s="13">
        <f t="shared" si="15"/>
        <v>16</v>
      </c>
      <c r="H106" t="s">
        <v>648</v>
      </c>
      <c r="I106" t="s">
        <v>655</v>
      </c>
      <c r="J106" t="s">
        <v>692</v>
      </c>
      <c r="K106" t="s">
        <v>704</v>
      </c>
      <c r="L106" t="s">
        <v>709</v>
      </c>
      <c r="M106" t="s">
        <v>713</v>
      </c>
      <c r="N106" t="s">
        <v>729</v>
      </c>
      <c r="O106" t="s">
        <v>1353</v>
      </c>
      <c r="P106" s="6">
        <v>168.68</v>
      </c>
      <c r="Q106" s="6">
        <v>413.34</v>
      </c>
      <c r="R106" s="10">
        <v>0.186</v>
      </c>
      <c r="S106" s="10" t="b">
        <f t="shared" si="18"/>
        <v>0</v>
      </c>
      <c r="T106" s="8">
        <v>7</v>
      </c>
      <c r="U106">
        <f t="shared" si="19"/>
        <v>2355.2113199999999</v>
      </c>
      <c r="V106">
        <f t="shared" si="20"/>
        <v>1180.76</v>
      </c>
      <c r="W106">
        <f t="shared" si="21"/>
        <v>1174.4513199999999</v>
      </c>
      <c r="X106" s="10">
        <f t="shared" si="22"/>
        <v>0.49866069767361682</v>
      </c>
      <c r="Y106" t="str">
        <f t="shared" si="23"/>
        <v>Low</v>
      </c>
      <c r="Z106" t="str">
        <f t="shared" si="24"/>
        <v>Not Met</v>
      </c>
      <c r="AA106" t="str">
        <f t="shared" si="25"/>
        <v>Low Discount</v>
      </c>
      <c r="AB106" s="10">
        <f>MIN(R106,ControlPanel!$B$5)</f>
        <v>0.186</v>
      </c>
      <c r="AC106">
        <f>P106*(1+ControlPanel!$B$6)</f>
        <v>177.114</v>
      </c>
      <c r="AD106">
        <f>T106*(1+ControlPanel!$B$7)</f>
        <v>7.7000000000000011</v>
      </c>
      <c r="AE106" s="6">
        <f t="shared" si="26"/>
        <v>2590.7324520000002</v>
      </c>
      <c r="AF106">
        <f t="shared" si="27"/>
        <v>1226.9546519999999</v>
      </c>
    </row>
    <row r="107" spans="1:32" x14ac:dyDescent="0.3">
      <c r="A107" t="s">
        <v>472</v>
      </c>
      <c r="B107" s="4">
        <v>45260</v>
      </c>
      <c r="C107" s="4" t="str">
        <f t="shared" si="16"/>
        <v>Nov-2023</v>
      </c>
      <c r="D107" t="str">
        <f t="shared" si="17"/>
        <v>Q4-2023</v>
      </c>
      <c r="E107" s="4">
        <v>45270</v>
      </c>
      <c r="F107" s="12">
        <f t="shared" si="14"/>
        <v>45270</v>
      </c>
      <c r="G107" s="13">
        <f t="shared" si="15"/>
        <v>10</v>
      </c>
      <c r="H107" t="s">
        <v>649</v>
      </c>
      <c r="I107" t="s">
        <v>656</v>
      </c>
      <c r="J107" t="s">
        <v>684</v>
      </c>
      <c r="K107" t="s">
        <v>705</v>
      </c>
      <c r="L107" t="s">
        <v>711</v>
      </c>
      <c r="M107" t="s">
        <v>721</v>
      </c>
      <c r="N107" t="s">
        <v>731</v>
      </c>
      <c r="O107" t="s">
        <v>1191</v>
      </c>
      <c r="P107" s="6">
        <v>174.74</v>
      </c>
      <c r="Q107" s="6">
        <v>415.96</v>
      </c>
      <c r="R107" s="10">
        <v>0.125</v>
      </c>
      <c r="S107" s="10" t="b">
        <f t="shared" si="18"/>
        <v>0</v>
      </c>
      <c r="T107" s="8">
        <v>21</v>
      </c>
      <c r="U107">
        <f t="shared" si="19"/>
        <v>7643.2649999999994</v>
      </c>
      <c r="V107">
        <f t="shared" si="20"/>
        <v>3669.54</v>
      </c>
      <c r="W107">
        <f t="shared" si="21"/>
        <v>3973.7249999999995</v>
      </c>
      <c r="X107" s="10">
        <f t="shared" si="22"/>
        <v>0.51989889137691803</v>
      </c>
      <c r="Y107" t="str">
        <f t="shared" si="23"/>
        <v>Low</v>
      </c>
      <c r="Z107" t="str">
        <f t="shared" si="24"/>
        <v>Not Met</v>
      </c>
      <c r="AA107" t="str">
        <f t="shared" si="25"/>
        <v>Low Discount</v>
      </c>
      <c r="AB107" s="10">
        <f>MIN(R107,ControlPanel!$B$5)</f>
        <v>0.125</v>
      </c>
      <c r="AC107">
        <f>P107*(1+ControlPanel!$B$6)</f>
        <v>183.477</v>
      </c>
      <c r="AD107">
        <f>T107*(1+ControlPanel!$B$7)</f>
        <v>23.1</v>
      </c>
      <c r="AE107" s="6">
        <f t="shared" si="26"/>
        <v>8407.5915000000005</v>
      </c>
      <c r="AF107">
        <f t="shared" si="27"/>
        <v>4169.2727999999997</v>
      </c>
    </row>
    <row r="108" spans="1:32" x14ac:dyDescent="0.3">
      <c r="A108" t="s">
        <v>113</v>
      </c>
      <c r="B108" s="4">
        <v>45860</v>
      </c>
      <c r="C108" s="4" t="str">
        <f t="shared" si="16"/>
        <v>Jul-2025</v>
      </c>
      <c r="D108" t="str">
        <f t="shared" si="17"/>
        <v>Q3-2025</v>
      </c>
      <c r="E108" s="4">
        <v>45887</v>
      </c>
      <c r="F108" s="12">
        <f t="shared" si="14"/>
        <v>45887</v>
      </c>
      <c r="G108" s="13">
        <f t="shared" si="15"/>
        <v>27</v>
      </c>
      <c r="H108" t="s">
        <v>647</v>
      </c>
      <c r="I108" t="s">
        <v>659</v>
      </c>
      <c r="J108" t="s">
        <v>676</v>
      </c>
      <c r="K108" t="s">
        <v>703</v>
      </c>
      <c r="L108" t="s">
        <v>709</v>
      </c>
      <c r="M108" t="s">
        <v>724</v>
      </c>
      <c r="N108" t="s">
        <v>729</v>
      </c>
      <c r="O108" t="s">
        <v>832</v>
      </c>
      <c r="P108" s="6">
        <v>547.32000000000005</v>
      </c>
      <c r="Q108" s="6">
        <v>419.17</v>
      </c>
      <c r="R108" s="10">
        <v>9.1999999999999998E-2</v>
      </c>
      <c r="S108" s="10" t="b">
        <f t="shared" si="18"/>
        <v>0</v>
      </c>
      <c r="T108" s="8">
        <v>14</v>
      </c>
      <c r="U108">
        <f t="shared" si="19"/>
        <v>5328.4890400000004</v>
      </c>
      <c r="V108">
        <f t="shared" si="20"/>
        <v>7662.4800000000005</v>
      </c>
      <c r="W108">
        <f t="shared" si="21"/>
        <v>-2333.9909600000001</v>
      </c>
      <c r="X108" s="10">
        <f t="shared" si="22"/>
        <v>-0.43802116181137907</v>
      </c>
      <c r="Y108" t="str">
        <f t="shared" si="23"/>
        <v>Low</v>
      </c>
      <c r="Z108" t="str">
        <f t="shared" si="24"/>
        <v>Not Met</v>
      </c>
      <c r="AA108" t="str">
        <f t="shared" si="25"/>
        <v>Low Discount</v>
      </c>
      <c r="AB108" s="10">
        <f>MIN(R108,ControlPanel!$B$5)</f>
        <v>9.1999999999999998E-2</v>
      </c>
      <c r="AC108">
        <f>P108*(1+ControlPanel!$B$6)</f>
        <v>574.68600000000004</v>
      </c>
      <c r="AD108">
        <f>T108*(1+ControlPanel!$B$7)</f>
        <v>15.400000000000002</v>
      </c>
      <c r="AE108" s="6">
        <f t="shared" si="26"/>
        <v>5861.3379440000017</v>
      </c>
      <c r="AF108">
        <f t="shared" si="27"/>
        <v>-2988.8264559999998</v>
      </c>
    </row>
    <row r="109" spans="1:32" x14ac:dyDescent="0.3">
      <c r="A109" t="s">
        <v>335</v>
      </c>
      <c r="B109" s="4">
        <v>45293</v>
      </c>
      <c r="C109" s="4" t="str">
        <f t="shared" si="16"/>
        <v>Jan-2024</v>
      </c>
      <c r="D109" t="str">
        <f t="shared" si="17"/>
        <v>Q1-2024</v>
      </c>
      <c r="E109" s="4">
        <v>45292</v>
      </c>
      <c r="F109" s="12">
        <f t="shared" si="14"/>
        <v>45307</v>
      </c>
      <c r="G109" s="13">
        <f t="shared" si="15"/>
        <v>14</v>
      </c>
      <c r="H109" t="s">
        <v>648</v>
      </c>
      <c r="I109" t="s">
        <v>660</v>
      </c>
      <c r="J109" t="s">
        <v>677</v>
      </c>
      <c r="K109" t="s">
        <v>702</v>
      </c>
      <c r="L109" t="s">
        <v>709</v>
      </c>
      <c r="M109" t="s">
        <v>717</v>
      </c>
      <c r="N109" t="s">
        <v>729</v>
      </c>
      <c r="O109" t="s">
        <v>1055</v>
      </c>
      <c r="P109" s="6">
        <v>404.77</v>
      </c>
      <c r="Q109" s="6">
        <v>433.88</v>
      </c>
      <c r="R109" s="10">
        <v>0.215</v>
      </c>
      <c r="S109" s="10" t="b">
        <f t="shared" si="18"/>
        <v>0</v>
      </c>
      <c r="T109" s="8">
        <v>22</v>
      </c>
      <c r="U109">
        <f t="shared" si="19"/>
        <v>7493.1076000000003</v>
      </c>
      <c r="V109">
        <f t="shared" si="20"/>
        <v>8904.9399999999987</v>
      </c>
      <c r="W109">
        <f t="shared" si="21"/>
        <v>-1411.8323999999984</v>
      </c>
      <c r="X109" s="10">
        <f t="shared" si="22"/>
        <v>-0.1884174731455876</v>
      </c>
      <c r="Y109" t="str">
        <f t="shared" si="23"/>
        <v>Low</v>
      </c>
      <c r="Z109" t="str">
        <f t="shared" si="24"/>
        <v>Not Met</v>
      </c>
      <c r="AA109" t="str">
        <f t="shared" si="25"/>
        <v>High Discount</v>
      </c>
      <c r="AB109" s="10">
        <f>MIN(R109,ControlPanel!$B$5)</f>
        <v>0.2</v>
      </c>
      <c r="AC109">
        <f>P109*(1+ControlPanel!$B$6)</f>
        <v>425.00850000000003</v>
      </c>
      <c r="AD109">
        <f>T109*(1+ControlPanel!$B$7)</f>
        <v>24.200000000000003</v>
      </c>
      <c r="AE109" s="6">
        <f t="shared" si="26"/>
        <v>8399.9168000000027</v>
      </c>
      <c r="AF109">
        <f t="shared" si="27"/>
        <v>-1885.2888999999996</v>
      </c>
    </row>
    <row r="110" spans="1:32" x14ac:dyDescent="0.3">
      <c r="A110" t="s">
        <v>522</v>
      </c>
      <c r="B110" s="4">
        <v>45029</v>
      </c>
      <c r="C110" s="4" t="str">
        <f t="shared" si="16"/>
        <v>Apr-2023</v>
      </c>
      <c r="D110" t="str">
        <f t="shared" si="17"/>
        <v>Q2-2023</v>
      </c>
      <c r="E110" s="4">
        <v>45036</v>
      </c>
      <c r="F110" s="12">
        <f t="shared" si="14"/>
        <v>45036</v>
      </c>
      <c r="G110" s="13">
        <f t="shared" si="15"/>
        <v>7</v>
      </c>
      <c r="H110" t="s">
        <v>649</v>
      </c>
      <c r="I110" t="s">
        <v>657</v>
      </c>
      <c r="J110" t="s">
        <v>679</v>
      </c>
      <c r="K110" t="s">
        <v>705</v>
      </c>
      <c r="L110" t="s">
        <v>708</v>
      </c>
      <c r="M110" t="s">
        <v>720</v>
      </c>
      <c r="N110" t="s">
        <v>731</v>
      </c>
      <c r="O110" t="s">
        <v>1241</v>
      </c>
      <c r="P110" s="6">
        <v>227.02</v>
      </c>
      <c r="Q110" s="6">
        <v>434.72</v>
      </c>
      <c r="R110" s="10">
        <v>9.8000000000000004E-2</v>
      </c>
      <c r="S110" s="10" t="b">
        <f t="shared" si="18"/>
        <v>0</v>
      </c>
      <c r="T110" s="8">
        <v>10</v>
      </c>
      <c r="U110">
        <f t="shared" si="19"/>
        <v>3921.1744000000003</v>
      </c>
      <c r="V110">
        <f t="shared" si="20"/>
        <v>2270.2000000000003</v>
      </c>
      <c r="W110">
        <f t="shared" si="21"/>
        <v>1650.9744000000001</v>
      </c>
      <c r="X110" s="10">
        <f t="shared" si="22"/>
        <v>0.42104079838938047</v>
      </c>
      <c r="Y110" t="str">
        <f t="shared" si="23"/>
        <v>Low</v>
      </c>
      <c r="Z110" t="str">
        <f t="shared" si="24"/>
        <v>Met</v>
      </c>
      <c r="AA110" t="str">
        <f t="shared" si="25"/>
        <v>Low Discount</v>
      </c>
      <c r="AB110" s="10">
        <f>MIN(R110,ControlPanel!$B$5)</f>
        <v>9.8000000000000004E-2</v>
      </c>
      <c r="AC110">
        <f>P110*(1+ControlPanel!$B$6)</f>
        <v>238.37100000000001</v>
      </c>
      <c r="AD110">
        <f>T110*(1+ControlPanel!$B$7)</f>
        <v>11</v>
      </c>
      <c r="AE110" s="6">
        <f t="shared" si="26"/>
        <v>4313.2918400000008</v>
      </c>
      <c r="AF110">
        <f t="shared" si="27"/>
        <v>1691.2108400000006</v>
      </c>
    </row>
    <row r="111" spans="1:32" x14ac:dyDescent="0.3">
      <c r="A111" t="s">
        <v>43</v>
      </c>
      <c r="B111" s="4">
        <v>45030</v>
      </c>
      <c r="C111" s="4" t="str">
        <f t="shared" si="16"/>
        <v>Apr-2023</v>
      </c>
      <c r="D111" t="str">
        <f t="shared" si="17"/>
        <v>Q2-2023</v>
      </c>
      <c r="E111" s="4">
        <v>45060</v>
      </c>
      <c r="F111" s="12">
        <f t="shared" si="14"/>
        <v>45060</v>
      </c>
      <c r="G111" s="13">
        <f t="shared" si="15"/>
        <v>30</v>
      </c>
      <c r="H111" t="s">
        <v>646</v>
      </c>
      <c r="I111" t="s">
        <v>650</v>
      </c>
      <c r="J111" t="s">
        <v>678</v>
      </c>
      <c r="K111" t="s">
        <v>704</v>
      </c>
      <c r="L111" t="s">
        <v>709</v>
      </c>
      <c r="M111" t="s">
        <v>724</v>
      </c>
      <c r="N111" t="s">
        <v>730</v>
      </c>
      <c r="O111" t="s">
        <v>762</v>
      </c>
      <c r="P111" s="6">
        <v>209.25</v>
      </c>
      <c r="Q111" s="6">
        <v>434.8</v>
      </c>
      <c r="R111" s="10">
        <v>0</v>
      </c>
      <c r="S111" s="10" t="b">
        <f t="shared" si="18"/>
        <v>0</v>
      </c>
      <c r="T111" s="8">
        <v>9</v>
      </c>
      <c r="U111">
        <f t="shared" si="19"/>
        <v>3913.2000000000003</v>
      </c>
      <c r="V111">
        <f t="shared" si="20"/>
        <v>1883.25</v>
      </c>
      <c r="W111">
        <f t="shared" si="21"/>
        <v>2029.9500000000003</v>
      </c>
      <c r="X111" s="10">
        <f t="shared" si="22"/>
        <v>0.51874425022999082</v>
      </c>
      <c r="Y111" t="str">
        <f t="shared" si="23"/>
        <v>Low</v>
      </c>
      <c r="Z111" t="str">
        <f t="shared" si="24"/>
        <v>Not Met</v>
      </c>
      <c r="AA111" t="str">
        <f t="shared" si="25"/>
        <v>Low Discount</v>
      </c>
      <c r="AB111" s="10">
        <f>MIN(R111,ControlPanel!$B$5)</f>
        <v>0</v>
      </c>
      <c r="AC111">
        <f>P111*(1+ControlPanel!$B$6)</f>
        <v>219.71250000000001</v>
      </c>
      <c r="AD111">
        <f>T111*(1+ControlPanel!$B$7)</f>
        <v>9.9</v>
      </c>
      <c r="AE111" s="6">
        <f t="shared" si="26"/>
        <v>4304.5200000000004</v>
      </c>
      <c r="AF111">
        <f t="shared" si="27"/>
        <v>2129.3662500000005</v>
      </c>
    </row>
    <row r="112" spans="1:32" x14ac:dyDescent="0.3">
      <c r="A112" t="s">
        <v>352</v>
      </c>
      <c r="B112" s="4">
        <v>45132</v>
      </c>
      <c r="C112" s="4" t="str">
        <f t="shared" si="16"/>
        <v>Jul-2023</v>
      </c>
      <c r="D112" t="str">
        <f t="shared" si="17"/>
        <v>Q3-2023</v>
      </c>
      <c r="E112" s="4">
        <v>45148</v>
      </c>
      <c r="F112" s="12">
        <f t="shared" si="14"/>
        <v>45148</v>
      </c>
      <c r="G112" s="13">
        <f t="shared" si="15"/>
        <v>16</v>
      </c>
      <c r="H112" t="s">
        <v>646</v>
      </c>
      <c r="I112" t="s">
        <v>651</v>
      </c>
      <c r="J112" t="s">
        <v>663</v>
      </c>
      <c r="K112" t="s">
        <v>701</v>
      </c>
      <c r="L112" t="s">
        <v>710</v>
      </c>
      <c r="M112" t="s">
        <v>714</v>
      </c>
      <c r="N112" t="s">
        <v>733</v>
      </c>
      <c r="O112" t="s">
        <v>1072</v>
      </c>
      <c r="P112" s="6">
        <v>506.83</v>
      </c>
      <c r="Q112" s="6">
        <v>441.74</v>
      </c>
      <c r="R112" s="10">
        <v>0.24</v>
      </c>
      <c r="S112" s="10" t="b">
        <f t="shared" si="18"/>
        <v>0</v>
      </c>
      <c r="T112" s="8">
        <v>9</v>
      </c>
      <c r="U112">
        <f t="shared" si="19"/>
        <v>3021.5016000000001</v>
      </c>
      <c r="V112">
        <f t="shared" si="20"/>
        <v>4561.47</v>
      </c>
      <c r="W112">
        <f t="shared" si="21"/>
        <v>-1539.9684000000002</v>
      </c>
      <c r="X112" s="10">
        <f t="shared" si="22"/>
        <v>-0.50966989393618067</v>
      </c>
      <c r="Y112" t="str">
        <f t="shared" si="23"/>
        <v>Low</v>
      </c>
      <c r="Z112" t="str">
        <f t="shared" si="24"/>
        <v>Not Met</v>
      </c>
      <c r="AA112" t="str">
        <f t="shared" si="25"/>
        <v>High Discount</v>
      </c>
      <c r="AB112" s="10">
        <f>MIN(R112,ControlPanel!$B$5)</f>
        <v>0.2</v>
      </c>
      <c r="AC112">
        <f>P112*(1+ControlPanel!$B$6)</f>
        <v>532.17150000000004</v>
      </c>
      <c r="AD112">
        <f>T112*(1+ControlPanel!$B$7)</f>
        <v>9.9</v>
      </c>
      <c r="AE112" s="6">
        <f t="shared" si="26"/>
        <v>3498.5808000000006</v>
      </c>
      <c r="AF112">
        <f t="shared" si="27"/>
        <v>-1769.91705</v>
      </c>
    </row>
    <row r="113" spans="1:32" x14ac:dyDescent="0.3">
      <c r="A113" t="s">
        <v>54</v>
      </c>
      <c r="B113" s="4">
        <v>45094</v>
      </c>
      <c r="C113" s="4" t="str">
        <f t="shared" si="16"/>
        <v>Jun-2023</v>
      </c>
      <c r="D113" t="str">
        <f t="shared" si="17"/>
        <v>Q2-2023</v>
      </c>
      <c r="E113" s="4">
        <v>45101</v>
      </c>
      <c r="F113" s="12">
        <f t="shared" si="14"/>
        <v>45101</v>
      </c>
      <c r="G113" s="13">
        <f t="shared" si="15"/>
        <v>7</v>
      </c>
      <c r="H113" t="s">
        <v>648</v>
      </c>
      <c r="I113" t="s">
        <v>660</v>
      </c>
      <c r="J113" t="s">
        <v>686</v>
      </c>
      <c r="K113" t="s">
        <v>701</v>
      </c>
      <c r="L113" t="s">
        <v>707</v>
      </c>
      <c r="M113" t="s">
        <v>714</v>
      </c>
      <c r="N113" t="s">
        <v>728</v>
      </c>
      <c r="O113" t="s">
        <v>773</v>
      </c>
      <c r="P113" s="6">
        <v>313.99</v>
      </c>
      <c r="Q113" s="6">
        <v>454.42</v>
      </c>
      <c r="R113" s="10">
        <v>0.129</v>
      </c>
      <c r="S113" s="10" t="b">
        <f t="shared" si="18"/>
        <v>0</v>
      </c>
      <c r="T113" s="8">
        <v>9</v>
      </c>
      <c r="U113">
        <f t="shared" si="19"/>
        <v>3562.1983800000003</v>
      </c>
      <c r="V113">
        <f t="shared" si="20"/>
        <v>2825.91</v>
      </c>
      <c r="W113">
        <f t="shared" si="21"/>
        <v>736.28838000000042</v>
      </c>
      <c r="X113" s="10">
        <f t="shared" si="22"/>
        <v>0.20669493988147858</v>
      </c>
      <c r="Y113" t="str">
        <f t="shared" si="23"/>
        <v>Low</v>
      </c>
      <c r="Z113" t="str">
        <f t="shared" si="24"/>
        <v>Met</v>
      </c>
      <c r="AA113" t="str">
        <f t="shared" si="25"/>
        <v>Low Discount</v>
      </c>
      <c r="AB113" s="10">
        <f>MIN(R113,ControlPanel!$B$5)</f>
        <v>0.129</v>
      </c>
      <c r="AC113">
        <f>P113*(1+ControlPanel!$B$6)</f>
        <v>329.68950000000001</v>
      </c>
      <c r="AD113">
        <f>T113*(1+ControlPanel!$B$7)</f>
        <v>9.9</v>
      </c>
      <c r="AE113" s="6">
        <f t="shared" si="26"/>
        <v>3918.4182180000003</v>
      </c>
      <c r="AF113">
        <f t="shared" si="27"/>
        <v>654.49216800000022</v>
      </c>
    </row>
    <row r="114" spans="1:32" x14ac:dyDescent="0.3">
      <c r="A114" t="s">
        <v>364</v>
      </c>
      <c r="B114" s="4">
        <v>44980</v>
      </c>
      <c r="C114" s="4" t="str">
        <f t="shared" si="16"/>
        <v>Feb-2023</v>
      </c>
      <c r="D114" t="str">
        <f t="shared" si="17"/>
        <v>Q1-2023</v>
      </c>
      <c r="E114" s="4">
        <v>44993</v>
      </c>
      <c r="F114" s="12">
        <f t="shared" si="14"/>
        <v>44993</v>
      </c>
      <c r="G114" s="13">
        <f t="shared" si="15"/>
        <v>13</v>
      </c>
      <c r="H114" t="s">
        <v>649</v>
      </c>
      <c r="I114" t="s">
        <v>658</v>
      </c>
      <c r="J114" t="s">
        <v>693</v>
      </c>
      <c r="K114" t="s">
        <v>705</v>
      </c>
      <c r="L114" t="s">
        <v>711</v>
      </c>
      <c r="M114" t="s">
        <v>712</v>
      </c>
      <c r="N114" t="s">
        <v>728</v>
      </c>
      <c r="O114" t="s">
        <v>1084</v>
      </c>
      <c r="P114" s="6">
        <v>307.37</v>
      </c>
      <c r="Q114" s="6">
        <v>462.61</v>
      </c>
      <c r="R114" s="10">
        <v>0.188</v>
      </c>
      <c r="S114" s="10" t="b">
        <f t="shared" si="18"/>
        <v>0</v>
      </c>
      <c r="T114" s="8">
        <v>11</v>
      </c>
      <c r="U114">
        <f t="shared" si="19"/>
        <v>4132.0325200000007</v>
      </c>
      <c r="V114">
        <f t="shared" si="20"/>
        <v>3381.07</v>
      </c>
      <c r="W114">
        <f t="shared" si="21"/>
        <v>750.9625200000005</v>
      </c>
      <c r="X114" s="10">
        <f t="shared" si="22"/>
        <v>0.18174167709599739</v>
      </c>
      <c r="Y114" t="str">
        <f t="shared" si="23"/>
        <v>Low</v>
      </c>
      <c r="Z114" t="str">
        <f t="shared" si="24"/>
        <v>Not Met</v>
      </c>
      <c r="AA114" t="str">
        <f t="shared" si="25"/>
        <v>Low Discount</v>
      </c>
      <c r="AB114" s="10">
        <f>MIN(R114,ControlPanel!$B$5)</f>
        <v>0.188</v>
      </c>
      <c r="AC114">
        <f>P114*(1+ControlPanel!$B$6)</f>
        <v>322.73850000000004</v>
      </c>
      <c r="AD114">
        <f>T114*(1+ControlPanel!$B$7)</f>
        <v>12.100000000000001</v>
      </c>
      <c r="AE114" s="6">
        <f t="shared" si="26"/>
        <v>4545.2357720000009</v>
      </c>
      <c r="AF114">
        <f t="shared" si="27"/>
        <v>640.09992199999988</v>
      </c>
    </row>
    <row r="115" spans="1:32" x14ac:dyDescent="0.3">
      <c r="A115" t="s">
        <v>310</v>
      </c>
      <c r="B115" s="4">
        <v>45353</v>
      </c>
      <c r="C115" s="4" t="str">
        <f t="shared" si="16"/>
        <v>Mar-2024</v>
      </c>
      <c r="D115" t="str">
        <f t="shared" si="17"/>
        <v>Q1-2024</v>
      </c>
      <c r="E115" s="4">
        <v>45367</v>
      </c>
      <c r="F115" s="12">
        <f t="shared" si="14"/>
        <v>45367</v>
      </c>
      <c r="G115" s="13">
        <f t="shared" si="15"/>
        <v>14</v>
      </c>
      <c r="H115" t="s">
        <v>648</v>
      </c>
      <c r="I115" t="s">
        <v>653</v>
      </c>
      <c r="J115" t="s">
        <v>688</v>
      </c>
      <c r="K115" t="s">
        <v>703</v>
      </c>
      <c r="L115" t="s">
        <v>711</v>
      </c>
      <c r="M115" t="s">
        <v>719</v>
      </c>
      <c r="N115" t="s">
        <v>728</v>
      </c>
      <c r="O115" t="s">
        <v>1030</v>
      </c>
      <c r="P115" s="6">
        <v>248.24</v>
      </c>
      <c r="Q115" s="6">
        <v>464.05</v>
      </c>
      <c r="R115" s="10">
        <v>0.16900000000000001</v>
      </c>
      <c r="S115" s="10" t="b">
        <f t="shared" si="18"/>
        <v>0</v>
      </c>
      <c r="T115" s="8">
        <v>11</v>
      </c>
      <c r="U115">
        <f t="shared" si="19"/>
        <v>4241.88105</v>
      </c>
      <c r="V115">
        <f t="shared" si="20"/>
        <v>2730.6400000000003</v>
      </c>
      <c r="W115">
        <f t="shared" si="21"/>
        <v>1511.2410499999996</v>
      </c>
      <c r="X115" s="10">
        <f t="shared" si="22"/>
        <v>0.3562667203975462</v>
      </c>
      <c r="Y115" t="str">
        <f t="shared" si="23"/>
        <v>Low</v>
      </c>
      <c r="Z115" t="str">
        <f t="shared" si="24"/>
        <v>Not Met</v>
      </c>
      <c r="AA115" t="str">
        <f t="shared" si="25"/>
        <v>Low Discount</v>
      </c>
      <c r="AB115" s="10">
        <f>MIN(R115,ControlPanel!$B$5)</f>
        <v>0.16900000000000001</v>
      </c>
      <c r="AC115">
        <f>P115*(1+ControlPanel!$B$6)</f>
        <v>260.65200000000004</v>
      </c>
      <c r="AD115">
        <f>T115*(1+ControlPanel!$B$7)</f>
        <v>12.100000000000001</v>
      </c>
      <c r="AE115" s="6">
        <f t="shared" si="26"/>
        <v>4666.0691550000001</v>
      </c>
      <c r="AF115">
        <f t="shared" si="27"/>
        <v>1512.1799549999992</v>
      </c>
    </row>
    <row r="116" spans="1:32" x14ac:dyDescent="0.3">
      <c r="A116" t="s">
        <v>146</v>
      </c>
      <c r="B116" s="4">
        <v>45719</v>
      </c>
      <c r="C116" s="4" t="str">
        <f t="shared" si="16"/>
        <v>Mar-2025</v>
      </c>
      <c r="D116" t="str">
        <f t="shared" si="17"/>
        <v>Q1-2025</v>
      </c>
      <c r="E116" s="4">
        <v>45740</v>
      </c>
      <c r="F116" s="12">
        <f t="shared" si="14"/>
        <v>45740</v>
      </c>
      <c r="G116" s="13">
        <f t="shared" si="15"/>
        <v>21</v>
      </c>
      <c r="H116" t="s">
        <v>646</v>
      </c>
      <c r="I116" t="s">
        <v>651</v>
      </c>
      <c r="J116" t="s">
        <v>669</v>
      </c>
      <c r="K116" t="s">
        <v>706</v>
      </c>
      <c r="L116" t="s">
        <v>711</v>
      </c>
      <c r="M116" t="s">
        <v>722</v>
      </c>
      <c r="N116" t="s">
        <v>733</v>
      </c>
      <c r="O116" t="s">
        <v>865</v>
      </c>
      <c r="P116" s="6">
        <v>555.95000000000005</v>
      </c>
      <c r="Q116" s="6">
        <v>468.09</v>
      </c>
      <c r="R116" s="10">
        <v>0.14199999999999999</v>
      </c>
      <c r="S116" s="10" t="b">
        <f t="shared" si="18"/>
        <v>0</v>
      </c>
      <c r="T116" s="8">
        <v>11</v>
      </c>
      <c r="U116">
        <f t="shared" si="19"/>
        <v>4417.8334199999999</v>
      </c>
      <c r="V116">
        <f t="shared" si="20"/>
        <v>6115.4500000000007</v>
      </c>
      <c r="W116">
        <f t="shared" si="21"/>
        <v>-1697.6165800000008</v>
      </c>
      <c r="X116" s="10">
        <f t="shared" si="22"/>
        <v>-0.38426450674095375</v>
      </c>
      <c r="Y116" t="str">
        <f t="shared" si="23"/>
        <v>Low</v>
      </c>
      <c r="Z116" t="str">
        <f t="shared" si="24"/>
        <v>Not Met</v>
      </c>
      <c r="AA116" t="str">
        <f t="shared" si="25"/>
        <v>Low Discount</v>
      </c>
      <c r="AB116" s="10">
        <f>MIN(R116,ControlPanel!$B$5)</f>
        <v>0.14199999999999999</v>
      </c>
      <c r="AC116">
        <f>P116*(1+ControlPanel!$B$6)</f>
        <v>583.74750000000006</v>
      </c>
      <c r="AD116">
        <f>T116*(1+ControlPanel!$B$7)</f>
        <v>12.100000000000001</v>
      </c>
      <c r="AE116" s="6">
        <f t="shared" si="26"/>
        <v>4859.6167620000006</v>
      </c>
      <c r="AF116">
        <f t="shared" si="27"/>
        <v>-2203.7279880000006</v>
      </c>
    </row>
    <row r="117" spans="1:32" x14ac:dyDescent="0.3">
      <c r="A117" t="s">
        <v>330</v>
      </c>
      <c r="B117" s="4">
        <v>45052</v>
      </c>
      <c r="C117" s="4" t="str">
        <f t="shared" si="16"/>
        <v>May-2023</v>
      </c>
      <c r="D117" t="str">
        <f t="shared" si="17"/>
        <v>Q2-2023</v>
      </c>
      <c r="E117" s="4">
        <v>45060</v>
      </c>
      <c r="F117" s="12">
        <f t="shared" si="14"/>
        <v>45060</v>
      </c>
      <c r="G117" s="13">
        <f t="shared" si="15"/>
        <v>8</v>
      </c>
      <c r="H117" t="s">
        <v>647</v>
      </c>
      <c r="I117" t="s">
        <v>652</v>
      </c>
      <c r="J117" t="s">
        <v>666</v>
      </c>
      <c r="K117" t="s">
        <v>706</v>
      </c>
      <c r="L117" t="s">
        <v>709</v>
      </c>
      <c r="M117" t="s">
        <v>717</v>
      </c>
      <c r="N117" t="s">
        <v>730</v>
      </c>
      <c r="O117" t="s">
        <v>1050</v>
      </c>
      <c r="P117" s="6">
        <v>291.18</v>
      </c>
      <c r="Q117" s="6">
        <v>479.54</v>
      </c>
      <c r="R117" s="10">
        <v>0.14099999999999999</v>
      </c>
      <c r="S117" s="10" t="b">
        <f t="shared" si="18"/>
        <v>0</v>
      </c>
      <c r="T117" s="8">
        <v>22</v>
      </c>
      <c r="U117">
        <f t="shared" si="19"/>
        <v>9062.34692</v>
      </c>
      <c r="V117">
        <f t="shared" si="20"/>
        <v>6405.96</v>
      </c>
      <c r="W117">
        <f t="shared" si="21"/>
        <v>2656.3869199999999</v>
      </c>
      <c r="X117" s="10">
        <f t="shared" si="22"/>
        <v>0.29312350801066001</v>
      </c>
      <c r="Y117" t="str">
        <f t="shared" si="23"/>
        <v>Low</v>
      </c>
      <c r="Z117" t="str">
        <f t="shared" si="24"/>
        <v>Not Met</v>
      </c>
      <c r="AA117" t="str">
        <f t="shared" si="25"/>
        <v>Low Discount</v>
      </c>
      <c r="AB117" s="10">
        <f>MIN(R117,ControlPanel!$B$5)</f>
        <v>0.14099999999999999</v>
      </c>
      <c r="AC117">
        <f>P117*(1+ControlPanel!$B$6)</f>
        <v>305.73900000000003</v>
      </c>
      <c r="AD117">
        <f>T117*(1+ControlPanel!$B$7)</f>
        <v>24.200000000000003</v>
      </c>
      <c r="AE117" s="6">
        <f t="shared" si="26"/>
        <v>9968.5816120000018</v>
      </c>
      <c r="AF117">
        <f t="shared" si="27"/>
        <v>2569.6978120000003</v>
      </c>
    </row>
    <row r="118" spans="1:32" x14ac:dyDescent="0.3">
      <c r="A118" t="s">
        <v>453</v>
      </c>
      <c r="B118" s="4">
        <v>44978</v>
      </c>
      <c r="C118" s="4" t="str">
        <f t="shared" si="16"/>
        <v>Feb-2023</v>
      </c>
      <c r="D118" t="str">
        <f t="shared" si="17"/>
        <v>Q1-2023</v>
      </c>
      <c r="E118" s="4">
        <v>44997</v>
      </c>
      <c r="F118" s="12">
        <f t="shared" si="14"/>
        <v>44997</v>
      </c>
      <c r="G118" s="13">
        <f t="shared" si="15"/>
        <v>19</v>
      </c>
      <c r="H118" t="s">
        <v>646</v>
      </c>
      <c r="I118" t="s">
        <v>650</v>
      </c>
      <c r="J118" t="s">
        <v>678</v>
      </c>
      <c r="K118" t="s">
        <v>701</v>
      </c>
      <c r="L118" t="s">
        <v>708</v>
      </c>
      <c r="M118" t="s">
        <v>721</v>
      </c>
      <c r="N118" t="s">
        <v>729</v>
      </c>
      <c r="O118" t="s">
        <v>1172</v>
      </c>
      <c r="P118" s="6">
        <v>352.65</v>
      </c>
      <c r="Q118" s="6">
        <v>485.86</v>
      </c>
      <c r="R118" s="10">
        <v>4.1000000000000002E-2</v>
      </c>
      <c r="S118" s="10" t="b">
        <f t="shared" si="18"/>
        <v>0</v>
      </c>
      <c r="T118" s="8">
        <v>6</v>
      </c>
      <c r="U118">
        <f t="shared" si="19"/>
        <v>2795.6384399999997</v>
      </c>
      <c r="V118">
        <f t="shared" si="20"/>
        <v>2115.8999999999996</v>
      </c>
      <c r="W118">
        <f t="shared" si="21"/>
        <v>679.73844000000008</v>
      </c>
      <c r="X118" s="10">
        <f t="shared" si="22"/>
        <v>0.24314247159943908</v>
      </c>
      <c r="Y118" t="str">
        <f t="shared" si="23"/>
        <v>Low</v>
      </c>
      <c r="Z118" t="str">
        <f t="shared" si="24"/>
        <v>Not Met</v>
      </c>
      <c r="AA118" t="str">
        <f t="shared" si="25"/>
        <v>Low Discount</v>
      </c>
      <c r="AB118" s="10">
        <f>MIN(R118,ControlPanel!$B$5)</f>
        <v>4.1000000000000002E-2</v>
      </c>
      <c r="AC118">
        <f>P118*(1+ControlPanel!$B$6)</f>
        <v>370.28249999999997</v>
      </c>
      <c r="AD118">
        <f>T118*(1+ControlPanel!$B$7)</f>
        <v>6.6000000000000005</v>
      </c>
      <c r="AE118" s="6">
        <f t="shared" si="26"/>
        <v>3075.202284</v>
      </c>
      <c r="AF118">
        <f t="shared" si="27"/>
        <v>631.33778399999983</v>
      </c>
    </row>
    <row r="119" spans="1:32" x14ac:dyDescent="0.3">
      <c r="A119" t="s">
        <v>594</v>
      </c>
      <c r="B119" s="4">
        <v>45849</v>
      </c>
      <c r="C119" s="4" t="str">
        <f t="shared" si="16"/>
        <v>Jul-2025</v>
      </c>
      <c r="D119" t="str">
        <f t="shared" si="17"/>
        <v>Q3-2025</v>
      </c>
      <c r="E119" s="4">
        <v>45872</v>
      </c>
      <c r="F119" s="12">
        <f t="shared" si="14"/>
        <v>45872</v>
      </c>
      <c r="G119" s="13">
        <f t="shared" si="15"/>
        <v>23</v>
      </c>
      <c r="H119" t="s">
        <v>646</v>
      </c>
      <c r="I119" t="s">
        <v>650</v>
      </c>
      <c r="J119" t="s">
        <v>678</v>
      </c>
      <c r="K119" t="s">
        <v>705</v>
      </c>
      <c r="L119" t="s">
        <v>707</v>
      </c>
      <c r="M119" t="s">
        <v>712</v>
      </c>
      <c r="N119" t="s">
        <v>730</v>
      </c>
      <c r="O119" t="s">
        <v>1312</v>
      </c>
      <c r="P119" s="6">
        <v>389.93</v>
      </c>
      <c r="Q119" s="6">
        <v>486.13</v>
      </c>
      <c r="R119" s="10">
        <v>0.13200000000000001</v>
      </c>
      <c r="S119" s="10" t="b">
        <f t="shared" si="18"/>
        <v>0</v>
      </c>
      <c r="T119" s="8">
        <v>17</v>
      </c>
      <c r="U119">
        <f t="shared" si="19"/>
        <v>7173.33428</v>
      </c>
      <c r="V119">
        <f t="shared" si="20"/>
        <v>6628.81</v>
      </c>
      <c r="W119">
        <f t="shared" si="21"/>
        <v>544.52427999999964</v>
      </c>
      <c r="X119" s="10">
        <f t="shared" si="22"/>
        <v>7.5909508569562939E-2</v>
      </c>
      <c r="Y119" t="str">
        <f t="shared" si="23"/>
        <v>Low</v>
      </c>
      <c r="Z119" t="str">
        <f t="shared" si="24"/>
        <v>Not Met</v>
      </c>
      <c r="AA119" t="str">
        <f t="shared" si="25"/>
        <v>Low Discount</v>
      </c>
      <c r="AB119" s="10">
        <f>MIN(R119,ControlPanel!$B$5)</f>
        <v>0.13200000000000001</v>
      </c>
      <c r="AC119">
        <f>P119*(1+ControlPanel!$B$6)</f>
        <v>409.42650000000003</v>
      </c>
      <c r="AD119">
        <f>T119*(1+ControlPanel!$B$7)</f>
        <v>18.700000000000003</v>
      </c>
      <c r="AE119" s="6">
        <f t="shared" si="26"/>
        <v>7890.6677080000018</v>
      </c>
      <c r="AF119">
        <f t="shared" si="27"/>
        <v>234.39215799999965</v>
      </c>
    </row>
    <row r="120" spans="1:32" x14ac:dyDescent="0.3">
      <c r="A120" t="s">
        <v>497</v>
      </c>
      <c r="B120" s="4">
        <v>45775</v>
      </c>
      <c r="C120" s="4" t="str">
        <f t="shared" si="16"/>
        <v>Apr-2025</v>
      </c>
      <c r="D120" t="str">
        <f t="shared" si="17"/>
        <v>Q2-2025</v>
      </c>
      <c r="E120" s="4">
        <v>45796</v>
      </c>
      <c r="F120" s="12">
        <f t="shared" si="14"/>
        <v>45796</v>
      </c>
      <c r="G120" s="13">
        <f t="shared" si="15"/>
        <v>21</v>
      </c>
      <c r="H120" t="s">
        <v>649</v>
      </c>
      <c r="I120" t="s">
        <v>656</v>
      </c>
      <c r="J120" t="s">
        <v>671</v>
      </c>
      <c r="K120" t="s">
        <v>701</v>
      </c>
      <c r="L120" t="s">
        <v>710</v>
      </c>
      <c r="M120" t="s">
        <v>717</v>
      </c>
      <c r="N120" t="s">
        <v>730</v>
      </c>
      <c r="O120" t="s">
        <v>1216</v>
      </c>
      <c r="P120" s="6">
        <v>350.76</v>
      </c>
      <c r="Q120" s="6">
        <v>492.18</v>
      </c>
      <c r="R120" s="10">
        <v>5.2999999999999999E-2</v>
      </c>
      <c r="S120" s="10" t="b">
        <f t="shared" si="18"/>
        <v>0</v>
      </c>
      <c r="T120" s="8">
        <v>11</v>
      </c>
      <c r="U120">
        <f t="shared" si="19"/>
        <v>5127.0390600000001</v>
      </c>
      <c r="V120">
        <f t="shared" si="20"/>
        <v>3858.3599999999997</v>
      </c>
      <c r="W120">
        <f t="shared" si="21"/>
        <v>1268.6790600000004</v>
      </c>
      <c r="X120" s="10">
        <f t="shared" si="22"/>
        <v>0.24744868239798437</v>
      </c>
      <c r="Y120" t="str">
        <f t="shared" si="23"/>
        <v>Low</v>
      </c>
      <c r="Z120" t="str">
        <f t="shared" si="24"/>
        <v>Not Met</v>
      </c>
      <c r="AA120" t="str">
        <f t="shared" si="25"/>
        <v>Low Discount</v>
      </c>
      <c r="AB120" s="10">
        <f>MIN(R120,ControlPanel!$B$5)</f>
        <v>5.2999999999999999E-2</v>
      </c>
      <c r="AC120">
        <f>P120*(1+ControlPanel!$B$6)</f>
        <v>368.298</v>
      </c>
      <c r="AD120">
        <f>T120*(1+ControlPanel!$B$7)</f>
        <v>12.100000000000001</v>
      </c>
      <c r="AE120" s="6">
        <f t="shared" si="26"/>
        <v>5639.7429660000007</v>
      </c>
      <c r="AF120">
        <f t="shared" si="27"/>
        <v>1183.3371660000003</v>
      </c>
    </row>
    <row r="121" spans="1:32" x14ac:dyDescent="0.3">
      <c r="A121" t="s">
        <v>459</v>
      </c>
      <c r="B121" s="4">
        <v>45090</v>
      </c>
      <c r="C121" s="4" t="str">
        <f t="shared" si="16"/>
        <v>Jun-2023</v>
      </c>
      <c r="D121" t="str">
        <f t="shared" si="17"/>
        <v>Q2-2023</v>
      </c>
      <c r="E121" s="4">
        <v>45101</v>
      </c>
      <c r="F121" s="12">
        <f t="shared" si="14"/>
        <v>45101</v>
      </c>
      <c r="G121" s="13">
        <f t="shared" si="15"/>
        <v>11</v>
      </c>
      <c r="H121" t="s">
        <v>648</v>
      </c>
      <c r="I121" t="s">
        <v>653</v>
      </c>
      <c r="J121" t="s">
        <v>667</v>
      </c>
      <c r="K121" t="s">
        <v>701</v>
      </c>
      <c r="L121" t="s">
        <v>708</v>
      </c>
      <c r="M121" t="s">
        <v>712</v>
      </c>
      <c r="N121" t="s">
        <v>728</v>
      </c>
      <c r="O121" t="s">
        <v>1178</v>
      </c>
      <c r="P121" s="6">
        <v>247.07</v>
      </c>
      <c r="Q121" s="6">
        <v>495.19</v>
      </c>
      <c r="R121" s="10">
        <v>2.8000000000000001E-2</v>
      </c>
      <c r="S121" s="10" t="b">
        <f t="shared" si="18"/>
        <v>0</v>
      </c>
      <c r="T121" s="8">
        <v>4</v>
      </c>
      <c r="U121">
        <f t="shared" si="19"/>
        <v>1925.29872</v>
      </c>
      <c r="V121">
        <f t="shared" si="20"/>
        <v>988.28</v>
      </c>
      <c r="W121">
        <f t="shared" si="21"/>
        <v>937.01872000000003</v>
      </c>
      <c r="X121" s="10">
        <f t="shared" si="22"/>
        <v>0.48668744764968214</v>
      </c>
      <c r="Y121" t="str">
        <f t="shared" si="23"/>
        <v>Low</v>
      </c>
      <c r="Z121" t="str">
        <f t="shared" si="24"/>
        <v>Not Met</v>
      </c>
      <c r="AA121" t="str">
        <f t="shared" si="25"/>
        <v>Low Discount</v>
      </c>
      <c r="AB121" s="10">
        <f>MIN(R121,ControlPanel!$B$5)</f>
        <v>2.8000000000000001E-2</v>
      </c>
      <c r="AC121">
        <f>P121*(1+ControlPanel!$B$6)</f>
        <v>259.42349999999999</v>
      </c>
      <c r="AD121">
        <f>T121*(1+ControlPanel!$B$7)</f>
        <v>4.4000000000000004</v>
      </c>
      <c r="AE121" s="6">
        <f t="shared" si="26"/>
        <v>2117.8285920000003</v>
      </c>
      <c r="AF121">
        <f t="shared" si="27"/>
        <v>976.36519200000021</v>
      </c>
    </row>
    <row r="122" spans="1:32" x14ac:dyDescent="0.3">
      <c r="A122" t="s">
        <v>470</v>
      </c>
      <c r="B122" s="4">
        <v>45265</v>
      </c>
      <c r="C122" s="4" t="str">
        <f t="shared" si="16"/>
        <v>Dec-2023</v>
      </c>
      <c r="D122" t="str">
        <f t="shared" si="17"/>
        <v>Q4-2023</v>
      </c>
      <c r="E122" s="4">
        <v>45272</v>
      </c>
      <c r="F122" s="12">
        <f t="shared" si="14"/>
        <v>45272</v>
      </c>
      <c r="G122" s="13">
        <f t="shared" si="15"/>
        <v>7</v>
      </c>
      <c r="H122" t="s">
        <v>648</v>
      </c>
      <c r="I122" t="s">
        <v>655</v>
      </c>
      <c r="J122" t="s">
        <v>672</v>
      </c>
      <c r="K122" t="s">
        <v>701</v>
      </c>
      <c r="L122" t="s">
        <v>711</v>
      </c>
      <c r="M122" t="s">
        <v>721</v>
      </c>
      <c r="N122" t="s">
        <v>730</v>
      </c>
      <c r="O122" t="s">
        <v>1189</v>
      </c>
      <c r="P122" s="6">
        <v>307.43</v>
      </c>
      <c r="Q122" s="6">
        <v>495.19</v>
      </c>
      <c r="R122" s="10">
        <v>0</v>
      </c>
      <c r="S122" s="10" t="b">
        <f t="shared" si="18"/>
        <v>0</v>
      </c>
      <c r="T122" s="8">
        <v>42</v>
      </c>
      <c r="U122">
        <f t="shared" si="19"/>
        <v>20797.98</v>
      </c>
      <c r="V122">
        <f t="shared" si="20"/>
        <v>12912.06</v>
      </c>
      <c r="W122">
        <f t="shared" si="21"/>
        <v>7885.92</v>
      </c>
      <c r="X122" s="10">
        <f t="shared" si="22"/>
        <v>0.37916759223732305</v>
      </c>
      <c r="Y122" t="str">
        <f t="shared" si="23"/>
        <v>Low</v>
      </c>
      <c r="Z122" t="str">
        <f t="shared" si="24"/>
        <v>Met</v>
      </c>
      <c r="AA122" t="str">
        <f t="shared" si="25"/>
        <v>Low Discount</v>
      </c>
      <c r="AB122" s="10">
        <f>MIN(R122,ControlPanel!$B$5)</f>
        <v>0</v>
      </c>
      <c r="AC122">
        <f>P122*(1+ControlPanel!$B$6)</f>
        <v>322.80150000000003</v>
      </c>
      <c r="AD122">
        <f>T122*(1+ControlPanel!$B$7)</f>
        <v>46.2</v>
      </c>
      <c r="AE122" s="6">
        <f t="shared" si="26"/>
        <v>22877.778000000002</v>
      </c>
      <c r="AF122">
        <f t="shared" si="27"/>
        <v>7964.3487000000005</v>
      </c>
    </row>
    <row r="123" spans="1:32" x14ac:dyDescent="0.3">
      <c r="A123" t="s">
        <v>282</v>
      </c>
      <c r="B123" s="4">
        <v>45284</v>
      </c>
      <c r="C123" s="4" t="str">
        <f t="shared" si="16"/>
        <v>Dec-2023</v>
      </c>
      <c r="D123" t="str">
        <f t="shared" si="17"/>
        <v>Q4-2023</v>
      </c>
      <c r="E123" s="4">
        <v>45292</v>
      </c>
      <c r="F123" s="12">
        <f t="shared" si="14"/>
        <v>45292</v>
      </c>
      <c r="G123" s="13">
        <f t="shared" si="15"/>
        <v>8</v>
      </c>
      <c r="H123" t="s">
        <v>648</v>
      </c>
      <c r="I123" t="s">
        <v>655</v>
      </c>
      <c r="J123" t="s">
        <v>670</v>
      </c>
      <c r="K123" t="s">
        <v>702</v>
      </c>
      <c r="L123" t="s">
        <v>711</v>
      </c>
      <c r="M123" t="s">
        <v>712</v>
      </c>
      <c r="N123" t="s">
        <v>730</v>
      </c>
      <c r="O123" t="s">
        <v>1002</v>
      </c>
      <c r="P123" s="6">
        <v>526.49</v>
      </c>
      <c r="Q123" s="6">
        <v>496.2</v>
      </c>
      <c r="R123" s="10">
        <v>0</v>
      </c>
      <c r="S123" s="10" t="b">
        <f t="shared" si="18"/>
        <v>0</v>
      </c>
      <c r="T123" s="8">
        <v>14</v>
      </c>
      <c r="U123">
        <f t="shared" si="19"/>
        <v>6946.8</v>
      </c>
      <c r="V123">
        <f t="shared" si="20"/>
        <v>7370.8600000000006</v>
      </c>
      <c r="W123">
        <f t="shared" si="21"/>
        <v>-424.0600000000004</v>
      </c>
      <c r="X123" s="10">
        <f t="shared" si="22"/>
        <v>-6.1043933897621985E-2</v>
      </c>
      <c r="Y123" t="str">
        <f t="shared" si="23"/>
        <v>Low</v>
      </c>
      <c r="Z123" t="str">
        <f t="shared" si="24"/>
        <v>Not Met</v>
      </c>
      <c r="AA123" t="str">
        <f t="shared" si="25"/>
        <v>Low Discount</v>
      </c>
      <c r="AB123" s="10">
        <f>MIN(R123,ControlPanel!$B$5)</f>
        <v>0</v>
      </c>
      <c r="AC123">
        <f>P123*(1+ControlPanel!$B$6)</f>
        <v>552.81450000000007</v>
      </c>
      <c r="AD123">
        <f>T123*(1+ControlPanel!$B$7)</f>
        <v>15.400000000000002</v>
      </c>
      <c r="AE123" s="6">
        <f t="shared" si="26"/>
        <v>7641.4800000000005</v>
      </c>
      <c r="AF123">
        <f t="shared" si="27"/>
        <v>-871.8633000000018</v>
      </c>
    </row>
    <row r="124" spans="1:32" x14ac:dyDescent="0.3">
      <c r="A124" t="s">
        <v>236</v>
      </c>
      <c r="B124" s="4">
        <v>45164</v>
      </c>
      <c r="C124" s="4" t="str">
        <f t="shared" si="16"/>
        <v>Aug-2023</v>
      </c>
      <c r="D124" t="str">
        <f t="shared" si="17"/>
        <v>Q3-2023</v>
      </c>
      <c r="E124" s="4">
        <v>45179</v>
      </c>
      <c r="F124" s="12">
        <f t="shared" si="14"/>
        <v>45179</v>
      </c>
      <c r="G124" s="13">
        <f t="shared" si="15"/>
        <v>15</v>
      </c>
      <c r="H124" t="s">
        <v>646</v>
      </c>
      <c r="I124" t="s">
        <v>661</v>
      </c>
      <c r="J124" t="s">
        <v>695</v>
      </c>
      <c r="K124" t="s">
        <v>703</v>
      </c>
      <c r="L124" t="s">
        <v>711</v>
      </c>
      <c r="M124" t="s">
        <v>725</v>
      </c>
      <c r="N124" t="s">
        <v>727</v>
      </c>
      <c r="O124" t="s">
        <v>956</v>
      </c>
      <c r="P124" s="6">
        <v>241.14</v>
      </c>
      <c r="Q124" s="6">
        <v>496.52</v>
      </c>
      <c r="R124" s="10">
        <v>9.2999999999999999E-2</v>
      </c>
      <c r="S124" s="10" t="b">
        <f t="shared" si="18"/>
        <v>0</v>
      </c>
      <c r="T124" s="8">
        <v>10</v>
      </c>
      <c r="U124">
        <f t="shared" si="19"/>
        <v>4503.4363999999996</v>
      </c>
      <c r="V124">
        <f t="shared" si="20"/>
        <v>2411.3999999999996</v>
      </c>
      <c r="W124">
        <f t="shared" si="21"/>
        <v>2092.0364</v>
      </c>
      <c r="X124" s="10">
        <f t="shared" si="22"/>
        <v>0.46454223268257994</v>
      </c>
      <c r="Y124" t="str">
        <f t="shared" si="23"/>
        <v>Low</v>
      </c>
      <c r="Z124" t="str">
        <f t="shared" si="24"/>
        <v>Not Met</v>
      </c>
      <c r="AA124" t="str">
        <f t="shared" si="25"/>
        <v>Low Discount</v>
      </c>
      <c r="AB124" s="10">
        <f>MIN(R124,ControlPanel!$B$5)</f>
        <v>9.2999999999999999E-2</v>
      </c>
      <c r="AC124">
        <f>P124*(1+ControlPanel!$B$6)</f>
        <v>253.197</v>
      </c>
      <c r="AD124">
        <f>T124*(1+ControlPanel!$B$7)</f>
        <v>11</v>
      </c>
      <c r="AE124" s="6">
        <f t="shared" si="26"/>
        <v>4953.7800399999996</v>
      </c>
      <c r="AF124">
        <f t="shared" si="27"/>
        <v>2168.6130399999997</v>
      </c>
    </row>
    <row r="125" spans="1:32" x14ac:dyDescent="0.3">
      <c r="A125" t="s">
        <v>193</v>
      </c>
      <c r="B125" s="4">
        <v>45021</v>
      </c>
      <c r="C125" s="4" t="str">
        <f t="shared" si="16"/>
        <v>Apr-2023</v>
      </c>
      <c r="D125" t="str">
        <f t="shared" si="17"/>
        <v>Q2-2023</v>
      </c>
      <c r="E125" s="4">
        <v>45032</v>
      </c>
      <c r="F125" s="12">
        <f t="shared" si="14"/>
        <v>45032</v>
      </c>
      <c r="G125" s="13">
        <f t="shared" si="15"/>
        <v>11</v>
      </c>
      <c r="H125" t="s">
        <v>648</v>
      </c>
      <c r="I125" t="s">
        <v>653</v>
      </c>
      <c r="J125" t="s">
        <v>688</v>
      </c>
      <c r="K125" t="s">
        <v>703</v>
      </c>
      <c r="L125" t="s">
        <v>708</v>
      </c>
      <c r="M125" t="s">
        <v>719</v>
      </c>
      <c r="N125" t="s">
        <v>732</v>
      </c>
      <c r="O125" t="s">
        <v>912</v>
      </c>
      <c r="P125" s="6">
        <v>213.1</v>
      </c>
      <c r="Q125" s="6">
        <v>501.31</v>
      </c>
      <c r="R125" s="10">
        <v>5.6000000000000001E-2</v>
      </c>
      <c r="S125" s="10" t="b">
        <f t="shared" si="18"/>
        <v>0</v>
      </c>
      <c r="T125" s="8">
        <v>15</v>
      </c>
      <c r="U125">
        <f t="shared" si="19"/>
        <v>7098.5495999999994</v>
      </c>
      <c r="V125">
        <f t="shared" si="20"/>
        <v>3196.5</v>
      </c>
      <c r="W125">
        <f t="shared" si="21"/>
        <v>3902.0495999999994</v>
      </c>
      <c r="X125" s="10">
        <f t="shared" si="22"/>
        <v>0.54969674368409005</v>
      </c>
      <c r="Y125" t="str">
        <f t="shared" si="23"/>
        <v>Low</v>
      </c>
      <c r="Z125" t="str">
        <f t="shared" si="24"/>
        <v>Not Met</v>
      </c>
      <c r="AA125" t="str">
        <f t="shared" si="25"/>
        <v>Low Discount</v>
      </c>
      <c r="AB125" s="10">
        <f>MIN(R125,ControlPanel!$B$5)</f>
        <v>5.6000000000000001E-2</v>
      </c>
      <c r="AC125">
        <f>P125*(1+ControlPanel!$B$6)</f>
        <v>223.755</v>
      </c>
      <c r="AD125">
        <f>T125*(1+ControlPanel!$B$7)</f>
        <v>16.5</v>
      </c>
      <c r="AE125" s="6">
        <f t="shared" si="26"/>
        <v>7808.404559999999</v>
      </c>
      <c r="AF125">
        <f t="shared" si="27"/>
        <v>4116.4470599999986</v>
      </c>
    </row>
    <row r="126" spans="1:32" x14ac:dyDescent="0.3">
      <c r="A126" t="s">
        <v>232</v>
      </c>
      <c r="B126" s="4">
        <v>45576</v>
      </c>
      <c r="C126" s="4" t="str">
        <f t="shared" si="16"/>
        <v>Oct-2024</v>
      </c>
      <c r="D126" t="str">
        <f t="shared" si="17"/>
        <v>Q4-2024</v>
      </c>
      <c r="E126" s="4">
        <v>45605</v>
      </c>
      <c r="F126" s="12">
        <f t="shared" si="14"/>
        <v>45605</v>
      </c>
      <c r="G126" s="13">
        <f t="shared" si="15"/>
        <v>29</v>
      </c>
      <c r="H126" t="s">
        <v>647</v>
      </c>
      <c r="I126" t="s">
        <v>659</v>
      </c>
      <c r="J126" t="s">
        <v>685</v>
      </c>
      <c r="K126" t="s">
        <v>703</v>
      </c>
      <c r="L126" t="s">
        <v>708</v>
      </c>
      <c r="M126" t="s">
        <v>721</v>
      </c>
      <c r="N126" t="s">
        <v>728</v>
      </c>
      <c r="O126" t="s">
        <v>952</v>
      </c>
      <c r="P126" s="6">
        <v>391.64</v>
      </c>
      <c r="Q126" s="6">
        <v>504.76</v>
      </c>
      <c r="R126" s="10">
        <v>4.0000000000000001E-3</v>
      </c>
      <c r="S126" s="10" t="b">
        <f t="shared" si="18"/>
        <v>0</v>
      </c>
      <c r="T126" s="8">
        <v>13</v>
      </c>
      <c r="U126">
        <f t="shared" si="19"/>
        <v>6535.6324799999993</v>
      </c>
      <c r="V126">
        <f t="shared" si="20"/>
        <v>5091.32</v>
      </c>
      <c r="W126">
        <f t="shared" si="21"/>
        <v>1444.3124799999996</v>
      </c>
      <c r="X126" s="10">
        <f t="shared" si="22"/>
        <v>0.22099046793402308</v>
      </c>
      <c r="Y126" t="str">
        <f t="shared" si="23"/>
        <v>Low</v>
      </c>
      <c r="Z126" t="str">
        <f t="shared" si="24"/>
        <v>Not Met</v>
      </c>
      <c r="AA126" t="str">
        <f t="shared" si="25"/>
        <v>Low Discount</v>
      </c>
      <c r="AB126" s="10">
        <f>MIN(R126,ControlPanel!$B$5)</f>
        <v>4.0000000000000001E-3</v>
      </c>
      <c r="AC126">
        <f>P126*(1+ControlPanel!$B$6)</f>
        <v>411.22199999999998</v>
      </c>
      <c r="AD126">
        <f>T126*(1+ControlPanel!$B$7)</f>
        <v>14.3</v>
      </c>
      <c r="AE126" s="6">
        <f t="shared" si="26"/>
        <v>7189.1957279999997</v>
      </c>
      <c r="AF126">
        <f t="shared" si="27"/>
        <v>1308.7211280000001</v>
      </c>
    </row>
    <row r="127" spans="1:32" x14ac:dyDescent="0.3">
      <c r="A127" t="s">
        <v>311</v>
      </c>
      <c r="B127" s="4">
        <v>45097</v>
      </c>
      <c r="C127" s="4" t="str">
        <f t="shared" si="16"/>
        <v>Jun-2023</v>
      </c>
      <c r="D127" t="str">
        <f t="shared" si="17"/>
        <v>Q2-2023</v>
      </c>
      <c r="E127" s="4">
        <v>45115</v>
      </c>
      <c r="F127" s="12">
        <f t="shared" si="14"/>
        <v>45115</v>
      </c>
      <c r="G127" s="13">
        <f t="shared" si="15"/>
        <v>18</v>
      </c>
      <c r="H127" t="s">
        <v>648</v>
      </c>
      <c r="I127" t="s">
        <v>660</v>
      </c>
      <c r="J127" t="s">
        <v>697</v>
      </c>
      <c r="K127" t="s">
        <v>703</v>
      </c>
      <c r="L127" t="s">
        <v>711</v>
      </c>
      <c r="M127" t="s">
        <v>721</v>
      </c>
      <c r="N127" t="s">
        <v>732</v>
      </c>
      <c r="O127" t="s">
        <v>1031</v>
      </c>
      <c r="P127" s="6">
        <v>337</v>
      </c>
      <c r="Q127" s="6">
        <v>511.03</v>
      </c>
      <c r="R127" s="10">
        <v>0.108</v>
      </c>
      <c r="S127" s="10" t="b">
        <f t="shared" si="18"/>
        <v>0</v>
      </c>
      <c r="T127" s="8">
        <v>7</v>
      </c>
      <c r="U127">
        <f t="shared" si="19"/>
        <v>3190.8713199999997</v>
      </c>
      <c r="V127">
        <f t="shared" si="20"/>
        <v>2359</v>
      </c>
      <c r="W127">
        <f t="shared" si="21"/>
        <v>831.87131999999974</v>
      </c>
      <c r="X127" s="10">
        <f t="shared" si="22"/>
        <v>0.26070349963219447</v>
      </c>
      <c r="Y127" t="str">
        <f t="shared" si="23"/>
        <v>Low</v>
      </c>
      <c r="Z127" t="str">
        <f t="shared" si="24"/>
        <v>Not Met</v>
      </c>
      <c r="AA127" t="str">
        <f t="shared" si="25"/>
        <v>Low Discount</v>
      </c>
      <c r="AB127" s="10">
        <f>MIN(R127,ControlPanel!$B$5)</f>
        <v>0.108</v>
      </c>
      <c r="AC127">
        <f>P127*(1+ControlPanel!$B$6)</f>
        <v>353.85</v>
      </c>
      <c r="AD127">
        <f>T127*(1+ControlPanel!$B$7)</f>
        <v>7.7000000000000011</v>
      </c>
      <c r="AE127" s="6">
        <f t="shared" si="26"/>
        <v>3509.9584520000003</v>
      </c>
      <c r="AF127">
        <f t="shared" si="27"/>
        <v>785.31345199999987</v>
      </c>
    </row>
    <row r="128" spans="1:32" x14ac:dyDescent="0.3">
      <c r="A128" t="s">
        <v>307</v>
      </c>
      <c r="B128" s="4">
        <v>45161</v>
      </c>
      <c r="C128" s="4" t="str">
        <f t="shared" si="16"/>
        <v>Aug-2023</v>
      </c>
      <c r="D128" t="str">
        <f t="shared" si="17"/>
        <v>Q3-2023</v>
      </c>
      <c r="E128" s="4">
        <v>45191</v>
      </c>
      <c r="F128" s="12">
        <f t="shared" si="14"/>
        <v>45191</v>
      </c>
      <c r="G128" s="13">
        <f t="shared" si="15"/>
        <v>30</v>
      </c>
      <c r="H128" t="s">
        <v>649</v>
      </c>
      <c r="I128" t="s">
        <v>658</v>
      </c>
      <c r="J128" t="s">
        <v>683</v>
      </c>
      <c r="K128" t="s">
        <v>704</v>
      </c>
      <c r="L128" t="s">
        <v>710</v>
      </c>
      <c r="M128" t="s">
        <v>719</v>
      </c>
      <c r="N128" t="s">
        <v>733</v>
      </c>
      <c r="O128" t="s">
        <v>1027</v>
      </c>
      <c r="P128" s="6">
        <v>209.81</v>
      </c>
      <c r="Q128" s="6">
        <v>523</v>
      </c>
      <c r="R128" s="10">
        <v>5.8999999999999997E-2</v>
      </c>
      <c r="S128" s="10" t="b">
        <f t="shared" si="18"/>
        <v>0</v>
      </c>
      <c r="T128" s="8">
        <v>15</v>
      </c>
      <c r="U128">
        <f t="shared" si="19"/>
        <v>7382.1450000000004</v>
      </c>
      <c r="V128">
        <f t="shared" si="20"/>
        <v>3147.15</v>
      </c>
      <c r="W128">
        <f t="shared" si="21"/>
        <v>4234.9950000000008</v>
      </c>
      <c r="X128" s="10">
        <f t="shared" si="22"/>
        <v>0.57368082041195356</v>
      </c>
      <c r="Y128" t="str">
        <f t="shared" si="23"/>
        <v>Low</v>
      </c>
      <c r="Z128" t="str">
        <f t="shared" si="24"/>
        <v>Not Met</v>
      </c>
      <c r="AA128" t="str">
        <f t="shared" si="25"/>
        <v>Low Discount</v>
      </c>
      <c r="AB128" s="10">
        <f>MIN(R128,ControlPanel!$B$5)</f>
        <v>5.8999999999999997E-2</v>
      </c>
      <c r="AC128">
        <f>P128*(1+ControlPanel!$B$6)</f>
        <v>220.3005</v>
      </c>
      <c r="AD128">
        <f>T128*(1+ControlPanel!$B$7)</f>
        <v>16.5</v>
      </c>
      <c r="AE128" s="6">
        <f t="shared" si="26"/>
        <v>8120.3595000000005</v>
      </c>
      <c r="AF128">
        <f t="shared" si="27"/>
        <v>4485.4012500000008</v>
      </c>
    </row>
    <row r="129" spans="1:32" x14ac:dyDescent="0.3">
      <c r="A129" t="s">
        <v>175</v>
      </c>
      <c r="B129" s="4">
        <v>44977</v>
      </c>
      <c r="C129" s="4" t="str">
        <f t="shared" si="16"/>
        <v>Feb-2023</v>
      </c>
      <c r="D129" t="str">
        <f t="shared" si="17"/>
        <v>Q1-2023</v>
      </c>
      <c r="E129" s="4">
        <v>44989</v>
      </c>
      <c r="F129" s="12">
        <f t="shared" si="14"/>
        <v>44989</v>
      </c>
      <c r="G129" s="13">
        <f t="shared" si="15"/>
        <v>12</v>
      </c>
      <c r="H129" t="s">
        <v>647</v>
      </c>
      <c r="I129" t="s">
        <v>654</v>
      </c>
      <c r="J129" t="s">
        <v>680</v>
      </c>
      <c r="K129" t="s">
        <v>704</v>
      </c>
      <c r="L129" t="s">
        <v>710</v>
      </c>
      <c r="M129" t="s">
        <v>724</v>
      </c>
      <c r="N129" t="s">
        <v>732</v>
      </c>
      <c r="O129" t="s">
        <v>894</v>
      </c>
      <c r="P129" s="6">
        <v>299.75</v>
      </c>
      <c r="Q129" s="6">
        <v>523.01</v>
      </c>
      <c r="R129" s="10">
        <v>0.157</v>
      </c>
      <c r="S129" s="10" t="b">
        <f t="shared" si="18"/>
        <v>0</v>
      </c>
      <c r="T129" s="8">
        <v>50</v>
      </c>
      <c r="U129">
        <f t="shared" si="19"/>
        <v>22044.871500000001</v>
      </c>
      <c r="V129">
        <f t="shared" si="20"/>
        <v>14987.5</v>
      </c>
      <c r="W129">
        <f t="shared" si="21"/>
        <v>7057.3715000000011</v>
      </c>
      <c r="X129" s="10">
        <f t="shared" si="22"/>
        <v>0.32013665854210133</v>
      </c>
      <c r="Y129" t="str">
        <f t="shared" si="23"/>
        <v>Low</v>
      </c>
      <c r="Z129" t="str">
        <f t="shared" si="24"/>
        <v>Not Met</v>
      </c>
      <c r="AA129" t="str">
        <f t="shared" si="25"/>
        <v>Low Discount</v>
      </c>
      <c r="AB129" s="10">
        <f>MIN(R129,ControlPanel!$B$5)</f>
        <v>0.157</v>
      </c>
      <c r="AC129">
        <f>P129*(1+ControlPanel!$B$6)</f>
        <v>314.73750000000001</v>
      </c>
      <c r="AD129">
        <f>T129*(1+ControlPanel!$B$7)</f>
        <v>55.000000000000007</v>
      </c>
      <c r="AE129" s="6">
        <f t="shared" si="26"/>
        <v>24249.358650000002</v>
      </c>
      <c r="AF129">
        <f t="shared" si="27"/>
        <v>6938.7961499999983</v>
      </c>
    </row>
    <row r="130" spans="1:32" x14ac:dyDescent="0.3">
      <c r="A130" t="s">
        <v>170</v>
      </c>
      <c r="B130" s="4">
        <v>45511</v>
      </c>
      <c r="C130" s="4" t="str">
        <f t="shared" si="16"/>
        <v>Aug-2024</v>
      </c>
      <c r="D130" t="str">
        <f t="shared" si="17"/>
        <v>Q3-2024</v>
      </c>
      <c r="E130" s="4">
        <v>45521</v>
      </c>
      <c r="F130" s="12">
        <f t="shared" ref="F130:F193" si="28">IF(B130&gt;E130,B130+14,E130)</f>
        <v>45521</v>
      </c>
      <c r="G130" s="13">
        <f t="shared" ref="G130:G193" si="29">F130-B130</f>
        <v>10</v>
      </c>
      <c r="H130" t="s">
        <v>647</v>
      </c>
      <c r="I130" t="s">
        <v>652</v>
      </c>
      <c r="J130" t="s">
        <v>666</v>
      </c>
      <c r="K130" t="s">
        <v>704</v>
      </c>
      <c r="L130" t="s">
        <v>708</v>
      </c>
      <c r="M130" t="s">
        <v>723</v>
      </c>
      <c r="N130" t="s">
        <v>729</v>
      </c>
      <c r="O130" t="s">
        <v>889</v>
      </c>
      <c r="P130" s="6">
        <v>436.58</v>
      </c>
      <c r="Q130" s="6">
        <v>527.48</v>
      </c>
      <c r="R130" s="10">
        <v>0.111</v>
      </c>
      <c r="S130" s="10" t="b">
        <f t="shared" si="18"/>
        <v>0</v>
      </c>
      <c r="T130" s="8">
        <v>19</v>
      </c>
      <c r="U130">
        <f t="shared" si="19"/>
        <v>8909.6646799999999</v>
      </c>
      <c r="V130">
        <f t="shared" si="20"/>
        <v>8295.02</v>
      </c>
      <c r="W130">
        <f t="shared" si="21"/>
        <v>614.64467999999943</v>
      </c>
      <c r="X130" s="10">
        <f t="shared" si="22"/>
        <v>6.8986286473802449E-2</v>
      </c>
      <c r="Y130" t="str">
        <f t="shared" si="23"/>
        <v>Low</v>
      </c>
      <c r="Z130" t="str">
        <f t="shared" si="24"/>
        <v>Not Met</v>
      </c>
      <c r="AA130" t="str">
        <f t="shared" si="25"/>
        <v>Low Discount</v>
      </c>
      <c r="AB130" s="10">
        <f>MIN(R130,ControlPanel!$B$5)</f>
        <v>0.111</v>
      </c>
      <c r="AC130">
        <f>P130*(1+ControlPanel!$B$6)</f>
        <v>458.40899999999999</v>
      </c>
      <c r="AD130">
        <f>T130*(1+ControlPanel!$B$7)</f>
        <v>20.900000000000002</v>
      </c>
      <c r="AE130" s="6">
        <f t="shared" si="26"/>
        <v>9800.6311480000022</v>
      </c>
      <c r="AF130">
        <f t="shared" si="27"/>
        <v>219.88304800000151</v>
      </c>
    </row>
    <row r="131" spans="1:32" x14ac:dyDescent="0.3">
      <c r="A131" t="s">
        <v>575</v>
      </c>
      <c r="B131" s="4">
        <v>45590</v>
      </c>
      <c r="C131" s="4" t="str">
        <f t="shared" ref="C131:C194" si="30">TEXT(B131,"MMM-YYYY")</f>
        <v>Oct-2024</v>
      </c>
      <c r="D131" t="str">
        <f t="shared" ref="D131:D194" si="31">"Q" &amp; ROUNDUP(MONTH(B131)/3,0) &amp; "-" &amp; YEAR(B131)</f>
        <v>Q4-2024</v>
      </c>
      <c r="E131" s="4">
        <v>45601</v>
      </c>
      <c r="F131" s="12">
        <f t="shared" si="28"/>
        <v>45601</v>
      </c>
      <c r="G131" s="13">
        <f t="shared" si="29"/>
        <v>11</v>
      </c>
      <c r="H131" t="s">
        <v>648</v>
      </c>
      <c r="I131" t="s">
        <v>660</v>
      </c>
      <c r="J131" t="s">
        <v>700</v>
      </c>
      <c r="K131" t="s">
        <v>701</v>
      </c>
      <c r="L131" t="s">
        <v>710</v>
      </c>
      <c r="M131" t="s">
        <v>725</v>
      </c>
      <c r="N131" t="s">
        <v>727</v>
      </c>
      <c r="O131" t="s">
        <v>1293</v>
      </c>
      <c r="P131" s="6">
        <v>446.66</v>
      </c>
      <c r="Q131" s="6">
        <v>527.64</v>
      </c>
      <c r="R131" s="10">
        <v>0.14499999999999999</v>
      </c>
      <c r="S131" s="10" t="b">
        <f t="shared" ref="S131:S194" si="32">IF(R131&gt;30,TRUE)</f>
        <v>0</v>
      </c>
      <c r="T131" s="8">
        <v>15</v>
      </c>
      <c r="U131">
        <f t="shared" ref="U131:U194" si="33">(Q131*(100%-R131))*T131</f>
        <v>6766.9829999999993</v>
      </c>
      <c r="V131">
        <f t="shared" ref="V131:V194" si="34">P131*T131</f>
        <v>6699.9000000000005</v>
      </c>
      <c r="W131">
        <f t="shared" ref="W131:W194" si="35">U131-V131</f>
        <v>67.082999999998719</v>
      </c>
      <c r="X131" s="10">
        <f t="shared" ref="X131:X194" si="36">IF(U131=0,0,W131/U131)</f>
        <v>9.9132804087137105E-3</v>
      </c>
      <c r="Y131" t="str">
        <f t="shared" ref="Y131:Y194" si="37">IF(Q131&lt;=_xlfn.PERCENTILE.INC($Q$2:$Q$610,0.33),"Low",IF(Q131&lt;=_xlfn.PERCENTILE.INC($Q$2:$Q$610,0.67),"Medium","High"))</f>
        <v>Low</v>
      </c>
      <c r="Z131" t="str">
        <f t="shared" ref="Z131:Z194" si="38">IF(G131&lt;=7,"Met","Not Met")</f>
        <v>Not Met</v>
      </c>
      <c r="AA131" t="str">
        <f t="shared" ref="AA131:AA194" si="39">IF(R131&gt;20%,"High Discount","Low Discount")</f>
        <v>Low Discount</v>
      </c>
      <c r="AB131" s="10">
        <f>MIN(R131,ControlPanel!$B$5)</f>
        <v>0.14499999999999999</v>
      </c>
      <c r="AC131">
        <f>P131*(1+ControlPanel!$B$6)</f>
        <v>468.99300000000005</v>
      </c>
      <c r="AD131">
        <f>T131*(1+ControlPanel!$B$7)</f>
        <v>16.5</v>
      </c>
      <c r="AE131" s="6">
        <f t="shared" ref="AE131:AE194" si="40">(Q131*(100%-AB131)*AD131)</f>
        <v>7443.6812999999993</v>
      </c>
      <c r="AF131">
        <f t="shared" ref="AF131:AF194" si="41">AE131-(AC131*AD131)</f>
        <v>-294.70320000000174</v>
      </c>
    </row>
    <row r="132" spans="1:32" x14ac:dyDescent="0.3">
      <c r="A132" t="s">
        <v>422</v>
      </c>
      <c r="B132" s="4">
        <v>45724</v>
      </c>
      <c r="C132" s="4" t="str">
        <f t="shared" si="30"/>
        <v>Mar-2025</v>
      </c>
      <c r="D132" t="str">
        <f t="shared" si="31"/>
        <v>Q1-2025</v>
      </c>
      <c r="E132" s="4">
        <v>45731</v>
      </c>
      <c r="F132" s="12">
        <f t="shared" si="28"/>
        <v>45731</v>
      </c>
      <c r="G132" s="13">
        <f t="shared" si="29"/>
        <v>7</v>
      </c>
      <c r="H132" t="s">
        <v>647</v>
      </c>
      <c r="I132" t="s">
        <v>654</v>
      </c>
      <c r="J132" t="s">
        <v>668</v>
      </c>
      <c r="K132" t="s">
        <v>701</v>
      </c>
      <c r="L132" t="s">
        <v>710</v>
      </c>
      <c r="M132" t="s">
        <v>723</v>
      </c>
      <c r="N132" t="s">
        <v>731</v>
      </c>
      <c r="O132" t="s">
        <v>1141</v>
      </c>
      <c r="P132" s="6">
        <v>475.66</v>
      </c>
      <c r="Q132" s="6">
        <v>529.14</v>
      </c>
      <c r="R132" s="10">
        <v>0.19600000000000001</v>
      </c>
      <c r="S132" s="10" t="b">
        <f t="shared" si="32"/>
        <v>0</v>
      </c>
      <c r="T132" s="8">
        <v>11</v>
      </c>
      <c r="U132">
        <f t="shared" si="33"/>
        <v>4679.7141600000004</v>
      </c>
      <c r="V132">
        <f t="shared" si="34"/>
        <v>5232.26</v>
      </c>
      <c r="W132">
        <f t="shared" si="35"/>
        <v>-552.54583999999977</v>
      </c>
      <c r="X132" s="10">
        <f t="shared" si="36"/>
        <v>-0.11807256193613323</v>
      </c>
      <c r="Y132" t="str">
        <f t="shared" si="37"/>
        <v>Low</v>
      </c>
      <c r="Z132" t="str">
        <f t="shared" si="38"/>
        <v>Met</v>
      </c>
      <c r="AA132" t="str">
        <f t="shared" si="39"/>
        <v>Low Discount</v>
      </c>
      <c r="AB132" s="10">
        <f>MIN(R132,ControlPanel!$B$5)</f>
        <v>0.19600000000000001</v>
      </c>
      <c r="AC132">
        <f>P132*(1+ControlPanel!$B$6)</f>
        <v>499.44300000000004</v>
      </c>
      <c r="AD132">
        <f>T132*(1+ControlPanel!$B$7)</f>
        <v>12.100000000000001</v>
      </c>
      <c r="AE132" s="6">
        <f t="shared" si="40"/>
        <v>5147.6855760000008</v>
      </c>
      <c r="AF132">
        <f t="shared" si="41"/>
        <v>-895.57472400000006</v>
      </c>
    </row>
    <row r="133" spans="1:32" x14ac:dyDescent="0.3">
      <c r="A133" t="s">
        <v>148</v>
      </c>
      <c r="B133" s="4">
        <v>45666</v>
      </c>
      <c r="C133" s="4" t="str">
        <f t="shared" si="30"/>
        <v>Jan-2025</v>
      </c>
      <c r="D133" t="str">
        <f t="shared" si="31"/>
        <v>Q1-2025</v>
      </c>
      <c r="E133" s="4">
        <v>45672</v>
      </c>
      <c r="F133" s="12">
        <f t="shared" si="28"/>
        <v>45672</v>
      </c>
      <c r="G133" s="13">
        <f t="shared" si="29"/>
        <v>6</v>
      </c>
      <c r="H133" t="s">
        <v>647</v>
      </c>
      <c r="I133" t="s">
        <v>659</v>
      </c>
      <c r="J133" t="s">
        <v>699</v>
      </c>
      <c r="K133" t="s">
        <v>702</v>
      </c>
      <c r="L133" t="s">
        <v>708</v>
      </c>
      <c r="M133" t="s">
        <v>712</v>
      </c>
      <c r="N133" t="s">
        <v>730</v>
      </c>
      <c r="O133" t="s">
        <v>867</v>
      </c>
      <c r="P133" s="6">
        <v>304.77999999999997</v>
      </c>
      <c r="Q133" s="6">
        <v>537.27</v>
      </c>
      <c r="R133" s="10">
        <v>0.187</v>
      </c>
      <c r="S133" s="10" t="b">
        <f t="shared" si="32"/>
        <v>0</v>
      </c>
      <c r="T133" s="8">
        <v>8</v>
      </c>
      <c r="U133">
        <f t="shared" si="33"/>
        <v>3494.4040799999998</v>
      </c>
      <c r="V133">
        <f t="shared" si="34"/>
        <v>2438.2399999999998</v>
      </c>
      <c r="W133">
        <f t="shared" si="35"/>
        <v>1056.16408</v>
      </c>
      <c r="X133" s="10">
        <f t="shared" si="36"/>
        <v>0.3022444044307549</v>
      </c>
      <c r="Y133" t="str">
        <f t="shared" si="37"/>
        <v>Low</v>
      </c>
      <c r="Z133" t="str">
        <f t="shared" si="38"/>
        <v>Met</v>
      </c>
      <c r="AA133" t="str">
        <f t="shared" si="39"/>
        <v>Low Discount</v>
      </c>
      <c r="AB133" s="10">
        <f>MIN(R133,ControlPanel!$B$5)</f>
        <v>0.187</v>
      </c>
      <c r="AC133">
        <f>P133*(1+ControlPanel!$B$6)</f>
        <v>320.01900000000001</v>
      </c>
      <c r="AD133">
        <f>T133*(1+ControlPanel!$B$7)</f>
        <v>8.8000000000000007</v>
      </c>
      <c r="AE133" s="6">
        <f t="shared" si="40"/>
        <v>3843.8444880000002</v>
      </c>
      <c r="AF133">
        <f t="shared" si="41"/>
        <v>1027.6772879999999</v>
      </c>
    </row>
    <row r="134" spans="1:32" x14ac:dyDescent="0.3">
      <c r="A134" t="s">
        <v>318</v>
      </c>
      <c r="B134" s="4">
        <v>45462</v>
      </c>
      <c r="C134" s="4" t="str">
        <f t="shared" si="30"/>
        <v>Jun-2024</v>
      </c>
      <c r="D134" t="str">
        <f t="shared" si="31"/>
        <v>Q2-2024</v>
      </c>
      <c r="E134" s="4">
        <v>45463</v>
      </c>
      <c r="F134" s="12">
        <f t="shared" si="28"/>
        <v>45463</v>
      </c>
      <c r="G134" s="13">
        <f t="shared" si="29"/>
        <v>1</v>
      </c>
      <c r="H134" t="s">
        <v>646</v>
      </c>
      <c r="I134" t="s">
        <v>650</v>
      </c>
      <c r="J134" t="s">
        <v>662</v>
      </c>
      <c r="K134" t="s">
        <v>705</v>
      </c>
      <c r="L134" t="s">
        <v>711</v>
      </c>
      <c r="M134" t="s">
        <v>713</v>
      </c>
      <c r="N134" t="s">
        <v>731</v>
      </c>
      <c r="O134" t="s">
        <v>1038</v>
      </c>
      <c r="P134" s="6">
        <v>231.63</v>
      </c>
      <c r="Q134" s="6">
        <v>537.39</v>
      </c>
      <c r="R134" s="10">
        <v>0.08</v>
      </c>
      <c r="S134" s="10" t="b">
        <f t="shared" si="32"/>
        <v>0</v>
      </c>
      <c r="T134" s="8">
        <v>12</v>
      </c>
      <c r="U134">
        <f t="shared" si="33"/>
        <v>5932.7856000000002</v>
      </c>
      <c r="V134">
        <f t="shared" si="34"/>
        <v>2779.56</v>
      </c>
      <c r="W134">
        <f t="shared" si="35"/>
        <v>3153.2256000000002</v>
      </c>
      <c r="X134" s="10">
        <f t="shared" si="36"/>
        <v>0.53149158129024587</v>
      </c>
      <c r="Y134" t="str">
        <f t="shared" si="37"/>
        <v>Low</v>
      </c>
      <c r="Z134" t="str">
        <f t="shared" si="38"/>
        <v>Met</v>
      </c>
      <c r="AA134" t="str">
        <f t="shared" si="39"/>
        <v>Low Discount</v>
      </c>
      <c r="AB134" s="10">
        <f>MIN(R134,ControlPanel!$B$5)</f>
        <v>0.08</v>
      </c>
      <c r="AC134">
        <f>P134*(1+ControlPanel!$B$6)</f>
        <v>243.2115</v>
      </c>
      <c r="AD134">
        <f>T134*(1+ControlPanel!$B$7)</f>
        <v>13.200000000000001</v>
      </c>
      <c r="AE134" s="6">
        <f t="shared" si="40"/>
        <v>6526.0641600000008</v>
      </c>
      <c r="AF134">
        <f t="shared" si="41"/>
        <v>3315.6723600000005</v>
      </c>
    </row>
    <row r="135" spans="1:32" x14ac:dyDescent="0.3">
      <c r="A135" t="s">
        <v>184</v>
      </c>
      <c r="B135" s="4">
        <v>45574</v>
      </c>
      <c r="C135" s="4" t="str">
        <f t="shared" si="30"/>
        <v>Oct-2024</v>
      </c>
      <c r="D135" t="str">
        <f t="shared" si="31"/>
        <v>Q4-2024</v>
      </c>
      <c r="E135" s="4">
        <v>45604</v>
      </c>
      <c r="F135" s="12">
        <f t="shared" si="28"/>
        <v>45604</v>
      </c>
      <c r="G135" s="13">
        <f t="shared" si="29"/>
        <v>30</v>
      </c>
      <c r="H135" t="s">
        <v>649</v>
      </c>
      <c r="I135" t="s">
        <v>658</v>
      </c>
      <c r="J135" t="s">
        <v>693</v>
      </c>
      <c r="K135" t="s">
        <v>705</v>
      </c>
      <c r="L135" t="s">
        <v>710</v>
      </c>
      <c r="M135" t="s">
        <v>713</v>
      </c>
      <c r="N135" t="s">
        <v>727</v>
      </c>
      <c r="O135" t="s">
        <v>903</v>
      </c>
      <c r="P135" s="6">
        <v>343.85</v>
      </c>
      <c r="Q135" s="6">
        <v>538.04</v>
      </c>
      <c r="R135" s="10">
        <v>0.13900000000000001</v>
      </c>
      <c r="S135" s="10" t="b">
        <f t="shared" si="32"/>
        <v>0</v>
      </c>
      <c r="T135" s="8">
        <v>5</v>
      </c>
      <c r="U135">
        <f t="shared" si="33"/>
        <v>2316.2622000000001</v>
      </c>
      <c r="V135">
        <f t="shared" si="34"/>
        <v>1719.25</v>
      </c>
      <c r="W135">
        <f t="shared" si="35"/>
        <v>597.01220000000012</v>
      </c>
      <c r="X135" s="10">
        <f t="shared" si="36"/>
        <v>0.25774810813732579</v>
      </c>
      <c r="Y135" t="str">
        <f t="shared" si="37"/>
        <v>Low</v>
      </c>
      <c r="Z135" t="str">
        <f t="shared" si="38"/>
        <v>Not Met</v>
      </c>
      <c r="AA135" t="str">
        <f t="shared" si="39"/>
        <v>Low Discount</v>
      </c>
      <c r="AB135" s="10">
        <f>MIN(R135,ControlPanel!$B$5)</f>
        <v>0.13900000000000001</v>
      </c>
      <c r="AC135">
        <f>P135*(1+ControlPanel!$B$6)</f>
        <v>361.04250000000002</v>
      </c>
      <c r="AD135">
        <f>T135*(1+ControlPanel!$B$7)</f>
        <v>5.5</v>
      </c>
      <c r="AE135" s="6">
        <f t="shared" si="40"/>
        <v>2547.8884199999998</v>
      </c>
      <c r="AF135">
        <f t="shared" si="41"/>
        <v>562.15466999999967</v>
      </c>
    </row>
    <row r="136" spans="1:32" x14ac:dyDescent="0.3">
      <c r="A136" t="s">
        <v>285</v>
      </c>
      <c r="B136" s="4">
        <v>45707</v>
      </c>
      <c r="C136" s="4" t="str">
        <f t="shared" si="30"/>
        <v>Feb-2025</v>
      </c>
      <c r="D136" t="str">
        <f t="shared" si="31"/>
        <v>Q1-2025</v>
      </c>
      <c r="E136" s="4">
        <v>45725</v>
      </c>
      <c r="F136" s="12">
        <f t="shared" si="28"/>
        <v>45725</v>
      </c>
      <c r="G136" s="13">
        <f t="shared" si="29"/>
        <v>18</v>
      </c>
      <c r="H136" t="s">
        <v>647</v>
      </c>
      <c r="I136" t="s">
        <v>654</v>
      </c>
      <c r="J136" t="s">
        <v>680</v>
      </c>
      <c r="K136" t="s">
        <v>705</v>
      </c>
      <c r="L136" t="s">
        <v>711</v>
      </c>
      <c r="M136" t="s">
        <v>719</v>
      </c>
      <c r="N136" t="s">
        <v>732</v>
      </c>
      <c r="O136" t="s">
        <v>1005</v>
      </c>
      <c r="P136" s="6">
        <v>325.87</v>
      </c>
      <c r="Q136" s="6">
        <v>538.79</v>
      </c>
      <c r="R136" s="10">
        <v>0.17399999999999999</v>
      </c>
      <c r="S136" s="10" t="b">
        <f t="shared" si="32"/>
        <v>0</v>
      </c>
      <c r="T136" s="8">
        <v>16</v>
      </c>
      <c r="U136">
        <f t="shared" si="33"/>
        <v>7120.6486400000003</v>
      </c>
      <c r="V136">
        <f t="shared" si="34"/>
        <v>5213.92</v>
      </c>
      <c r="W136">
        <f t="shared" si="35"/>
        <v>1906.7286400000003</v>
      </c>
      <c r="X136" s="10">
        <f t="shared" si="36"/>
        <v>0.26777457172778013</v>
      </c>
      <c r="Y136" t="str">
        <f t="shared" si="37"/>
        <v>Low</v>
      </c>
      <c r="Z136" t="str">
        <f t="shared" si="38"/>
        <v>Not Met</v>
      </c>
      <c r="AA136" t="str">
        <f t="shared" si="39"/>
        <v>Low Discount</v>
      </c>
      <c r="AB136" s="10">
        <f>MIN(R136,ControlPanel!$B$5)</f>
        <v>0.17399999999999999</v>
      </c>
      <c r="AC136">
        <f>P136*(1+ControlPanel!$B$6)</f>
        <v>342.1635</v>
      </c>
      <c r="AD136">
        <f>T136*(1+ControlPanel!$B$7)</f>
        <v>17.600000000000001</v>
      </c>
      <c r="AE136" s="6">
        <f t="shared" si="40"/>
        <v>7832.7135040000012</v>
      </c>
      <c r="AF136">
        <f t="shared" si="41"/>
        <v>1810.6359040000007</v>
      </c>
    </row>
    <row r="137" spans="1:32" x14ac:dyDescent="0.3">
      <c r="A137" t="s">
        <v>394</v>
      </c>
      <c r="B137" s="4">
        <v>45688</v>
      </c>
      <c r="C137" s="4" t="str">
        <f t="shared" si="30"/>
        <v>Jan-2025</v>
      </c>
      <c r="D137" t="str">
        <f t="shared" si="31"/>
        <v>Q1-2025</v>
      </c>
      <c r="E137" s="4">
        <v>45705</v>
      </c>
      <c r="F137" s="12">
        <f t="shared" si="28"/>
        <v>45705</v>
      </c>
      <c r="G137" s="13">
        <f t="shared" si="29"/>
        <v>17</v>
      </c>
      <c r="H137" t="s">
        <v>649</v>
      </c>
      <c r="I137" t="s">
        <v>658</v>
      </c>
      <c r="J137" t="s">
        <v>683</v>
      </c>
      <c r="K137" t="s">
        <v>706</v>
      </c>
      <c r="L137" t="s">
        <v>707</v>
      </c>
      <c r="M137" t="s">
        <v>722</v>
      </c>
      <c r="N137" t="s">
        <v>727</v>
      </c>
      <c r="O137" t="s">
        <v>812</v>
      </c>
      <c r="P137" s="6">
        <v>378.26</v>
      </c>
      <c r="Q137" s="6">
        <v>541.55999999999995</v>
      </c>
      <c r="R137" s="10">
        <v>0.16300000000000001</v>
      </c>
      <c r="S137" s="10" t="b">
        <f t="shared" si="32"/>
        <v>0</v>
      </c>
      <c r="T137" s="8">
        <v>25</v>
      </c>
      <c r="U137">
        <f t="shared" si="33"/>
        <v>11332.142999999998</v>
      </c>
      <c r="V137">
        <f t="shared" si="34"/>
        <v>9456.5</v>
      </c>
      <c r="W137">
        <f t="shared" si="35"/>
        <v>1875.6429999999982</v>
      </c>
      <c r="X137" s="10">
        <f t="shared" si="36"/>
        <v>0.16551529573885526</v>
      </c>
      <c r="Y137" t="str">
        <f t="shared" si="37"/>
        <v>Low</v>
      </c>
      <c r="Z137" t="str">
        <f t="shared" si="38"/>
        <v>Not Met</v>
      </c>
      <c r="AA137" t="str">
        <f t="shared" si="39"/>
        <v>Low Discount</v>
      </c>
      <c r="AB137" s="10">
        <f>MIN(R137,ControlPanel!$B$5)</f>
        <v>0.16300000000000001</v>
      </c>
      <c r="AC137">
        <f>P137*(1+ControlPanel!$B$6)</f>
        <v>397.173</v>
      </c>
      <c r="AD137">
        <f>T137*(1+ControlPanel!$B$7)</f>
        <v>27.500000000000004</v>
      </c>
      <c r="AE137" s="6">
        <f t="shared" si="40"/>
        <v>12465.3573</v>
      </c>
      <c r="AF137">
        <f t="shared" si="41"/>
        <v>1543.0997999999981</v>
      </c>
    </row>
    <row r="138" spans="1:32" x14ac:dyDescent="0.3">
      <c r="A138" t="s">
        <v>641</v>
      </c>
      <c r="B138" s="4">
        <v>45141</v>
      </c>
      <c r="C138" s="4" t="str">
        <f t="shared" si="30"/>
        <v>Aug-2023</v>
      </c>
      <c r="D138" t="str">
        <f t="shared" si="31"/>
        <v>Q3-2023</v>
      </c>
      <c r="E138" s="4">
        <v>45168</v>
      </c>
      <c r="F138" s="12">
        <f t="shared" si="28"/>
        <v>45168</v>
      </c>
      <c r="G138" s="13">
        <f t="shared" si="29"/>
        <v>27</v>
      </c>
      <c r="H138" t="s">
        <v>647</v>
      </c>
      <c r="I138" t="s">
        <v>659</v>
      </c>
      <c r="J138" t="s">
        <v>685</v>
      </c>
      <c r="K138" t="s">
        <v>704</v>
      </c>
      <c r="L138" t="s">
        <v>710</v>
      </c>
      <c r="M138" t="s">
        <v>725</v>
      </c>
      <c r="N138" t="s">
        <v>732</v>
      </c>
      <c r="O138" t="s">
        <v>1359</v>
      </c>
      <c r="P138" s="6">
        <v>226.04</v>
      </c>
      <c r="Q138" s="6">
        <v>545.72</v>
      </c>
      <c r="R138" s="10">
        <v>0.151</v>
      </c>
      <c r="S138" s="10" t="b">
        <f t="shared" si="32"/>
        <v>0</v>
      </c>
      <c r="T138" s="8">
        <v>11</v>
      </c>
      <c r="U138">
        <f t="shared" si="33"/>
        <v>5096.4790800000001</v>
      </c>
      <c r="V138">
        <f t="shared" si="34"/>
        <v>2486.44</v>
      </c>
      <c r="W138">
        <f t="shared" si="35"/>
        <v>2610.03908</v>
      </c>
      <c r="X138" s="10">
        <f t="shared" si="36"/>
        <v>0.51212592831834014</v>
      </c>
      <c r="Y138" t="str">
        <f t="shared" si="37"/>
        <v>Low</v>
      </c>
      <c r="Z138" t="str">
        <f t="shared" si="38"/>
        <v>Not Met</v>
      </c>
      <c r="AA138" t="str">
        <f t="shared" si="39"/>
        <v>Low Discount</v>
      </c>
      <c r="AB138" s="10">
        <f>MIN(R138,ControlPanel!$B$5)</f>
        <v>0.151</v>
      </c>
      <c r="AC138">
        <f>P138*(1+ControlPanel!$B$6)</f>
        <v>237.34200000000001</v>
      </c>
      <c r="AD138">
        <f>T138*(1+ControlPanel!$B$7)</f>
        <v>12.100000000000001</v>
      </c>
      <c r="AE138" s="6">
        <f t="shared" si="40"/>
        <v>5606.1269880000009</v>
      </c>
      <c r="AF138">
        <f t="shared" si="41"/>
        <v>2734.2887880000003</v>
      </c>
    </row>
    <row r="139" spans="1:32" x14ac:dyDescent="0.3">
      <c r="A139" t="s">
        <v>88</v>
      </c>
      <c r="B139" s="4">
        <v>45641</v>
      </c>
      <c r="C139" s="4" t="str">
        <f t="shared" si="30"/>
        <v>Dec-2024</v>
      </c>
      <c r="D139" t="str">
        <f t="shared" si="31"/>
        <v>Q4-2024</v>
      </c>
      <c r="E139" s="4">
        <v>45646</v>
      </c>
      <c r="F139" s="12">
        <f t="shared" si="28"/>
        <v>45646</v>
      </c>
      <c r="G139" s="13">
        <f t="shared" si="29"/>
        <v>5</v>
      </c>
      <c r="H139" t="s">
        <v>647</v>
      </c>
      <c r="I139" t="s">
        <v>659</v>
      </c>
      <c r="J139" t="s">
        <v>676</v>
      </c>
      <c r="K139" t="s">
        <v>705</v>
      </c>
      <c r="L139" t="s">
        <v>711</v>
      </c>
      <c r="M139" t="s">
        <v>713</v>
      </c>
      <c r="N139" t="s">
        <v>729</v>
      </c>
      <c r="O139" t="s">
        <v>807</v>
      </c>
      <c r="P139" s="6">
        <v>717.55</v>
      </c>
      <c r="Q139" s="6">
        <v>546.42999999999995</v>
      </c>
      <c r="R139" s="10">
        <v>4.7E-2</v>
      </c>
      <c r="S139" s="10" t="b">
        <f t="shared" si="32"/>
        <v>0</v>
      </c>
      <c r="T139" s="8">
        <v>18</v>
      </c>
      <c r="U139">
        <f t="shared" si="33"/>
        <v>9373.4602199999972</v>
      </c>
      <c r="V139">
        <f t="shared" si="34"/>
        <v>12915.9</v>
      </c>
      <c r="W139">
        <f t="shared" si="35"/>
        <v>-3542.4397800000024</v>
      </c>
      <c r="X139" s="10">
        <f t="shared" si="36"/>
        <v>-0.37792231437026397</v>
      </c>
      <c r="Y139" t="str">
        <f t="shared" si="37"/>
        <v>Low</v>
      </c>
      <c r="Z139" t="str">
        <f t="shared" si="38"/>
        <v>Met</v>
      </c>
      <c r="AA139" t="str">
        <f t="shared" si="39"/>
        <v>Low Discount</v>
      </c>
      <c r="AB139" s="10">
        <f>MIN(R139,ControlPanel!$B$5)</f>
        <v>4.7E-2</v>
      </c>
      <c r="AC139">
        <f>P139*(1+ControlPanel!$B$6)</f>
        <v>753.42750000000001</v>
      </c>
      <c r="AD139">
        <f>T139*(1+ControlPanel!$B$7)</f>
        <v>19.8</v>
      </c>
      <c r="AE139" s="6">
        <f t="shared" si="40"/>
        <v>10310.806241999999</v>
      </c>
      <c r="AF139">
        <f t="shared" si="41"/>
        <v>-4607.0582580000028</v>
      </c>
    </row>
    <row r="140" spans="1:32" x14ac:dyDescent="0.3">
      <c r="A140" t="s">
        <v>27</v>
      </c>
      <c r="B140" s="4">
        <v>45722</v>
      </c>
      <c r="C140" s="4" t="str">
        <f t="shared" si="30"/>
        <v>Mar-2025</v>
      </c>
      <c r="D140" t="str">
        <f t="shared" si="31"/>
        <v>Q1-2025</v>
      </c>
      <c r="E140" s="4">
        <v>45747</v>
      </c>
      <c r="F140" s="12">
        <f t="shared" si="28"/>
        <v>45747</v>
      </c>
      <c r="G140" s="13">
        <f t="shared" si="29"/>
        <v>25</v>
      </c>
      <c r="H140" t="s">
        <v>648</v>
      </c>
      <c r="I140" t="s">
        <v>655</v>
      </c>
      <c r="J140" t="s">
        <v>672</v>
      </c>
      <c r="K140" t="s">
        <v>703</v>
      </c>
      <c r="L140" t="s">
        <v>708</v>
      </c>
      <c r="M140" t="s">
        <v>713</v>
      </c>
      <c r="N140" t="s">
        <v>727</v>
      </c>
      <c r="O140" t="s">
        <v>746</v>
      </c>
      <c r="P140" s="6">
        <v>331.57</v>
      </c>
      <c r="Q140" s="6">
        <v>548.4</v>
      </c>
      <c r="R140" s="10">
        <v>9.4E-2</v>
      </c>
      <c r="S140" s="10" t="b">
        <f t="shared" si="32"/>
        <v>0</v>
      </c>
      <c r="T140" s="8">
        <v>10</v>
      </c>
      <c r="U140">
        <f t="shared" si="33"/>
        <v>4968.5039999999999</v>
      </c>
      <c r="V140">
        <f t="shared" si="34"/>
        <v>3315.7</v>
      </c>
      <c r="W140">
        <f t="shared" si="35"/>
        <v>1652.8040000000001</v>
      </c>
      <c r="X140" s="10">
        <f t="shared" si="36"/>
        <v>0.33265626836568918</v>
      </c>
      <c r="Y140" t="str">
        <f t="shared" si="37"/>
        <v>Low</v>
      </c>
      <c r="Z140" t="str">
        <f t="shared" si="38"/>
        <v>Not Met</v>
      </c>
      <c r="AA140" t="str">
        <f t="shared" si="39"/>
        <v>Low Discount</v>
      </c>
      <c r="AB140" s="10">
        <f>MIN(R140,ControlPanel!$B$5)</f>
        <v>9.4E-2</v>
      </c>
      <c r="AC140">
        <f>P140*(1+ControlPanel!$B$6)</f>
        <v>348.14850000000001</v>
      </c>
      <c r="AD140">
        <f>T140*(1+ControlPanel!$B$7)</f>
        <v>11</v>
      </c>
      <c r="AE140" s="6">
        <f t="shared" si="40"/>
        <v>5465.3544000000002</v>
      </c>
      <c r="AF140">
        <f t="shared" si="41"/>
        <v>1635.7209000000003</v>
      </c>
    </row>
    <row r="141" spans="1:32" x14ac:dyDescent="0.3">
      <c r="A141" t="s">
        <v>61</v>
      </c>
      <c r="B141" s="4">
        <v>45100</v>
      </c>
      <c r="C141" s="4" t="str">
        <f t="shared" si="30"/>
        <v>Jun-2023</v>
      </c>
      <c r="D141" t="str">
        <f t="shared" si="31"/>
        <v>Q2-2023</v>
      </c>
      <c r="E141" s="4">
        <v>45110</v>
      </c>
      <c r="F141" s="12">
        <f t="shared" si="28"/>
        <v>45110</v>
      </c>
      <c r="G141" s="13">
        <f t="shared" si="29"/>
        <v>10</v>
      </c>
      <c r="H141" t="s">
        <v>646</v>
      </c>
      <c r="I141" t="s">
        <v>651</v>
      </c>
      <c r="J141" t="s">
        <v>669</v>
      </c>
      <c r="K141" t="s">
        <v>704</v>
      </c>
      <c r="L141" t="s">
        <v>708</v>
      </c>
      <c r="M141" t="s">
        <v>713</v>
      </c>
      <c r="N141" t="s">
        <v>728</v>
      </c>
      <c r="O141" t="s">
        <v>780</v>
      </c>
      <c r="P141" s="6">
        <v>337.75</v>
      </c>
      <c r="Q141" s="6">
        <v>548.89</v>
      </c>
      <c r="R141" s="10">
        <v>0</v>
      </c>
      <c r="S141" s="10" t="b">
        <f t="shared" si="32"/>
        <v>0</v>
      </c>
      <c r="T141" s="8">
        <v>13</v>
      </c>
      <c r="U141">
        <f t="shared" si="33"/>
        <v>7135.57</v>
      </c>
      <c r="V141">
        <f t="shared" si="34"/>
        <v>4390.75</v>
      </c>
      <c r="W141">
        <f t="shared" si="35"/>
        <v>2744.8199999999997</v>
      </c>
      <c r="X141" s="10">
        <f t="shared" si="36"/>
        <v>0.38466723751571352</v>
      </c>
      <c r="Y141" t="str">
        <f t="shared" si="37"/>
        <v>Low</v>
      </c>
      <c r="Z141" t="str">
        <f t="shared" si="38"/>
        <v>Not Met</v>
      </c>
      <c r="AA141" t="str">
        <f t="shared" si="39"/>
        <v>Low Discount</v>
      </c>
      <c r="AB141" s="10">
        <f>MIN(R141,ControlPanel!$B$5)</f>
        <v>0</v>
      </c>
      <c r="AC141">
        <f>P141*(1+ControlPanel!$B$6)</f>
        <v>354.63749999999999</v>
      </c>
      <c r="AD141">
        <f>T141*(1+ControlPanel!$B$7)</f>
        <v>14.3</v>
      </c>
      <c r="AE141" s="6">
        <f t="shared" si="40"/>
        <v>7849.1270000000004</v>
      </c>
      <c r="AF141">
        <f t="shared" si="41"/>
        <v>2777.8107500000006</v>
      </c>
    </row>
    <row r="142" spans="1:32" x14ac:dyDescent="0.3">
      <c r="A142" t="s">
        <v>321</v>
      </c>
      <c r="B142" s="4">
        <v>45795</v>
      </c>
      <c r="C142" s="4" t="str">
        <f t="shared" si="30"/>
        <v>May-2025</v>
      </c>
      <c r="D142" t="str">
        <f t="shared" si="31"/>
        <v>Q2-2025</v>
      </c>
      <c r="E142" s="4">
        <v>45817</v>
      </c>
      <c r="F142" s="12">
        <f t="shared" si="28"/>
        <v>45817</v>
      </c>
      <c r="G142" s="13">
        <f t="shared" si="29"/>
        <v>22</v>
      </c>
      <c r="H142" t="s">
        <v>648</v>
      </c>
      <c r="I142" t="s">
        <v>660</v>
      </c>
      <c r="J142" t="s">
        <v>700</v>
      </c>
      <c r="K142" t="s">
        <v>704</v>
      </c>
      <c r="L142" t="s">
        <v>707</v>
      </c>
      <c r="M142" t="s">
        <v>722</v>
      </c>
      <c r="N142" t="s">
        <v>729</v>
      </c>
      <c r="O142" t="s">
        <v>1041</v>
      </c>
      <c r="P142" s="6">
        <v>382.96</v>
      </c>
      <c r="Q142" s="6">
        <v>552.84</v>
      </c>
      <c r="R142" s="10">
        <v>0.17599999999999999</v>
      </c>
      <c r="S142" s="10" t="b">
        <f t="shared" si="32"/>
        <v>0</v>
      </c>
      <c r="T142" s="8">
        <v>8</v>
      </c>
      <c r="U142">
        <f t="shared" si="33"/>
        <v>3644.3212800000006</v>
      </c>
      <c r="V142">
        <f t="shared" si="34"/>
        <v>3063.68</v>
      </c>
      <c r="W142">
        <f t="shared" si="35"/>
        <v>580.64128000000073</v>
      </c>
      <c r="X142" s="10">
        <f t="shared" si="36"/>
        <v>0.15932768693763483</v>
      </c>
      <c r="Y142" t="str">
        <f t="shared" si="37"/>
        <v>Low</v>
      </c>
      <c r="Z142" t="str">
        <f t="shared" si="38"/>
        <v>Not Met</v>
      </c>
      <c r="AA142" t="str">
        <f t="shared" si="39"/>
        <v>Low Discount</v>
      </c>
      <c r="AB142" s="10">
        <f>MIN(R142,ControlPanel!$B$5)</f>
        <v>0.17599999999999999</v>
      </c>
      <c r="AC142">
        <f>P142*(1+ControlPanel!$B$6)</f>
        <v>402.108</v>
      </c>
      <c r="AD142">
        <f>T142*(1+ControlPanel!$B$7)</f>
        <v>8.8000000000000007</v>
      </c>
      <c r="AE142" s="6">
        <f t="shared" si="40"/>
        <v>4008.7534080000009</v>
      </c>
      <c r="AF142">
        <f t="shared" si="41"/>
        <v>470.20300800000041</v>
      </c>
    </row>
    <row r="143" spans="1:32" x14ac:dyDescent="0.3">
      <c r="A143" t="s">
        <v>405</v>
      </c>
      <c r="B143" s="4">
        <v>45514</v>
      </c>
      <c r="C143" s="4" t="str">
        <f t="shared" si="30"/>
        <v>Aug-2024</v>
      </c>
      <c r="D143" t="str">
        <f t="shared" si="31"/>
        <v>Q3-2024</v>
      </c>
      <c r="E143" s="4">
        <v>45542</v>
      </c>
      <c r="F143" s="12">
        <f t="shared" si="28"/>
        <v>45542</v>
      </c>
      <c r="G143" s="13">
        <f t="shared" si="29"/>
        <v>28</v>
      </c>
      <c r="H143" t="s">
        <v>649</v>
      </c>
      <c r="I143" t="s">
        <v>657</v>
      </c>
      <c r="J143" t="s">
        <v>673</v>
      </c>
      <c r="K143" t="s">
        <v>703</v>
      </c>
      <c r="L143" t="s">
        <v>711</v>
      </c>
      <c r="M143" t="s">
        <v>721</v>
      </c>
      <c r="N143" t="s">
        <v>728</v>
      </c>
      <c r="O143" t="s">
        <v>1124</v>
      </c>
      <c r="P143" s="6">
        <v>229.96</v>
      </c>
      <c r="Q143" s="6">
        <v>564.26</v>
      </c>
      <c r="R143" s="10">
        <v>0.105</v>
      </c>
      <c r="S143" s="10" t="b">
        <f t="shared" si="32"/>
        <v>0</v>
      </c>
      <c r="T143" s="8">
        <v>5</v>
      </c>
      <c r="U143">
        <f t="shared" si="33"/>
        <v>2525.0635000000002</v>
      </c>
      <c r="V143">
        <f t="shared" si="34"/>
        <v>1149.8</v>
      </c>
      <c r="W143">
        <f t="shared" si="35"/>
        <v>1375.2635000000002</v>
      </c>
      <c r="X143" s="10">
        <f t="shared" si="36"/>
        <v>0.54464511486542821</v>
      </c>
      <c r="Y143" t="str">
        <f t="shared" si="37"/>
        <v>Low</v>
      </c>
      <c r="Z143" t="str">
        <f t="shared" si="38"/>
        <v>Not Met</v>
      </c>
      <c r="AA143" t="str">
        <f t="shared" si="39"/>
        <v>Low Discount</v>
      </c>
      <c r="AB143" s="10">
        <f>MIN(R143,ControlPanel!$B$5)</f>
        <v>0.105</v>
      </c>
      <c r="AC143">
        <f>P143*(1+ControlPanel!$B$6)</f>
        <v>241.45800000000003</v>
      </c>
      <c r="AD143">
        <f>T143*(1+ControlPanel!$B$7)</f>
        <v>5.5</v>
      </c>
      <c r="AE143" s="6">
        <f t="shared" si="40"/>
        <v>2777.5698499999999</v>
      </c>
      <c r="AF143">
        <f t="shared" si="41"/>
        <v>1449.5508499999996</v>
      </c>
    </row>
    <row r="144" spans="1:32" x14ac:dyDescent="0.3">
      <c r="A144" t="s">
        <v>165</v>
      </c>
      <c r="B144" s="4">
        <v>45763</v>
      </c>
      <c r="C144" s="4" t="str">
        <f t="shared" si="30"/>
        <v>Apr-2025</v>
      </c>
      <c r="D144" t="str">
        <f t="shared" si="31"/>
        <v>Q2-2025</v>
      </c>
      <c r="E144" s="4">
        <v>45793</v>
      </c>
      <c r="F144" s="12">
        <f t="shared" si="28"/>
        <v>45793</v>
      </c>
      <c r="G144" s="13">
        <f t="shared" si="29"/>
        <v>30</v>
      </c>
      <c r="H144" t="s">
        <v>648</v>
      </c>
      <c r="I144" t="s">
        <v>653</v>
      </c>
      <c r="J144" t="s">
        <v>681</v>
      </c>
      <c r="K144" t="s">
        <v>706</v>
      </c>
      <c r="L144" t="s">
        <v>710</v>
      </c>
      <c r="M144" t="s">
        <v>723</v>
      </c>
      <c r="N144" t="s">
        <v>728</v>
      </c>
      <c r="O144" t="s">
        <v>884</v>
      </c>
      <c r="P144" s="6">
        <v>763.32</v>
      </c>
      <c r="Q144" s="6">
        <v>568.29</v>
      </c>
      <c r="R144" s="10">
        <v>0.13100000000000001</v>
      </c>
      <c r="S144" s="10" t="b">
        <f t="shared" si="32"/>
        <v>0</v>
      </c>
      <c r="T144" s="8">
        <v>16</v>
      </c>
      <c r="U144">
        <f t="shared" si="33"/>
        <v>7901.5041599999995</v>
      </c>
      <c r="V144">
        <f t="shared" si="34"/>
        <v>12213.12</v>
      </c>
      <c r="W144">
        <f t="shared" si="35"/>
        <v>-4311.6158400000013</v>
      </c>
      <c r="X144" s="10">
        <f t="shared" si="36"/>
        <v>-0.54567026134426555</v>
      </c>
      <c r="Y144" t="str">
        <f t="shared" si="37"/>
        <v>Low</v>
      </c>
      <c r="Z144" t="str">
        <f t="shared" si="38"/>
        <v>Not Met</v>
      </c>
      <c r="AA144" t="str">
        <f t="shared" si="39"/>
        <v>Low Discount</v>
      </c>
      <c r="AB144" s="10">
        <f>MIN(R144,ControlPanel!$B$5)</f>
        <v>0.13100000000000001</v>
      </c>
      <c r="AC144">
        <f>P144*(1+ControlPanel!$B$6)</f>
        <v>801.4860000000001</v>
      </c>
      <c r="AD144">
        <f>T144*(1+ControlPanel!$B$7)</f>
        <v>17.600000000000001</v>
      </c>
      <c r="AE144" s="6">
        <f t="shared" si="40"/>
        <v>8691.6545760000008</v>
      </c>
      <c r="AF144">
        <f t="shared" si="41"/>
        <v>-5414.4990240000025</v>
      </c>
    </row>
    <row r="145" spans="1:32" x14ac:dyDescent="0.3">
      <c r="A145" t="s">
        <v>455</v>
      </c>
      <c r="B145" s="4">
        <v>45374</v>
      </c>
      <c r="C145" s="4" t="str">
        <f t="shared" si="30"/>
        <v>Mar-2024</v>
      </c>
      <c r="D145" t="str">
        <f t="shared" si="31"/>
        <v>Q1-2024</v>
      </c>
      <c r="E145" s="4">
        <v>45377</v>
      </c>
      <c r="F145" s="12">
        <f t="shared" si="28"/>
        <v>45377</v>
      </c>
      <c r="G145" s="13">
        <f t="shared" si="29"/>
        <v>3</v>
      </c>
      <c r="H145" t="s">
        <v>647</v>
      </c>
      <c r="I145" t="s">
        <v>654</v>
      </c>
      <c r="J145" t="s">
        <v>668</v>
      </c>
      <c r="K145" t="s">
        <v>702</v>
      </c>
      <c r="L145" t="s">
        <v>711</v>
      </c>
      <c r="M145" t="s">
        <v>715</v>
      </c>
      <c r="N145" t="s">
        <v>730</v>
      </c>
      <c r="O145" t="s">
        <v>1174</v>
      </c>
      <c r="P145" s="6">
        <v>382.21</v>
      </c>
      <c r="Q145" s="6">
        <v>571.89</v>
      </c>
      <c r="R145" s="10">
        <v>0.14799999999999999</v>
      </c>
      <c r="S145" s="10" t="b">
        <f t="shared" si="32"/>
        <v>0</v>
      </c>
      <c r="T145" s="8">
        <v>26</v>
      </c>
      <c r="U145">
        <f t="shared" si="33"/>
        <v>12668.50728</v>
      </c>
      <c r="V145">
        <f t="shared" si="34"/>
        <v>9937.4599999999991</v>
      </c>
      <c r="W145">
        <f t="shared" si="35"/>
        <v>2731.0472800000007</v>
      </c>
      <c r="X145" s="10">
        <f t="shared" si="36"/>
        <v>0.2155776698578809</v>
      </c>
      <c r="Y145" t="str">
        <f t="shared" si="37"/>
        <v>Low</v>
      </c>
      <c r="Z145" t="str">
        <f t="shared" si="38"/>
        <v>Met</v>
      </c>
      <c r="AA145" t="str">
        <f t="shared" si="39"/>
        <v>Low Discount</v>
      </c>
      <c r="AB145" s="10">
        <f>MIN(R145,ControlPanel!$B$5)</f>
        <v>0.14799999999999999</v>
      </c>
      <c r="AC145">
        <f>P145*(1+ControlPanel!$B$6)</f>
        <v>401.32049999999998</v>
      </c>
      <c r="AD145">
        <f>T145*(1+ControlPanel!$B$7)</f>
        <v>28.6</v>
      </c>
      <c r="AE145" s="6">
        <f t="shared" si="40"/>
        <v>13935.358007999999</v>
      </c>
      <c r="AF145">
        <f t="shared" si="41"/>
        <v>2457.5917079999999</v>
      </c>
    </row>
    <row r="146" spans="1:32" x14ac:dyDescent="0.3">
      <c r="A146" t="s">
        <v>616</v>
      </c>
      <c r="B146" s="4">
        <v>45880</v>
      </c>
      <c r="C146" s="4" t="str">
        <f t="shared" si="30"/>
        <v>Aug-2025</v>
      </c>
      <c r="D146" t="str">
        <f t="shared" si="31"/>
        <v>Q3-2025</v>
      </c>
      <c r="E146" s="4">
        <v>45897</v>
      </c>
      <c r="F146" s="12">
        <f t="shared" si="28"/>
        <v>45897</v>
      </c>
      <c r="G146" s="13">
        <f t="shared" si="29"/>
        <v>17</v>
      </c>
      <c r="H146" t="s">
        <v>649</v>
      </c>
      <c r="I146" t="s">
        <v>657</v>
      </c>
      <c r="J146" t="s">
        <v>690</v>
      </c>
      <c r="K146" t="s">
        <v>702</v>
      </c>
      <c r="L146" t="s">
        <v>708</v>
      </c>
      <c r="M146" t="s">
        <v>721</v>
      </c>
      <c r="N146" t="s">
        <v>729</v>
      </c>
      <c r="O146" t="s">
        <v>1334</v>
      </c>
      <c r="P146" s="6">
        <v>416.16</v>
      </c>
      <c r="Q146" s="6">
        <v>571.9</v>
      </c>
      <c r="R146" s="10">
        <v>7.0999999999999994E-2</v>
      </c>
      <c r="S146" s="10" t="b">
        <f t="shared" si="32"/>
        <v>0</v>
      </c>
      <c r="T146" s="8">
        <v>2</v>
      </c>
      <c r="U146">
        <f t="shared" si="33"/>
        <v>1062.5902000000001</v>
      </c>
      <c r="V146">
        <f t="shared" si="34"/>
        <v>832.32</v>
      </c>
      <c r="W146">
        <f t="shared" si="35"/>
        <v>230.27020000000005</v>
      </c>
      <c r="X146" s="10">
        <f t="shared" si="36"/>
        <v>0.21670649701079497</v>
      </c>
      <c r="Y146" t="str">
        <f t="shared" si="37"/>
        <v>Low</v>
      </c>
      <c r="Z146" t="str">
        <f t="shared" si="38"/>
        <v>Not Met</v>
      </c>
      <c r="AA146" t="str">
        <f t="shared" si="39"/>
        <v>Low Discount</v>
      </c>
      <c r="AB146" s="10">
        <f>MIN(R146,ControlPanel!$B$5)</f>
        <v>7.0999999999999994E-2</v>
      </c>
      <c r="AC146">
        <f>P146*(1+ControlPanel!$B$6)</f>
        <v>436.96800000000002</v>
      </c>
      <c r="AD146">
        <f>T146*(1+ControlPanel!$B$7)</f>
        <v>2.2000000000000002</v>
      </c>
      <c r="AE146" s="6">
        <f t="shared" si="40"/>
        <v>1168.8492200000003</v>
      </c>
      <c r="AF146">
        <f t="shared" si="41"/>
        <v>207.51962000000015</v>
      </c>
    </row>
    <row r="147" spans="1:32" x14ac:dyDescent="0.3">
      <c r="A147" t="s">
        <v>149</v>
      </c>
      <c r="B147" s="4">
        <v>45647</v>
      </c>
      <c r="C147" s="4" t="str">
        <f t="shared" si="30"/>
        <v>Dec-2024</v>
      </c>
      <c r="D147" t="str">
        <f t="shared" si="31"/>
        <v>Q4-2024</v>
      </c>
      <c r="E147" s="4">
        <v>45652</v>
      </c>
      <c r="F147" s="12">
        <f t="shared" si="28"/>
        <v>45652</v>
      </c>
      <c r="G147" s="13">
        <f t="shared" si="29"/>
        <v>5</v>
      </c>
      <c r="H147" t="s">
        <v>648</v>
      </c>
      <c r="I147" t="s">
        <v>660</v>
      </c>
      <c r="J147" t="s">
        <v>686</v>
      </c>
      <c r="K147" t="s">
        <v>704</v>
      </c>
      <c r="L147" t="s">
        <v>709</v>
      </c>
      <c r="M147" t="s">
        <v>724</v>
      </c>
      <c r="N147" t="s">
        <v>728</v>
      </c>
      <c r="O147" t="s">
        <v>868</v>
      </c>
      <c r="P147" s="6">
        <v>699.57</v>
      </c>
      <c r="Q147" s="6">
        <v>572.71</v>
      </c>
      <c r="R147" s="10">
        <v>0.192</v>
      </c>
      <c r="S147" s="10" t="b">
        <f t="shared" si="32"/>
        <v>0</v>
      </c>
      <c r="T147" s="8">
        <v>26</v>
      </c>
      <c r="U147">
        <f t="shared" si="33"/>
        <v>12031.491680000001</v>
      </c>
      <c r="V147">
        <f t="shared" si="34"/>
        <v>18188.82</v>
      </c>
      <c r="W147">
        <f t="shared" si="35"/>
        <v>-6157.3283199999987</v>
      </c>
      <c r="X147" s="10">
        <f t="shared" si="36"/>
        <v>-0.51176765805651114</v>
      </c>
      <c r="Y147" t="str">
        <f t="shared" si="37"/>
        <v>Low</v>
      </c>
      <c r="Z147" t="str">
        <f t="shared" si="38"/>
        <v>Met</v>
      </c>
      <c r="AA147" t="str">
        <f t="shared" si="39"/>
        <v>Low Discount</v>
      </c>
      <c r="AB147" s="10">
        <f>MIN(R147,ControlPanel!$B$5)</f>
        <v>0.192</v>
      </c>
      <c r="AC147">
        <f>P147*(1+ControlPanel!$B$6)</f>
        <v>734.5485000000001</v>
      </c>
      <c r="AD147">
        <f>T147*(1+ControlPanel!$B$7)</f>
        <v>28.6</v>
      </c>
      <c r="AE147" s="6">
        <f t="shared" si="40"/>
        <v>13234.640848000003</v>
      </c>
      <c r="AF147">
        <f t="shared" si="41"/>
        <v>-7773.4462520000016</v>
      </c>
    </row>
    <row r="148" spans="1:32" x14ac:dyDescent="0.3">
      <c r="A148" t="s">
        <v>313</v>
      </c>
      <c r="B148" s="4">
        <v>45679</v>
      </c>
      <c r="C148" s="4" t="str">
        <f t="shared" si="30"/>
        <v>Jan-2025</v>
      </c>
      <c r="D148" t="str">
        <f t="shared" si="31"/>
        <v>Q1-2025</v>
      </c>
      <c r="E148" s="4">
        <v>45679</v>
      </c>
      <c r="F148" s="12">
        <f t="shared" si="28"/>
        <v>45679</v>
      </c>
      <c r="G148" s="13">
        <f t="shared" si="29"/>
        <v>0</v>
      </c>
      <c r="H148" t="s">
        <v>649</v>
      </c>
      <c r="I148" t="s">
        <v>657</v>
      </c>
      <c r="J148" t="s">
        <v>679</v>
      </c>
      <c r="K148" t="s">
        <v>705</v>
      </c>
      <c r="L148" t="s">
        <v>708</v>
      </c>
      <c r="M148" t="s">
        <v>717</v>
      </c>
      <c r="N148" t="s">
        <v>733</v>
      </c>
      <c r="O148" t="s">
        <v>1033</v>
      </c>
      <c r="P148" s="6">
        <v>591.72</v>
      </c>
      <c r="Q148" s="6">
        <v>577.24</v>
      </c>
      <c r="R148" s="10">
        <v>0</v>
      </c>
      <c r="S148" s="10" t="b">
        <f t="shared" si="32"/>
        <v>0</v>
      </c>
      <c r="T148" s="8">
        <v>22</v>
      </c>
      <c r="U148">
        <f t="shared" si="33"/>
        <v>12699.28</v>
      </c>
      <c r="V148">
        <f t="shared" si="34"/>
        <v>13017.84</v>
      </c>
      <c r="W148">
        <f t="shared" si="35"/>
        <v>-318.55999999999949</v>
      </c>
      <c r="X148" s="10">
        <f t="shared" si="36"/>
        <v>-2.5084886702238195E-2</v>
      </c>
      <c r="Y148" t="str">
        <f t="shared" si="37"/>
        <v>Low</v>
      </c>
      <c r="Z148" t="str">
        <f t="shared" si="38"/>
        <v>Met</v>
      </c>
      <c r="AA148" t="str">
        <f t="shared" si="39"/>
        <v>Low Discount</v>
      </c>
      <c r="AB148" s="10">
        <f>MIN(R148,ControlPanel!$B$5)</f>
        <v>0</v>
      </c>
      <c r="AC148">
        <f>P148*(1+ControlPanel!$B$6)</f>
        <v>621.30600000000004</v>
      </c>
      <c r="AD148">
        <f>T148*(1+ControlPanel!$B$7)</f>
        <v>24.200000000000003</v>
      </c>
      <c r="AE148" s="6">
        <f t="shared" si="40"/>
        <v>13969.208000000002</v>
      </c>
      <c r="AF148">
        <f t="shared" si="41"/>
        <v>-1066.3972000000012</v>
      </c>
    </row>
    <row r="149" spans="1:32" x14ac:dyDescent="0.3">
      <c r="A149" t="s">
        <v>480</v>
      </c>
      <c r="B149" s="4">
        <v>45466</v>
      </c>
      <c r="C149" s="4" t="str">
        <f t="shared" si="30"/>
        <v>Jun-2024</v>
      </c>
      <c r="D149" t="str">
        <f t="shared" si="31"/>
        <v>Q2-2024</v>
      </c>
      <c r="E149" s="4">
        <v>45471</v>
      </c>
      <c r="F149" s="12">
        <f t="shared" si="28"/>
        <v>45471</v>
      </c>
      <c r="G149" s="13">
        <f t="shared" si="29"/>
        <v>5</v>
      </c>
      <c r="H149" t="s">
        <v>646</v>
      </c>
      <c r="I149" t="s">
        <v>651</v>
      </c>
      <c r="J149" t="s">
        <v>663</v>
      </c>
      <c r="K149" t="s">
        <v>703</v>
      </c>
      <c r="L149" t="s">
        <v>711</v>
      </c>
      <c r="M149" t="s">
        <v>724</v>
      </c>
      <c r="N149" t="s">
        <v>733</v>
      </c>
      <c r="O149" t="s">
        <v>1199</v>
      </c>
      <c r="P149" s="6">
        <v>242.31</v>
      </c>
      <c r="Q149" s="6">
        <v>587.95000000000005</v>
      </c>
      <c r="R149" s="10">
        <v>0.22900000000000001</v>
      </c>
      <c r="S149" s="10" t="b">
        <f t="shared" si="32"/>
        <v>0</v>
      </c>
      <c r="T149" s="8">
        <v>6</v>
      </c>
      <c r="U149">
        <f t="shared" si="33"/>
        <v>2719.8567000000003</v>
      </c>
      <c r="V149">
        <f t="shared" si="34"/>
        <v>1453.8600000000001</v>
      </c>
      <c r="W149">
        <f t="shared" si="35"/>
        <v>1265.9967000000001</v>
      </c>
      <c r="X149" s="10">
        <f t="shared" si="36"/>
        <v>0.46546448568411714</v>
      </c>
      <c r="Y149" t="str">
        <f t="shared" si="37"/>
        <v>Low</v>
      </c>
      <c r="Z149" t="str">
        <f t="shared" si="38"/>
        <v>Met</v>
      </c>
      <c r="AA149" t="str">
        <f t="shared" si="39"/>
        <v>High Discount</v>
      </c>
      <c r="AB149" s="10">
        <f>MIN(R149,ControlPanel!$B$5)</f>
        <v>0.2</v>
      </c>
      <c r="AC149">
        <f>P149*(1+ControlPanel!$B$6)</f>
        <v>254.4255</v>
      </c>
      <c r="AD149">
        <f>T149*(1+ControlPanel!$B$7)</f>
        <v>6.6000000000000005</v>
      </c>
      <c r="AE149" s="6">
        <f t="shared" si="40"/>
        <v>3104.3760000000007</v>
      </c>
      <c r="AF149">
        <f t="shared" si="41"/>
        <v>1425.1677000000004</v>
      </c>
    </row>
    <row r="150" spans="1:32" x14ac:dyDescent="0.3">
      <c r="A150" t="s">
        <v>20</v>
      </c>
      <c r="B150" s="4">
        <v>44928</v>
      </c>
      <c r="C150" s="4" t="str">
        <f t="shared" si="30"/>
        <v>Jan-2023</v>
      </c>
      <c r="D150" t="str">
        <f t="shared" si="31"/>
        <v>Q1-2023</v>
      </c>
      <c r="E150" s="4">
        <v>44931</v>
      </c>
      <c r="F150" s="12">
        <f t="shared" si="28"/>
        <v>44931</v>
      </c>
      <c r="G150" s="13">
        <f t="shared" si="29"/>
        <v>3</v>
      </c>
      <c r="H150" t="s">
        <v>648</v>
      </c>
      <c r="I150" t="s">
        <v>653</v>
      </c>
      <c r="J150" t="s">
        <v>667</v>
      </c>
      <c r="K150" t="s">
        <v>701</v>
      </c>
      <c r="L150" t="s">
        <v>710</v>
      </c>
      <c r="M150" t="s">
        <v>717</v>
      </c>
      <c r="N150" t="s">
        <v>731</v>
      </c>
      <c r="O150" t="s">
        <v>739</v>
      </c>
      <c r="P150" s="6">
        <v>315.87</v>
      </c>
      <c r="Q150" s="6">
        <v>591.67999999999995</v>
      </c>
      <c r="R150" s="10">
        <v>0</v>
      </c>
      <c r="S150" s="10" t="b">
        <f t="shared" si="32"/>
        <v>0</v>
      </c>
      <c r="T150" s="8">
        <v>7</v>
      </c>
      <c r="U150">
        <f t="shared" si="33"/>
        <v>4141.7599999999993</v>
      </c>
      <c r="V150">
        <f t="shared" si="34"/>
        <v>2211.09</v>
      </c>
      <c r="W150">
        <f t="shared" si="35"/>
        <v>1930.6699999999992</v>
      </c>
      <c r="X150" s="10">
        <f t="shared" si="36"/>
        <v>0.46614724175229844</v>
      </c>
      <c r="Y150" t="str">
        <f t="shared" si="37"/>
        <v>Low</v>
      </c>
      <c r="Z150" t="str">
        <f t="shared" si="38"/>
        <v>Met</v>
      </c>
      <c r="AA150" t="str">
        <f t="shared" si="39"/>
        <v>Low Discount</v>
      </c>
      <c r="AB150" s="10">
        <f>MIN(R150,ControlPanel!$B$5)</f>
        <v>0</v>
      </c>
      <c r="AC150">
        <f>P150*(1+ControlPanel!$B$6)</f>
        <v>331.6635</v>
      </c>
      <c r="AD150">
        <f>T150*(1+ControlPanel!$B$7)</f>
        <v>7.7000000000000011</v>
      </c>
      <c r="AE150" s="6">
        <f t="shared" si="40"/>
        <v>4555.9360000000006</v>
      </c>
      <c r="AF150">
        <f t="shared" si="41"/>
        <v>2002.1270500000001</v>
      </c>
    </row>
    <row r="151" spans="1:32" x14ac:dyDescent="0.3">
      <c r="A151" t="s">
        <v>400</v>
      </c>
      <c r="B151" s="4">
        <v>45789</v>
      </c>
      <c r="C151" s="4" t="str">
        <f t="shared" si="30"/>
        <v>May-2025</v>
      </c>
      <c r="D151" t="str">
        <f t="shared" si="31"/>
        <v>Q2-2025</v>
      </c>
      <c r="E151" s="4">
        <v>45803</v>
      </c>
      <c r="F151" s="12">
        <f t="shared" si="28"/>
        <v>45803</v>
      </c>
      <c r="G151" s="13">
        <f t="shared" si="29"/>
        <v>14</v>
      </c>
      <c r="H151" t="s">
        <v>647</v>
      </c>
      <c r="I151" t="s">
        <v>654</v>
      </c>
      <c r="J151" t="s">
        <v>696</v>
      </c>
      <c r="K151" t="s">
        <v>701</v>
      </c>
      <c r="L151" t="s">
        <v>709</v>
      </c>
      <c r="M151" t="s">
        <v>715</v>
      </c>
      <c r="N151" t="s">
        <v>728</v>
      </c>
      <c r="O151" t="s">
        <v>1119</v>
      </c>
      <c r="P151" s="6">
        <v>320.12</v>
      </c>
      <c r="Q151" s="6">
        <v>594.41999999999996</v>
      </c>
      <c r="R151" s="10">
        <v>0.104</v>
      </c>
      <c r="S151" s="10" t="b">
        <f t="shared" si="32"/>
        <v>0</v>
      </c>
      <c r="T151" s="8">
        <v>18</v>
      </c>
      <c r="U151">
        <f t="shared" si="33"/>
        <v>9586.8057599999993</v>
      </c>
      <c r="V151">
        <f t="shared" si="34"/>
        <v>5762.16</v>
      </c>
      <c r="W151">
        <f t="shared" si="35"/>
        <v>3824.6457599999994</v>
      </c>
      <c r="X151" s="10">
        <f t="shared" si="36"/>
        <v>0.39894891538931104</v>
      </c>
      <c r="Y151" t="str">
        <f t="shared" si="37"/>
        <v>Low</v>
      </c>
      <c r="Z151" t="str">
        <f t="shared" si="38"/>
        <v>Not Met</v>
      </c>
      <c r="AA151" t="str">
        <f t="shared" si="39"/>
        <v>Low Discount</v>
      </c>
      <c r="AB151" s="10">
        <f>MIN(R151,ControlPanel!$B$5)</f>
        <v>0.104</v>
      </c>
      <c r="AC151">
        <f>P151*(1+ControlPanel!$B$6)</f>
        <v>336.12600000000003</v>
      </c>
      <c r="AD151">
        <f>T151*(1+ControlPanel!$B$7)</f>
        <v>19.8</v>
      </c>
      <c r="AE151" s="6">
        <f t="shared" si="40"/>
        <v>10545.486336</v>
      </c>
      <c r="AF151">
        <f t="shared" si="41"/>
        <v>3890.1915359999994</v>
      </c>
    </row>
    <row r="152" spans="1:32" x14ac:dyDescent="0.3">
      <c r="A152" t="s">
        <v>604</v>
      </c>
      <c r="B152" s="4">
        <v>45019</v>
      </c>
      <c r="C152" s="4" t="str">
        <f t="shared" si="30"/>
        <v>Apr-2023</v>
      </c>
      <c r="D152" t="str">
        <f t="shared" si="31"/>
        <v>Q2-2023</v>
      </c>
      <c r="E152" s="4">
        <v>45032</v>
      </c>
      <c r="F152" s="12">
        <f t="shared" si="28"/>
        <v>45032</v>
      </c>
      <c r="G152" s="13">
        <f t="shared" si="29"/>
        <v>13</v>
      </c>
      <c r="H152" t="s">
        <v>649</v>
      </c>
      <c r="I152" t="s">
        <v>657</v>
      </c>
      <c r="J152" t="s">
        <v>673</v>
      </c>
      <c r="K152" t="s">
        <v>703</v>
      </c>
      <c r="L152" t="s">
        <v>709</v>
      </c>
      <c r="M152" t="s">
        <v>724</v>
      </c>
      <c r="N152" t="s">
        <v>733</v>
      </c>
      <c r="O152" t="s">
        <v>1322</v>
      </c>
      <c r="P152" s="6">
        <v>790.54</v>
      </c>
      <c r="Q152" s="6">
        <v>601.49</v>
      </c>
      <c r="R152" s="10">
        <v>0</v>
      </c>
      <c r="S152" s="10" t="b">
        <f t="shared" si="32"/>
        <v>0</v>
      </c>
      <c r="T152" s="8">
        <v>15</v>
      </c>
      <c r="U152">
        <f t="shared" si="33"/>
        <v>9022.35</v>
      </c>
      <c r="V152">
        <f t="shared" si="34"/>
        <v>11858.099999999999</v>
      </c>
      <c r="W152">
        <f t="shared" si="35"/>
        <v>-2835.7499999999982</v>
      </c>
      <c r="X152" s="10">
        <f t="shared" si="36"/>
        <v>-0.31430281467688553</v>
      </c>
      <c r="Y152" t="str">
        <f t="shared" si="37"/>
        <v>Low</v>
      </c>
      <c r="Z152" t="str">
        <f t="shared" si="38"/>
        <v>Not Met</v>
      </c>
      <c r="AA152" t="str">
        <f t="shared" si="39"/>
        <v>Low Discount</v>
      </c>
      <c r="AB152" s="10">
        <f>MIN(R152,ControlPanel!$B$5)</f>
        <v>0</v>
      </c>
      <c r="AC152">
        <f>P152*(1+ControlPanel!$B$6)</f>
        <v>830.06700000000001</v>
      </c>
      <c r="AD152">
        <f>T152*(1+ControlPanel!$B$7)</f>
        <v>16.5</v>
      </c>
      <c r="AE152" s="6">
        <f t="shared" si="40"/>
        <v>9924.5850000000009</v>
      </c>
      <c r="AF152">
        <f t="shared" si="41"/>
        <v>-3771.5204999999987</v>
      </c>
    </row>
    <row r="153" spans="1:32" x14ac:dyDescent="0.3">
      <c r="A153" t="s">
        <v>574</v>
      </c>
      <c r="B153" s="4">
        <v>45299</v>
      </c>
      <c r="C153" s="4" t="str">
        <f t="shared" si="30"/>
        <v>Jan-2024</v>
      </c>
      <c r="D153" t="str">
        <f t="shared" si="31"/>
        <v>Q1-2024</v>
      </c>
      <c r="E153" s="4">
        <v>45303</v>
      </c>
      <c r="F153" s="12">
        <f t="shared" si="28"/>
        <v>45303</v>
      </c>
      <c r="G153" s="13">
        <f t="shared" si="29"/>
        <v>4</v>
      </c>
      <c r="H153" t="s">
        <v>647</v>
      </c>
      <c r="I153" t="s">
        <v>654</v>
      </c>
      <c r="J153" t="s">
        <v>668</v>
      </c>
      <c r="K153" t="s">
        <v>701</v>
      </c>
      <c r="L153" t="s">
        <v>711</v>
      </c>
      <c r="M153" t="s">
        <v>718</v>
      </c>
      <c r="N153" t="s">
        <v>728</v>
      </c>
      <c r="O153" t="s">
        <v>1292</v>
      </c>
      <c r="P153" s="6">
        <v>802.32</v>
      </c>
      <c r="Q153" s="6">
        <v>602.34</v>
      </c>
      <c r="R153" s="10">
        <v>0.12</v>
      </c>
      <c r="S153" s="10" t="b">
        <f t="shared" si="32"/>
        <v>0</v>
      </c>
      <c r="T153" s="8">
        <v>25</v>
      </c>
      <c r="U153">
        <f t="shared" si="33"/>
        <v>13251.480000000001</v>
      </c>
      <c r="V153">
        <f t="shared" si="34"/>
        <v>20058</v>
      </c>
      <c r="W153">
        <f t="shared" si="35"/>
        <v>-6806.5199999999986</v>
      </c>
      <c r="X153" s="10">
        <f t="shared" si="36"/>
        <v>-0.51364224977134609</v>
      </c>
      <c r="Y153" t="str">
        <f t="shared" si="37"/>
        <v>Low</v>
      </c>
      <c r="Z153" t="str">
        <f t="shared" si="38"/>
        <v>Met</v>
      </c>
      <c r="AA153" t="str">
        <f t="shared" si="39"/>
        <v>Low Discount</v>
      </c>
      <c r="AB153" s="10">
        <f>MIN(R153,ControlPanel!$B$5)</f>
        <v>0.12</v>
      </c>
      <c r="AC153">
        <f>P153*(1+ControlPanel!$B$6)</f>
        <v>842.43600000000004</v>
      </c>
      <c r="AD153">
        <f>T153*(1+ControlPanel!$B$7)</f>
        <v>27.500000000000004</v>
      </c>
      <c r="AE153" s="6">
        <f t="shared" si="40"/>
        <v>14576.628000000002</v>
      </c>
      <c r="AF153">
        <f t="shared" si="41"/>
        <v>-8590.3620000000028</v>
      </c>
    </row>
    <row r="154" spans="1:32" x14ac:dyDescent="0.3">
      <c r="A154" t="s">
        <v>500</v>
      </c>
      <c r="B154" s="4">
        <v>45224</v>
      </c>
      <c r="C154" s="4" t="str">
        <f t="shared" si="30"/>
        <v>Oct-2023</v>
      </c>
      <c r="D154" t="str">
        <f t="shared" si="31"/>
        <v>Q4-2023</v>
      </c>
      <c r="E154" s="4">
        <v>45254</v>
      </c>
      <c r="F154" s="12">
        <f t="shared" si="28"/>
        <v>45254</v>
      </c>
      <c r="G154" s="13">
        <f t="shared" si="29"/>
        <v>30</v>
      </c>
      <c r="H154" t="s">
        <v>649</v>
      </c>
      <c r="I154" t="s">
        <v>657</v>
      </c>
      <c r="J154" t="s">
        <v>690</v>
      </c>
      <c r="K154" t="s">
        <v>706</v>
      </c>
      <c r="L154" t="s">
        <v>710</v>
      </c>
      <c r="M154" t="s">
        <v>712</v>
      </c>
      <c r="N154" t="s">
        <v>730</v>
      </c>
      <c r="O154" t="s">
        <v>1219</v>
      </c>
      <c r="P154" s="6">
        <v>287.85000000000002</v>
      </c>
      <c r="Q154" s="6">
        <v>602.91999999999996</v>
      </c>
      <c r="R154" s="10">
        <v>0.222</v>
      </c>
      <c r="S154" s="10" t="b">
        <f t="shared" si="32"/>
        <v>0</v>
      </c>
      <c r="T154" s="8">
        <v>11</v>
      </c>
      <c r="U154">
        <f t="shared" si="33"/>
        <v>5159.7893599999998</v>
      </c>
      <c r="V154">
        <f t="shared" si="34"/>
        <v>3166.3500000000004</v>
      </c>
      <c r="W154">
        <f t="shared" si="35"/>
        <v>1993.4393599999994</v>
      </c>
      <c r="X154" s="10">
        <f t="shared" si="36"/>
        <v>0.38634122847216373</v>
      </c>
      <c r="Y154" t="str">
        <f t="shared" si="37"/>
        <v>Low</v>
      </c>
      <c r="Z154" t="str">
        <f t="shared" si="38"/>
        <v>Not Met</v>
      </c>
      <c r="AA154" t="str">
        <f t="shared" si="39"/>
        <v>High Discount</v>
      </c>
      <c r="AB154" s="10">
        <f>MIN(R154,ControlPanel!$B$5)</f>
        <v>0.2</v>
      </c>
      <c r="AC154">
        <f>P154*(1+ControlPanel!$B$6)</f>
        <v>302.24250000000006</v>
      </c>
      <c r="AD154">
        <f>T154*(1+ControlPanel!$B$7)</f>
        <v>12.100000000000001</v>
      </c>
      <c r="AE154" s="6">
        <f t="shared" si="40"/>
        <v>5836.2656000000006</v>
      </c>
      <c r="AF154">
        <f t="shared" si="41"/>
        <v>2179.1313499999997</v>
      </c>
    </row>
    <row r="155" spans="1:32" x14ac:dyDescent="0.3">
      <c r="A155" t="s">
        <v>83</v>
      </c>
      <c r="B155" s="4">
        <v>45157</v>
      </c>
      <c r="C155" s="4" t="str">
        <f t="shared" si="30"/>
        <v>Aug-2023</v>
      </c>
      <c r="D155" t="str">
        <f t="shared" si="31"/>
        <v>Q3-2023</v>
      </c>
      <c r="E155" s="4">
        <v>45176</v>
      </c>
      <c r="F155" s="12">
        <f t="shared" si="28"/>
        <v>45176</v>
      </c>
      <c r="G155" s="13">
        <f t="shared" si="29"/>
        <v>19</v>
      </c>
      <c r="H155" t="s">
        <v>646</v>
      </c>
      <c r="I155" t="s">
        <v>661</v>
      </c>
      <c r="J155" t="s">
        <v>682</v>
      </c>
      <c r="K155" t="s">
        <v>706</v>
      </c>
      <c r="L155" t="s">
        <v>707</v>
      </c>
      <c r="M155" t="s">
        <v>726</v>
      </c>
      <c r="N155" t="s">
        <v>732</v>
      </c>
      <c r="O155" t="s">
        <v>802</v>
      </c>
      <c r="P155" s="6">
        <v>494.61</v>
      </c>
      <c r="Q155" s="6">
        <v>605.23</v>
      </c>
      <c r="R155" s="10">
        <v>0.20399999999999999</v>
      </c>
      <c r="S155" s="10" t="b">
        <f t="shared" si="32"/>
        <v>0</v>
      </c>
      <c r="T155" s="8">
        <v>18</v>
      </c>
      <c r="U155">
        <f t="shared" si="33"/>
        <v>8671.7354400000004</v>
      </c>
      <c r="V155">
        <f t="shared" si="34"/>
        <v>8902.98</v>
      </c>
      <c r="W155">
        <f t="shared" si="35"/>
        <v>-231.24455999999918</v>
      </c>
      <c r="X155" s="10">
        <f t="shared" si="36"/>
        <v>-2.6666468505639647E-2</v>
      </c>
      <c r="Y155" t="str">
        <f t="shared" si="37"/>
        <v>Low</v>
      </c>
      <c r="Z155" t="str">
        <f t="shared" si="38"/>
        <v>Not Met</v>
      </c>
      <c r="AA155" t="str">
        <f t="shared" si="39"/>
        <v>High Discount</v>
      </c>
      <c r="AB155" s="10">
        <f>MIN(R155,ControlPanel!$B$5)</f>
        <v>0.2</v>
      </c>
      <c r="AC155">
        <f>P155*(1+ControlPanel!$B$6)</f>
        <v>519.34050000000002</v>
      </c>
      <c r="AD155">
        <f>T155*(1+ControlPanel!$B$7)</f>
        <v>19.8</v>
      </c>
      <c r="AE155" s="6">
        <f t="shared" si="40"/>
        <v>9586.8432000000012</v>
      </c>
      <c r="AF155">
        <f t="shared" si="41"/>
        <v>-696.09870000000046</v>
      </c>
    </row>
    <row r="156" spans="1:32" x14ac:dyDescent="0.3">
      <c r="A156" t="s">
        <v>254</v>
      </c>
      <c r="B156" s="4">
        <v>45188</v>
      </c>
      <c r="C156" s="4" t="str">
        <f t="shared" si="30"/>
        <v>Sep-2023</v>
      </c>
      <c r="D156" t="str">
        <f t="shared" si="31"/>
        <v>Q3-2023</v>
      </c>
      <c r="E156" s="4">
        <v>45207</v>
      </c>
      <c r="F156" s="12">
        <f t="shared" si="28"/>
        <v>45207</v>
      </c>
      <c r="G156" s="13">
        <f t="shared" si="29"/>
        <v>19</v>
      </c>
      <c r="H156" t="s">
        <v>647</v>
      </c>
      <c r="I156" t="s">
        <v>654</v>
      </c>
      <c r="J156" t="s">
        <v>668</v>
      </c>
      <c r="K156" t="s">
        <v>702</v>
      </c>
      <c r="L156" t="s">
        <v>711</v>
      </c>
      <c r="M156" t="s">
        <v>713</v>
      </c>
      <c r="N156" t="s">
        <v>728</v>
      </c>
      <c r="O156" t="s">
        <v>974</v>
      </c>
      <c r="P156" s="6">
        <v>385.32</v>
      </c>
      <c r="Q156" s="6">
        <v>606.76</v>
      </c>
      <c r="R156" s="10">
        <v>8.5999999999999993E-2</v>
      </c>
      <c r="S156" s="10" t="b">
        <f t="shared" si="32"/>
        <v>0</v>
      </c>
      <c r="T156" s="8">
        <v>8</v>
      </c>
      <c r="U156">
        <f t="shared" si="33"/>
        <v>4436.6291200000005</v>
      </c>
      <c r="V156">
        <f t="shared" si="34"/>
        <v>3082.56</v>
      </c>
      <c r="W156">
        <f t="shared" si="35"/>
        <v>1354.0691200000006</v>
      </c>
      <c r="X156" s="10">
        <f t="shared" si="36"/>
        <v>0.30520223425842735</v>
      </c>
      <c r="Y156" t="str">
        <f t="shared" si="37"/>
        <v>Low</v>
      </c>
      <c r="Z156" t="str">
        <f t="shared" si="38"/>
        <v>Not Met</v>
      </c>
      <c r="AA156" t="str">
        <f t="shared" si="39"/>
        <v>Low Discount</v>
      </c>
      <c r="AB156" s="10">
        <f>MIN(R156,ControlPanel!$B$5)</f>
        <v>8.5999999999999993E-2</v>
      </c>
      <c r="AC156">
        <f>P156*(1+ControlPanel!$B$6)</f>
        <v>404.58600000000001</v>
      </c>
      <c r="AD156">
        <f>T156*(1+ControlPanel!$B$7)</f>
        <v>8.8000000000000007</v>
      </c>
      <c r="AE156" s="6">
        <f t="shared" si="40"/>
        <v>4880.2920320000012</v>
      </c>
      <c r="AF156">
        <f t="shared" si="41"/>
        <v>1319.9352320000007</v>
      </c>
    </row>
    <row r="157" spans="1:32" x14ac:dyDescent="0.3">
      <c r="A157" t="s">
        <v>478</v>
      </c>
      <c r="B157" s="4">
        <v>45865</v>
      </c>
      <c r="C157" s="4" t="str">
        <f t="shared" si="30"/>
        <v>Jul-2025</v>
      </c>
      <c r="D157" t="str">
        <f t="shared" si="31"/>
        <v>Q3-2025</v>
      </c>
      <c r="E157" s="4">
        <v>45884</v>
      </c>
      <c r="F157" s="12">
        <f t="shared" si="28"/>
        <v>45884</v>
      </c>
      <c r="G157" s="13">
        <f t="shared" si="29"/>
        <v>19</v>
      </c>
      <c r="H157" t="s">
        <v>647</v>
      </c>
      <c r="I157" t="s">
        <v>652</v>
      </c>
      <c r="J157" t="s">
        <v>689</v>
      </c>
      <c r="K157" t="s">
        <v>705</v>
      </c>
      <c r="L157" t="s">
        <v>709</v>
      </c>
      <c r="M157" t="s">
        <v>713</v>
      </c>
      <c r="N157" t="s">
        <v>727</v>
      </c>
      <c r="O157" t="s">
        <v>1197</v>
      </c>
      <c r="P157" s="6">
        <v>275.43</v>
      </c>
      <c r="Q157" s="6">
        <v>608.36</v>
      </c>
      <c r="R157" s="10">
        <v>0.25700000000000001</v>
      </c>
      <c r="S157" s="10" t="b">
        <f t="shared" si="32"/>
        <v>0</v>
      </c>
      <c r="T157" s="8">
        <v>4</v>
      </c>
      <c r="U157">
        <f t="shared" si="33"/>
        <v>1808.04592</v>
      </c>
      <c r="V157">
        <f t="shared" si="34"/>
        <v>1101.72</v>
      </c>
      <c r="W157">
        <f t="shared" si="35"/>
        <v>706.32592</v>
      </c>
      <c r="X157" s="10">
        <f t="shared" si="36"/>
        <v>0.39065706915231446</v>
      </c>
      <c r="Y157" t="str">
        <f t="shared" si="37"/>
        <v>Low</v>
      </c>
      <c r="Z157" t="str">
        <f t="shared" si="38"/>
        <v>Not Met</v>
      </c>
      <c r="AA157" t="str">
        <f t="shared" si="39"/>
        <v>High Discount</v>
      </c>
      <c r="AB157" s="10">
        <f>MIN(R157,ControlPanel!$B$5)</f>
        <v>0.2</v>
      </c>
      <c r="AC157">
        <f>P157*(1+ControlPanel!$B$6)</f>
        <v>289.20150000000001</v>
      </c>
      <c r="AD157">
        <f>T157*(1+ControlPanel!$B$7)</f>
        <v>4.4000000000000004</v>
      </c>
      <c r="AE157" s="6">
        <f t="shared" si="40"/>
        <v>2141.4272000000005</v>
      </c>
      <c r="AF157">
        <f t="shared" si="41"/>
        <v>868.94060000000036</v>
      </c>
    </row>
    <row r="158" spans="1:32" x14ac:dyDescent="0.3">
      <c r="A158" t="s">
        <v>15</v>
      </c>
      <c r="B158" s="4">
        <v>45362</v>
      </c>
      <c r="C158" s="4" t="str">
        <f t="shared" si="30"/>
        <v>Mar-2024</v>
      </c>
      <c r="D158" t="str">
        <f t="shared" si="31"/>
        <v>Q1-2024</v>
      </c>
      <c r="E158" s="4">
        <v>45388</v>
      </c>
      <c r="F158" s="12">
        <f t="shared" si="28"/>
        <v>45388</v>
      </c>
      <c r="G158" s="13">
        <f t="shared" si="29"/>
        <v>26</v>
      </c>
      <c r="H158" t="s">
        <v>646</v>
      </c>
      <c r="I158" t="s">
        <v>650</v>
      </c>
      <c r="J158" t="s">
        <v>662</v>
      </c>
      <c r="K158" t="s">
        <v>701</v>
      </c>
      <c r="L158" t="s">
        <v>707</v>
      </c>
      <c r="M158" t="s">
        <v>712</v>
      </c>
      <c r="N158" t="s">
        <v>727</v>
      </c>
      <c r="O158" t="s">
        <v>734</v>
      </c>
      <c r="P158" s="6">
        <v>279.24</v>
      </c>
      <c r="Q158" s="6">
        <v>608.9</v>
      </c>
      <c r="R158" s="10">
        <v>0.112</v>
      </c>
      <c r="S158" s="10" t="b">
        <f t="shared" si="32"/>
        <v>0</v>
      </c>
      <c r="T158" s="8">
        <v>9</v>
      </c>
      <c r="U158">
        <f t="shared" si="33"/>
        <v>4866.3288000000002</v>
      </c>
      <c r="V158">
        <f t="shared" si="34"/>
        <v>2513.16</v>
      </c>
      <c r="W158">
        <f t="shared" si="35"/>
        <v>2353.1688000000004</v>
      </c>
      <c r="X158" s="10">
        <f t="shared" si="36"/>
        <v>0.48356140670149544</v>
      </c>
      <c r="Y158" t="str">
        <f t="shared" si="37"/>
        <v>Low</v>
      </c>
      <c r="Z158" t="str">
        <f t="shared" si="38"/>
        <v>Not Met</v>
      </c>
      <c r="AA158" t="str">
        <f t="shared" si="39"/>
        <v>Low Discount</v>
      </c>
      <c r="AB158" s="10">
        <f>MIN(R158,ControlPanel!$B$5)</f>
        <v>0.112</v>
      </c>
      <c r="AC158">
        <f>P158*(1+ControlPanel!$B$6)</f>
        <v>293.202</v>
      </c>
      <c r="AD158">
        <f>T158*(1+ControlPanel!$B$7)</f>
        <v>9.9</v>
      </c>
      <c r="AE158" s="6">
        <f t="shared" si="40"/>
        <v>5352.9616800000003</v>
      </c>
      <c r="AF158">
        <f t="shared" si="41"/>
        <v>2450.2618800000005</v>
      </c>
    </row>
    <row r="159" spans="1:32" x14ac:dyDescent="0.3">
      <c r="A159" t="s">
        <v>340</v>
      </c>
      <c r="B159" s="4">
        <v>45303</v>
      </c>
      <c r="C159" s="4" t="str">
        <f t="shared" si="30"/>
        <v>Jan-2024</v>
      </c>
      <c r="D159" t="str">
        <f t="shared" si="31"/>
        <v>Q1-2024</v>
      </c>
      <c r="E159" s="4">
        <v>45320</v>
      </c>
      <c r="F159" s="12">
        <f t="shared" si="28"/>
        <v>45320</v>
      </c>
      <c r="G159" s="13">
        <f t="shared" si="29"/>
        <v>17</v>
      </c>
      <c r="H159" t="s">
        <v>647</v>
      </c>
      <c r="I159" t="s">
        <v>654</v>
      </c>
      <c r="J159" t="s">
        <v>696</v>
      </c>
      <c r="K159" t="s">
        <v>705</v>
      </c>
      <c r="L159" t="s">
        <v>711</v>
      </c>
      <c r="M159" t="s">
        <v>717</v>
      </c>
      <c r="N159" t="s">
        <v>727</v>
      </c>
      <c r="O159" t="s">
        <v>1060</v>
      </c>
      <c r="P159" s="6">
        <v>310.02</v>
      </c>
      <c r="Q159" s="6">
        <v>619.51</v>
      </c>
      <c r="R159" s="10">
        <v>4.2000000000000003E-2</v>
      </c>
      <c r="S159" s="10" t="b">
        <f t="shared" si="32"/>
        <v>0</v>
      </c>
      <c r="T159" s="8">
        <v>4</v>
      </c>
      <c r="U159">
        <f t="shared" si="33"/>
        <v>2373.9623200000001</v>
      </c>
      <c r="V159">
        <f t="shared" si="34"/>
        <v>1240.08</v>
      </c>
      <c r="W159">
        <f t="shared" si="35"/>
        <v>1133.8823200000002</v>
      </c>
      <c r="X159" s="10">
        <f t="shared" si="36"/>
        <v>0.47763282106347843</v>
      </c>
      <c r="Y159" t="str">
        <f t="shared" si="37"/>
        <v>Low</v>
      </c>
      <c r="Z159" t="str">
        <f t="shared" si="38"/>
        <v>Not Met</v>
      </c>
      <c r="AA159" t="str">
        <f t="shared" si="39"/>
        <v>Low Discount</v>
      </c>
      <c r="AB159" s="10">
        <f>MIN(R159,ControlPanel!$B$5)</f>
        <v>4.2000000000000003E-2</v>
      </c>
      <c r="AC159">
        <f>P159*(1+ControlPanel!$B$6)</f>
        <v>325.52100000000002</v>
      </c>
      <c r="AD159">
        <f>T159*(1+ControlPanel!$B$7)</f>
        <v>4.4000000000000004</v>
      </c>
      <c r="AE159" s="6">
        <f t="shared" si="40"/>
        <v>2611.3585520000001</v>
      </c>
      <c r="AF159">
        <f t="shared" si="41"/>
        <v>1179.0661519999999</v>
      </c>
    </row>
    <row r="160" spans="1:32" x14ac:dyDescent="0.3">
      <c r="A160" t="s">
        <v>86</v>
      </c>
      <c r="B160" s="4">
        <v>45756</v>
      </c>
      <c r="C160" s="4" t="str">
        <f t="shared" si="30"/>
        <v>Apr-2025</v>
      </c>
      <c r="D160" t="str">
        <f t="shared" si="31"/>
        <v>Q2-2025</v>
      </c>
      <c r="E160" s="4">
        <v>45783</v>
      </c>
      <c r="F160" s="12">
        <f t="shared" si="28"/>
        <v>45783</v>
      </c>
      <c r="G160" s="13">
        <f t="shared" si="29"/>
        <v>27</v>
      </c>
      <c r="H160" t="s">
        <v>648</v>
      </c>
      <c r="I160" t="s">
        <v>655</v>
      </c>
      <c r="J160" t="s">
        <v>672</v>
      </c>
      <c r="K160" t="s">
        <v>706</v>
      </c>
      <c r="L160" t="s">
        <v>709</v>
      </c>
      <c r="M160" t="s">
        <v>721</v>
      </c>
      <c r="N160" t="s">
        <v>731</v>
      </c>
      <c r="O160" t="s">
        <v>805</v>
      </c>
      <c r="P160" s="6">
        <v>264.19</v>
      </c>
      <c r="Q160" s="6">
        <v>620.92999999999995</v>
      </c>
      <c r="R160" s="10">
        <v>0.14199999999999999</v>
      </c>
      <c r="S160" s="10" t="b">
        <f t="shared" si="32"/>
        <v>0</v>
      </c>
      <c r="T160" s="8">
        <v>12</v>
      </c>
      <c r="U160">
        <f t="shared" si="33"/>
        <v>6393.0952799999995</v>
      </c>
      <c r="V160">
        <f t="shared" si="34"/>
        <v>3170.2799999999997</v>
      </c>
      <c r="W160">
        <f t="shared" si="35"/>
        <v>3222.8152799999998</v>
      </c>
      <c r="X160" s="10">
        <f t="shared" si="36"/>
        <v>0.50410875152794532</v>
      </c>
      <c r="Y160" t="str">
        <f t="shared" si="37"/>
        <v>Low</v>
      </c>
      <c r="Z160" t="str">
        <f t="shared" si="38"/>
        <v>Not Met</v>
      </c>
      <c r="AA160" t="str">
        <f t="shared" si="39"/>
        <v>Low Discount</v>
      </c>
      <c r="AB160" s="10">
        <f>MIN(R160,ControlPanel!$B$5)</f>
        <v>0.14199999999999999</v>
      </c>
      <c r="AC160">
        <f>P160*(1+ControlPanel!$B$6)</f>
        <v>277.39949999999999</v>
      </c>
      <c r="AD160">
        <f>T160*(1+ControlPanel!$B$7)</f>
        <v>13.200000000000001</v>
      </c>
      <c r="AE160" s="6">
        <f t="shared" si="40"/>
        <v>7032.4048080000002</v>
      </c>
      <c r="AF160">
        <f t="shared" si="41"/>
        <v>3370.7314080000001</v>
      </c>
    </row>
    <row r="161" spans="1:32" x14ac:dyDescent="0.3">
      <c r="A161" t="s">
        <v>133</v>
      </c>
      <c r="B161" s="4">
        <v>45086</v>
      </c>
      <c r="C161" s="4" t="str">
        <f t="shared" si="30"/>
        <v>Jun-2023</v>
      </c>
      <c r="D161" t="str">
        <f t="shared" si="31"/>
        <v>Q2-2023</v>
      </c>
      <c r="E161" s="4">
        <v>45096</v>
      </c>
      <c r="F161" s="12">
        <f t="shared" si="28"/>
        <v>45096</v>
      </c>
      <c r="G161" s="13">
        <f t="shared" si="29"/>
        <v>10</v>
      </c>
      <c r="H161" t="s">
        <v>647</v>
      </c>
      <c r="I161" t="s">
        <v>659</v>
      </c>
      <c r="J161" t="s">
        <v>699</v>
      </c>
      <c r="K161" t="s">
        <v>706</v>
      </c>
      <c r="L161" t="s">
        <v>707</v>
      </c>
      <c r="M161" t="s">
        <v>721</v>
      </c>
      <c r="N161" t="s">
        <v>732</v>
      </c>
      <c r="O161" t="s">
        <v>852</v>
      </c>
      <c r="P161" s="6">
        <v>339.61</v>
      </c>
      <c r="Q161" s="6">
        <v>621.02</v>
      </c>
      <c r="R161" s="10">
        <v>7.0999999999999994E-2</v>
      </c>
      <c r="S161" s="10" t="b">
        <f t="shared" si="32"/>
        <v>0</v>
      </c>
      <c r="T161" s="8">
        <v>10</v>
      </c>
      <c r="U161">
        <f t="shared" si="33"/>
        <v>5769.2758000000003</v>
      </c>
      <c r="V161">
        <f t="shared" si="34"/>
        <v>3396.1000000000004</v>
      </c>
      <c r="W161">
        <f t="shared" si="35"/>
        <v>2373.1758</v>
      </c>
      <c r="X161" s="10">
        <f t="shared" si="36"/>
        <v>0.41134726129750981</v>
      </c>
      <c r="Y161" t="str">
        <f t="shared" si="37"/>
        <v>Low</v>
      </c>
      <c r="Z161" t="str">
        <f t="shared" si="38"/>
        <v>Not Met</v>
      </c>
      <c r="AA161" t="str">
        <f t="shared" si="39"/>
        <v>Low Discount</v>
      </c>
      <c r="AB161" s="10">
        <f>MIN(R161,ControlPanel!$B$5)</f>
        <v>7.0999999999999994E-2</v>
      </c>
      <c r="AC161">
        <f>P161*(1+ControlPanel!$B$6)</f>
        <v>356.59050000000002</v>
      </c>
      <c r="AD161">
        <f>T161*(1+ControlPanel!$B$7)</f>
        <v>11</v>
      </c>
      <c r="AE161" s="6">
        <f t="shared" si="40"/>
        <v>6346.2033800000008</v>
      </c>
      <c r="AF161">
        <f t="shared" si="41"/>
        <v>2423.7078800000008</v>
      </c>
    </row>
    <row r="162" spans="1:32" x14ac:dyDescent="0.3">
      <c r="A162" t="s">
        <v>215</v>
      </c>
      <c r="B162" s="4">
        <v>45303</v>
      </c>
      <c r="C162" s="4" t="str">
        <f t="shared" si="30"/>
        <v>Jan-2024</v>
      </c>
      <c r="D162" t="str">
        <f t="shared" si="31"/>
        <v>Q1-2024</v>
      </c>
      <c r="E162" s="4">
        <v>45320</v>
      </c>
      <c r="F162" s="12">
        <f t="shared" si="28"/>
        <v>45320</v>
      </c>
      <c r="G162" s="13">
        <f t="shared" si="29"/>
        <v>17</v>
      </c>
      <c r="H162" t="s">
        <v>648</v>
      </c>
      <c r="I162" t="s">
        <v>660</v>
      </c>
      <c r="J162" t="s">
        <v>677</v>
      </c>
      <c r="K162" t="s">
        <v>702</v>
      </c>
      <c r="L162" t="s">
        <v>710</v>
      </c>
      <c r="M162" t="s">
        <v>720</v>
      </c>
      <c r="N162" t="s">
        <v>728</v>
      </c>
      <c r="O162" t="s">
        <v>935</v>
      </c>
      <c r="P162" s="6">
        <v>493.76</v>
      </c>
      <c r="Q162" s="6">
        <v>625.04</v>
      </c>
      <c r="R162" s="10">
        <v>0.25800000000000001</v>
      </c>
      <c r="S162" s="10" t="b">
        <f t="shared" si="32"/>
        <v>0</v>
      </c>
      <c r="T162" s="8">
        <v>10</v>
      </c>
      <c r="U162">
        <f t="shared" si="33"/>
        <v>4637.7968000000001</v>
      </c>
      <c r="V162">
        <f t="shared" si="34"/>
        <v>4937.6000000000004</v>
      </c>
      <c r="W162">
        <f t="shared" si="35"/>
        <v>-299.80320000000029</v>
      </c>
      <c r="X162" s="10">
        <f t="shared" si="36"/>
        <v>-6.464345311549663E-2</v>
      </c>
      <c r="Y162" t="str">
        <f t="shared" si="37"/>
        <v>Low</v>
      </c>
      <c r="Z162" t="str">
        <f t="shared" si="38"/>
        <v>Not Met</v>
      </c>
      <c r="AA162" t="str">
        <f t="shared" si="39"/>
        <v>High Discount</v>
      </c>
      <c r="AB162" s="10">
        <f>MIN(R162,ControlPanel!$B$5)</f>
        <v>0.2</v>
      </c>
      <c r="AC162">
        <f>P162*(1+ControlPanel!$B$6)</f>
        <v>518.44799999999998</v>
      </c>
      <c r="AD162">
        <f>T162*(1+ControlPanel!$B$7)</f>
        <v>11</v>
      </c>
      <c r="AE162" s="6">
        <f t="shared" si="40"/>
        <v>5500.3519999999999</v>
      </c>
      <c r="AF162">
        <f t="shared" si="41"/>
        <v>-202.57600000000002</v>
      </c>
    </row>
    <row r="163" spans="1:32" x14ac:dyDescent="0.3">
      <c r="A163" t="s">
        <v>288</v>
      </c>
      <c r="B163" s="4">
        <v>45367</v>
      </c>
      <c r="C163" s="4" t="str">
        <f t="shared" si="30"/>
        <v>Mar-2024</v>
      </c>
      <c r="D163" t="str">
        <f t="shared" si="31"/>
        <v>Q1-2024</v>
      </c>
      <c r="E163" s="4">
        <v>45395</v>
      </c>
      <c r="F163" s="12">
        <f t="shared" si="28"/>
        <v>45395</v>
      </c>
      <c r="G163" s="13">
        <f t="shared" si="29"/>
        <v>28</v>
      </c>
      <c r="H163" t="s">
        <v>649</v>
      </c>
      <c r="I163" t="s">
        <v>657</v>
      </c>
      <c r="J163" t="s">
        <v>690</v>
      </c>
      <c r="K163" t="s">
        <v>705</v>
      </c>
      <c r="L163" t="s">
        <v>708</v>
      </c>
      <c r="M163" t="s">
        <v>723</v>
      </c>
      <c r="N163" t="s">
        <v>728</v>
      </c>
      <c r="O163" t="s">
        <v>1008</v>
      </c>
      <c r="P163" s="6">
        <v>287.61</v>
      </c>
      <c r="Q163" s="6">
        <v>628.54</v>
      </c>
      <c r="R163" s="10">
        <v>0.13500000000000001</v>
      </c>
      <c r="S163" s="10" t="b">
        <f t="shared" si="32"/>
        <v>0</v>
      </c>
      <c r="T163" s="8">
        <v>21</v>
      </c>
      <c r="U163">
        <f t="shared" si="33"/>
        <v>11417.429099999999</v>
      </c>
      <c r="V163">
        <f t="shared" si="34"/>
        <v>6039.81</v>
      </c>
      <c r="W163">
        <f t="shared" si="35"/>
        <v>5377.619099999999</v>
      </c>
      <c r="X163" s="10">
        <f t="shared" si="36"/>
        <v>0.47100087531964613</v>
      </c>
      <c r="Y163" t="str">
        <f t="shared" si="37"/>
        <v>Low</v>
      </c>
      <c r="Z163" t="str">
        <f t="shared" si="38"/>
        <v>Not Met</v>
      </c>
      <c r="AA163" t="str">
        <f t="shared" si="39"/>
        <v>Low Discount</v>
      </c>
      <c r="AB163" s="10">
        <f>MIN(R163,ControlPanel!$B$5)</f>
        <v>0.13500000000000001</v>
      </c>
      <c r="AC163">
        <f>P163*(1+ControlPanel!$B$6)</f>
        <v>301.99050000000005</v>
      </c>
      <c r="AD163">
        <f>T163*(1+ControlPanel!$B$7)</f>
        <v>23.1</v>
      </c>
      <c r="AE163" s="6">
        <f t="shared" si="40"/>
        <v>12559.17201</v>
      </c>
      <c r="AF163">
        <f t="shared" si="41"/>
        <v>5583.1914599999982</v>
      </c>
    </row>
    <row r="164" spans="1:32" x14ac:dyDescent="0.3">
      <c r="A164" t="s">
        <v>160</v>
      </c>
      <c r="B164" s="4">
        <v>45260</v>
      </c>
      <c r="C164" s="4" t="str">
        <f t="shared" si="30"/>
        <v>Nov-2023</v>
      </c>
      <c r="D164" t="str">
        <f t="shared" si="31"/>
        <v>Q4-2023</v>
      </c>
      <c r="E164" s="4">
        <v>45259</v>
      </c>
      <c r="F164" s="12">
        <f t="shared" si="28"/>
        <v>45274</v>
      </c>
      <c r="G164" s="13">
        <f t="shared" si="29"/>
        <v>14</v>
      </c>
      <c r="H164" t="s">
        <v>646</v>
      </c>
      <c r="I164" t="s">
        <v>661</v>
      </c>
      <c r="J164" t="s">
        <v>687</v>
      </c>
      <c r="K164" t="s">
        <v>705</v>
      </c>
      <c r="L164" t="s">
        <v>709</v>
      </c>
      <c r="M164" t="s">
        <v>718</v>
      </c>
      <c r="N164" t="s">
        <v>731</v>
      </c>
      <c r="O164" t="s">
        <v>879</v>
      </c>
      <c r="P164" s="6">
        <v>275.56</v>
      </c>
      <c r="Q164" s="6">
        <v>630.72</v>
      </c>
      <c r="R164" s="10">
        <v>0.107</v>
      </c>
      <c r="S164" s="10" t="b">
        <f t="shared" si="32"/>
        <v>0</v>
      </c>
      <c r="T164" s="8">
        <v>23</v>
      </c>
      <c r="U164">
        <f t="shared" si="33"/>
        <v>12954.358080000002</v>
      </c>
      <c r="V164">
        <f t="shared" si="34"/>
        <v>6337.88</v>
      </c>
      <c r="W164">
        <f t="shared" si="35"/>
        <v>6616.4780800000017</v>
      </c>
      <c r="X164" s="10">
        <f t="shared" si="36"/>
        <v>0.5107530638831933</v>
      </c>
      <c r="Y164" t="str">
        <f t="shared" si="37"/>
        <v>Low</v>
      </c>
      <c r="Z164" t="str">
        <f t="shared" si="38"/>
        <v>Not Met</v>
      </c>
      <c r="AA164" t="str">
        <f t="shared" si="39"/>
        <v>Low Discount</v>
      </c>
      <c r="AB164" s="10">
        <f>MIN(R164,ControlPanel!$B$5)</f>
        <v>0.107</v>
      </c>
      <c r="AC164">
        <f>P164*(1+ControlPanel!$B$6)</f>
        <v>289.33800000000002</v>
      </c>
      <c r="AD164">
        <f>T164*(1+ControlPanel!$B$7)</f>
        <v>25.3</v>
      </c>
      <c r="AE164" s="6">
        <f t="shared" si="40"/>
        <v>14249.793888000002</v>
      </c>
      <c r="AF164">
        <f t="shared" si="41"/>
        <v>6929.542488000001</v>
      </c>
    </row>
    <row r="165" spans="1:32" x14ac:dyDescent="0.3">
      <c r="A165" t="s">
        <v>29</v>
      </c>
      <c r="B165" s="4">
        <v>45901</v>
      </c>
      <c r="C165" s="4" t="str">
        <f t="shared" si="30"/>
        <v>Sep-2025</v>
      </c>
      <c r="D165" t="str">
        <f t="shared" si="31"/>
        <v>Q3-2025</v>
      </c>
      <c r="E165" s="4">
        <v>45930</v>
      </c>
      <c r="F165" s="12">
        <f t="shared" si="28"/>
        <v>45930</v>
      </c>
      <c r="G165" s="13">
        <f t="shared" si="29"/>
        <v>29</v>
      </c>
      <c r="H165" t="s">
        <v>648</v>
      </c>
      <c r="I165" t="s">
        <v>655</v>
      </c>
      <c r="J165" t="s">
        <v>672</v>
      </c>
      <c r="K165" t="s">
        <v>702</v>
      </c>
      <c r="L165" t="s">
        <v>707</v>
      </c>
      <c r="M165" t="s">
        <v>723</v>
      </c>
      <c r="N165" t="s">
        <v>733</v>
      </c>
      <c r="O165" t="s">
        <v>748</v>
      </c>
      <c r="P165" s="6">
        <v>780.59</v>
      </c>
      <c r="Q165" s="6">
        <v>631.57000000000005</v>
      </c>
      <c r="R165" s="10">
        <v>0</v>
      </c>
      <c r="S165" s="10" t="b">
        <f t="shared" si="32"/>
        <v>0</v>
      </c>
      <c r="T165" s="8">
        <v>12</v>
      </c>
      <c r="U165">
        <f t="shared" si="33"/>
        <v>7578.84</v>
      </c>
      <c r="V165">
        <f t="shared" si="34"/>
        <v>9367.08</v>
      </c>
      <c r="W165">
        <f t="shared" si="35"/>
        <v>-1788.2399999999998</v>
      </c>
      <c r="X165" s="10">
        <f t="shared" si="36"/>
        <v>-0.23595167598207639</v>
      </c>
      <c r="Y165" t="str">
        <f t="shared" si="37"/>
        <v>Low</v>
      </c>
      <c r="Z165" t="str">
        <f t="shared" si="38"/>
        <v>Not Met</v>
      </c>
      <c r="AA165" t="str">
        <f t="shared" si="39"/>
        <v>Low Discount</v>
      </c>
      <c r="AB165" s="10">
        <f>MIN(R165,ControlPanel!$B$5)</f>
        <v>0</v>
      </c>
      <c r="AC165">
        <f>P165*(1+ControlPanel!$B$6)</f>
        <v>819.61950000000002</v>
      </c>
      <c r="AD165">
        <f>T165*(1+ControlPanel!$B$7)</f>
        <v>13.200000000000001</v>
      </c>
      <c r="AE165" s="6">
        <f t="shared" si="40"/>
        <v>8336.724000000002</v>
      </c>
      <c r="AF165">
        <f t="shared" si="41"/>
        <v>-2482.2533999999996</v>
      </c>
    </row>
    <row r="166" spans="1:32" x14ac:dyDescent="0.3">
      <c r="A166" t="s">
        <v>45</v>
      </c>
      <c r="B166" s="4">
        <v>45653</v>
      </c>
      <c r="C166" s="4" t="str">
        <f t="shared" si="30"/>
        <v>Dec-2024</v>
      </c>
      <c r="D166" t="str">
        <f t="shared" si="31"/>
        <v>Q4-2024</v>
      </c>
      <c r="E166" s="4">
        <v>45672</v>
      </c>
      <c r="F166" s="12">
        <f t="shared" si="28"/>
        <v>45672</v>
      </c>
      <c r="G166" s="13">
        <f t="shared" si="29"/>
        <v>19</v>
      </c>
      <c r="H166" t="s">
        <v>647</v>
      </c>
      <c r="I166" t="s">
        <v>654</v>
      </c>
      <c r="J166" t="s">
        <v>680</v>
      </c>
      <c r="K166" t="s">
        <v>703</v>
      </c>
      <c r="L166" t="s">
        <v>710</v>
      </c>
      <c r="M166" t="s">
        <v>715</v>
      </c>
      <c r="N166" t="s">
        <v>727</v>
      </c>
      <c r="O166" t="s">
        <v>764</v>
      </c>
      <c r="P166" s="6">
        <v>495.59</v>
      </c>
      <c r="Q166" s="6">
        <v>631.78</v>
      </c>
      <c r="R166" s="10">
        <v>8.6999999999999994E-2</v>
      </c>
      <c r="S166" s="10" t="b">
        <f t="shared" si="32"/>
        <v>0</v>
      </c>
      <c r="T166" s="8">
        <v>17</v>
      </c>
      <c r="U166">
        <f t="shared" si="33"/>
        <v>9805.8573800000013</v>
      </c>
      <c r="V166">
        <f t="shared" si="34"/>
        <v>8425.0299999999988</v>
      </c>
      <c r="W166">
        <f t="shared" si="35"/>
        <v>1380.8273800000024</v>
      </c>
      <c r="X166" s="10">
        <f t="shared" si="36"/>
        <v>0.14081658813601899</v>
      </c>
      <c r="Y166" t="str">
        <f t="shared" si="37"/>
        <v>Low</v>
      </c>
      <c r="Z166" t="str">
        <f t="shared" si="38"/>
        <v>Not Met</v>
      </c>
      <c r="AA166" t="str">
        <f t="shared" si="39"/>
        <v>Low Discount</v>
      </c>
      <c r="AB166" s="10">
        <f>MIN(R166,ControlPanel!$B$5)</f>
        <v>8.6999999999999994E-2</v>
      </c>
      <c r="AC166">
        <f>P166*(1+ControlPanel!$B$6)</f>
        <v>520.36950000000002</v>
      </c>
      <c r="AD166">
        <f>T166*(1+ControlPanel!$B$7)</f>
        <v>18.700000000000003</v>
      </c>
      <c r="AE166" s="6">
        <f t="shared" si="40"/>
        <v>10786.443118000003</v>
      </c>
      <c r="AF166">
        <f t="shared" si="41"/>
        <v>1055.5334680000014</v>
      </c>
    </row>
    <row r="167" spans="1:32" x14ac:dyDescent="0.3">
      <c r="A167" t="s">
        <v>508</v>
      </c>
      <c r="B167" s="4">
        <v>45439</v>
      </c>
      <c r="C167" s="4" t="str">
        <f t="shared" si="30"/>
        <v>May-2024</v>
      </c>
      <c r="D167" t="str">
        <f t="shared" si="31"/>
        <v>Q2-2024</v>
      </c>
      <c r="E167" s="4">
        <v>45460</v>
      </c>
      <c r="F167" s="12">
        <f t="shared" si="28"/>
        <v>45460</v>
      </c>
      <c r="G167" s="13">
        <f t="shared" si="29"/>
        <v>21</v>
      </c>
      <c r="H167" t="s">
        <v>647</v>
      </c>
      <c r="I167" t="s">
        <v>654</v>
      </c>
      <c r="J167" t="s">
        <v>680</v>
      </c>
      <c r="K167" t="s">
        <v>705</v>
      </c>
      <c r="L167" t="s">
        <v>708</v>
      </c>
      <c r="M167" t="s">
        <v>722</v>
      </c>
      <c r="N167" t="s">
        <v>733</v>
      </c>
      <c r="O167" t="s">
        <v>1227</v>
      </c>
      <c r="P167" s="6">
        <v>465.02</v>
      </c>
      <c r="Q167" s="6">
        <v>651.55999999999995</v>
      </c>
      <c r="R167" s="10">
        <v>4.2000000000000003E-2</v>
      </c>
      <c r="S167" s="10" t="b">
        <f t="shared" si="32"/>
        <v>0</v>
      </c>
      <c r="T167" s="8">
        <v>19</v>
      </c>
      <c r="U167">
        <f t="shared" si="33"/>
        <v>11859.695119999998</v>
      </c>
      <c r="V167">
        <f t="shared" si="34"/>
        <v>8835.3799999999992</v>
      </c>
      <c r="W167">
        <f t="shared" si="35"/>
        <v>3024.3151199999993</v>
      </c>
      <c r="X167" s="10">
        <f t="shared" si="36"/>
        <v>0.25500783025187918</v>
      </c>
      <c r="Y167" t="str">
        <f t="shared" si="37"/>
        <v>Low</v>
      </c>
      <c r="Z167" t="str">
        <f t="shared" si="38"/>
        <v>Not Met</v>
      </c>
      <c r="AA167" t="str">
        <f t="shared" si="39"/>
        <v>Low Discount</v>
      </c>
      <c r="AB167" s="10">
        <f>MIN(R167,ControlPanel!$B$5)</f>
        <v>4.2000000000000003E-2</v>
      </c>
      <c r="AC167">
        <f>P167*(1+ControlPanel!$B$6)</f>
        <v>488.27100000000002</v>
      </c>
      <c r="AD167">
        <f>T167*(1+ControlPanel!$B$7)</f>
        <v>20.900000000000002</v>
      </c>
      <c r="AE167" s="6">
        <f t="shared" si="40"/>
        <v>13045.664631999998</v>
      </c>
      <c r="AF167">
        <f t="shared" si="41"/>
        <v>2840.8007319999961</v>
      </c>
    </row>
    <row r="168" spans="1:32" x14ac:dyDescent="0.3">
      <c r="A168" t="s">
        <v>550</v>
      </c>
      <c r="B168" s="4">
        <v>45108</v>
      </c>
      <c r="C168" s="4" t="str">
        <f t="shared" si="30"/>
        <v>Jul-2023</v>
      </c>
      <c r="D168" t="str">
        <f t="shared" si="31"/>
        <v>Q3-2023</v>
      </c>
      <c r="E168" s="4">
        <v>45118</v>
      </c>
      <c r="F168" s="12">
        <f t="shared" si="28"/>
        <v>45118</v>
      </c>
      <c r="G168" s="13">
        <f t="shared" si="29"/>
        <v>10</v>
      </c>
      <c r="H168" t="s">
        <v>649</v>
      </c>
      <c r="I168" t="s">
        <v>657</v>
      </c>
      <c r="J168" t="s">
        <v>690</v>
      </c>
      <c r="K168" t="s">
        <v>701</v>
      </c>
      <c r="L168" t="s">
        <v>711</v>
      </c>
      <c r="M168" t="s">
        <v>721</v>
      </c>
      <c r="N168" t="s">
        <v>729</v>
      </c>
      <c r="O168" t="s">
        <v>1269</v>
      </c>
      <c r="P168" s="6">
        <v>479.5</v>
      </c>
      <c r="Q168" s="6">
        <v>656.66</v>
      </c>
      <c r="R168" s="10">
        <v>0.14899999999999999</v>
      </c>
      <c r="S168" s="10" t="b">
        <f t="shared" si="32"/>
        <v>0</v>
      </c>
      <c r="T168" s="8">
        <v>14</v>
      </c>
      <c r="U168">
        <f t="shared" si="33"/>
        <v>7823.4472399999995</v>
      </c>
      <c r="V168">
        <f t="shared" si="34"/>
        <v>6713</v>
      </c>
      <c r="W168">
        <f t="shared" si="35"/>
        <v>1110.4472399999995</v>
      </c>
      <c r="X168" s="10">
        <f t="shared" si="36"/>
        <v>0.14193835606412289</v>
      </c>
      <c r="Y168" t="str">
        <f t="shared" si="37"/>
        <v>Low</v>
      </c>
      <c r="Z168" t="str">
        <f t="shared" si="38"/>
        <v>Not Met</v>
      </c>
      <c r="AA168" t="str">
        <f t="shared" si="39"/>
        <v>Low Discount</v>
      </c>
      <c r="AB168" s="10">
        <f>MIN(R168,ControlPanel!$B$5)</f>
        <v>0.14899999999999999</v>
      </c>
      <c r="AC168">
        <f>P168*(1+ControlPanel!$B$6)</f>
        <v>503.47500000000002</v>
      </c>
      <c r="AD168">
        <f>T168*(1+ControlPanel!$B$7)</f>
        <v>15.400000000000002</v>
      </c>
      <c r="AE168" s="6">
        <f t="shared" si="40"/>
        <v>8605.791964</v>
      </c>
      <c r="AF168">
        <f t="shared" si="41"/>
        <v>852.27696399999877</v>
      </c>
    </row>
    <row r="169" spans="1:32" x14ac:dyDescent="0.3">
      <c r="A169" t="s">
        <v>505</v>
      </c>
      <c r="B169" s="4">
        <v>45523</v>
      </c>
      <c r="C169" s="4" t="str">
        <f t="shared" si="30"/>
        <v>Aug-2024</v>
      </c>
      <c r="D169" t="str">
        <f t="shared" si="31"/>
        <v>Q3-2024</v>
      </c>
      <c r="E169" s="4">
        <v>45542</v>
      </c>
      <c r="F169" s="12">
        <f t="shared" si="28"/>
        <v>45542</v>
      </c>
      <c r="G169" s="13">
        <f t="shared" si="29"/>
        <v>19</v>
      </c>
      <c r="H169" t="s">
        <v>649</v>
      </c>
      <c r="I169" t="s">
        <v>657</v>
      </c>
      <c r="J169" t="s">
        <v>679</v>
      </c>
      <c r="K169" t="s">
        <v>701</v>
      </c>
      <c r="L169" t="s">
        <v>711</v>
      </c>
      <c r="M169" t="s">
        <v>713</v>
      </c>
      <c r="N169" t="s">
        <v>727</v>
      </c>
      <c r="O169" t="s">
        <v>1224</v>
      </c>
      <c r="P169" s="6">
        <v>297.58999999999997</v>
      </c>
      <c r="Q169" s="6">
        <v>666.41</v>
      </c>
      <c r="R169" s="10">
        <v>0</v>
      </c>
      <c r="S169" s="10" t="b">
        <f t="shared" si="32"/>
        <v>0</v>
      </c>
      <c r="T169" s="8">
        <v>10</v>
      </c>
      <c r="U169">
        <f t="shared" si="33"/>
        <v>6664.0999999999995</v>
      </c>
      <c r="V169">
        <f t="shared" si="34"/>
        <v>2975.8999999999996</v>
      </c>
      <c r="W169">
        <f t="shared" si="35"/>
        <v>3688.2</v>
      </c>
      <c r="X169" s="10">
        <f t="shared" si="36"/>
        <v>0.55344307558409989</v>
      </c>
      <c r="Y169" t="str">
        <f t="shared" si="37"/>
        <v>Low</v>
      </c>
      <c r="Z169" t="str">
        <f t="shared" si="38"/>
        <v>Not Met</v>
      </c>
      <c r="AA169" t="str">
        <f t="shared" si="39"/>
        <v>Low Discount</v>
      </c>
      <c r="AB169" s="10">
        <f>MIN(R169,ControlPanel!$B$5)</f>
        <v>0</v>
      </c>
      <c r="AC169">
        <f>P169*(1+ControlPanel!$B$6)</f>
        <v>312.46949999999998</v>
      </c>
      <c r="AD169">
        <f>T169*(1+ControlPanel!$B$7)</f>
        <v>11</v>
      </c>
      <c r="AE169" s="6">
        <f t="shared" si="40"/>
        <v>7330.5099999999993</v>
      </c>
      <c r="AF169">
        <f t="shared" si="41"/>
        <v>3893.3454999999994</v>
      </c>
    </row>
    <row r="170" spans="1:32" x14ac:dyDescent="0.3">
      <c r="A170" t="s">
        <v>147</v>
      </c>
      <c r="B170" s="4">
        <v>44953</v>
      </c>
      <c r="C170" s="4" t="str">
        <f t="shared" si="30"/>
        <v>Jan-2023</v>
      </c>
      <c r="D170" t="str">
        <f t="shared" si="31"/>
        <v>Q1-2023</v>
      </c>
      <c r="E170" s="4">
        <v>44957</v>
      </c>
      <c r="F170" s="12">
        <f t="shared" si="28"/>
        <v>44957</v>
      </c>
      <c r="G170" s="13">
        <f t="shared" si="29"/>
        <v>4</v>
      </c>
      <c r="H170" t="s">
        <v>649</v>
      </c>
      <c r="I170" t="s">
        <v>658</v>
      </c>
      <c r="J170" t="s">
        <v>693</v>
      </c>
      <c r="K170" t="s">
        <v>706</v>
      </c>
      <c r="L170" t="s">
        <v>708</v>
      </c>
      <c r="M170" t="s">
        <v>725</v>
      </c>
      <c r="N170" t="s">
        <v>731</v>
      </c>
      <c r="O170" t="s">
        <v>866</v>
      </c>
      <c r="P170" s="6">
        <v>941.2</v>
      </c>
      <c r="Q170" s="6">
        <v>668.02</v>
      </c>
      <c r="R170" s="10">
        <v>0.22</v>
      </c>
      <c r="S170" s="10" t="b">
        <f t="shared" si="32"/>
        <v>0</v>
      </c>
      <c r="T170" s="8">
        <v>16</v>
      </c>
      <c r="U170">
        <f t="shared" si="33"/>
        <v>8336.8896000000004</v>
      </c>
      <c r="V170">
        <f t="shared" si="34"/>
        <v>15059.2</v>
      </c>
      <c r="W170">
        <f t="shared" si="35"/>
        <v>-6722.3104000000003</v>
      </c>
      <c r="X170" s="10">
        <f t="shared" si="36"/>
        <v>-0.80633314371825193</v>
      </c>
      <c r="Y170" t="str">
        <f t="shared" si="37"/>
        <v>Low</v>
      </c>
      <c r="Z170" t="str">
        <f t="shared" si="38"/>
        <v>Met</v>
      </c>
      <c r="AA170" t="str">
        <f t="shared" si="39"/>
        <v>High Discount</v>
      </c>
      <c r="AB170" s="10">
        <f>MIN(R170,ControlPanel!$B$5)</f>
        <v>0.2</v>
      </c>
      <c r="AC170">
        <f>P170*(1+ControlPanel!$B$6)</f>
        <v>988.2600000000001</v>
      </c>
      <c r="AD170">
        <f>T170*(1+ControlPanel!$B$7)</f>
        <v>17.600000000000001</v>
      </c>
      <c r="AE170" s="6">
        <f t="shared" si="40"/>
        <v>9405.7216000000026</v>
      </c>
      <c r="AF170">
        <f t="shared" si="41"/>
        <v>-7987.6544000000013</v>
      </c>
    </row>
    <row r="171" spans="1:32" x14ac:dyDescent="0.3">
      <c r="A171" t="s">
        <v>619</v>
      </c>
      <c r="B171" s="4">
        <v>45186</v>
      </c>
      <c r="C171" s="4" t="str">
        <f t="shared" si="30"/>
        <v>Sep-2023</v>
      </c>
      <c r="D171" t="str">
        <f t="shared" si="31"/>
        <v>Q3-2023</v>
      </c>
      <c r="E171" s="4">
        <v>45201</v>
      </c>
      <c r="F171" s="12">
        <f t="shared" si="28"/>
        <v>45201</v>
      </c>
      <c r="G171" s="13">
        <f t="shared" si="29"/>
        <v>15</v>
      </c>
      <c r="H171" t="s">
        <v>648</v>
      </c>
      <c r="I171" t="s">
        <v>655</v>
      </c>
      <c r="J171" t="s">
        <v>692</v>
      </c>
      <c r="K171" t="s">
        <v>705</v>
      </c>
      <c r="L171" t="s">
        <v>707</v>
      </c>
      <c r="M171" t="s">
        <v>717</v>
      </c>
      <c r="N171" t="s">
        <v>731</v>
      </c>
      <c r="O171" t="s">
        <v>1337</v>
      </c>
      <c r="P171" s="6">
        <v>689.33</v>
      </c>
      <c r="Q171" s="6">
        <v>668.27</v>
      </c>
      <c r="R171" s="10">
        <v>0.186</v>
      </c>
      <c r="S171" s="10" t="b">
        <f t="shared" si="32"/>
        <v>0</v>
      </c>
      <c r="T171" s="8">
        <v>13</v>
      </c>
      <c r="U171">
        <f t="shared" si="33"/>
        <v>7071.6331399999999</v>
      </c>
      <c r="V171">
        <f t="shared" si="34"/>
        <v>8961.2900000000009</v>
      </c>
      <c r="W171">
        <f t="shared" si="35"/>
        <v>-1889.656860000001</v>
      </c>
      <c r="X171" s="10">
        <f t="shared" si="36"/>
        <v>-0.2672164721486105</v>
      </c>
      <c r="Y171" t="str">
        <f t="shared" si="37"/>
        <v>Low</v>
      </c>
      <c r="Z171" t="str">
        <f t="shared" si="38"/>
        <v>Not Met</v>
      </c>
      <c r="AA171" t="str">
        <f t="shared" si="39"/>
        <v>Low Discount</v>
      </c>
      <c r="AB171" s="10">
        <f>MIN(R171,ControlPanel!$B$5)</f>
        <v>0.186</v>
      </c>
      <c r="AC171">
        <f>P171*(1+ControlPanel!$B$6)</f>
        <v>723.79650000000004</v>
      </c>
      <c r="AD171">
        <f>T171*(1+ControlPanel!$B$7)</f>
        <v>14.3</v>
      </c>
      <c r="AE171" s="6">
        <f t="shared" si="40"/>
        <v>7778.7964540000003</v>
      </c>
      <c r="AF171">
        <f t="shared" si="41"/>
        <v>-2571.4934960000001</v>
      </c>
    </row>
    <row r="172" spans="1:32" x14ac:dyDescent="0.3">
      <c r="A172" t="s">
        <v>272</v>
      </c>
      <c r="B172" s="4">
        <v>45835</v>
      </c>
      <c r="C172" s="4" t="str">
        <f t="shared" si="30"/>
        <v>Jun-2025</v>
      </c>
      <c r="D172" t="str">
        <f t="shared" si="31"/>
        <v>Q2-2025</v>
      </c>
      <c r="E172" s="4">
        <v>45843</v>
      </c>
      <c r="F172" s="12">
        <f t="shared" si="28"/>
        <v>45843</v>
      </c>
      <c r="G172" s="13">
        <f t="shared" si="29"/>
        <v>8</v>
      </c>
      <c r="H172" t="s">
        <v>649</v>
      </c>
      <c r="I172" t="s">
        <v>656</v>
      </c>
      <c r="J172" t="s">
        <v>684</v>
      </c>
      <c r="K172" t="s">
        <v>705</v>
      </c>
      <c r="L172" t="s">
        <v>711</v>
      </c>
      <c r="M172" t="s">
        <v>715</v>
      </c>
      <c r="N172" t="s">
        <v>732</v>
      </c>
      <c r="O172" t="s">
        <v>992</v>
      </c>
      <c r="P172" s="6">
        <v>314.93</v>
      </c>
      <c r="Q172" s="6">
        <v>687.95</v>
      </c>
      <c r="R172" s="10">
        <v>0.20499999999999999</v>
      </c>
      <c r="S172" s="10" t="b">
        <f t="shared" si="32"/>
        <v>0</v>
      </c>
      <c r="T172" s="8">
        <v>8</v>
      </c>
      <c r="U172">
        <f t="shared" si="33"/>
        <v>4375.3620000000001</v>
      </c>
      <c r="V172">
        <f t="shared" si="34"/>
        <v>2519.44</v>
      </c>
      <c r="W172">
        <f t="shared" si="35"/>
        <v>1855.922</v>
      </c>
      <c r="X172" s="10">
        <f t="shared" si="36"/>
        <v>0.424175645352316</v>
      </c>
      <c r="Y172" t="str">
        <f t="shared" si="37"/>
        <v>Low</v>
      </c>
      <c r="Z172" t="str">
        <f t="shared" si="38"/>
        <v>Not Met</v>
      </c>
      <c r="AA172" t="str">
        <f t="shared" si="39"/>
        <v>High Discount</v>
      </c>
      <c r="AB172" s="10">
        <f>MIN(R172,ControlPanel!$B$5)</f>
        <v>0.2</v>
      </c>
      <c r="AC172">
        <f>P172*(1+ControlPanel!$B$6)</f>
        <v>330.67650000000003</v>
      </c>
      <c r="AD172">
        <f>T172*(1+ControlPanel!$B$7)</f>
        <v>8.8000000000000007</v>
      </c>
      <c r="AE172" s="6">
        <f t="shared" si="40"/>
        <v>4843.1680000000006</v>
      </c>
      <c r="AF172">
        <f t="shared" si="41"/>
        <v>1933.2148000000002</v>
      </c>
    </row>
    <row r="173" spans="1:32" x14ac:dyDescent="0.3">
      <c r="A173" t="s">
        <v>26</v>
      </c>
      <c r="B173" s="4">
        <v>45660</v>
      </c>
      <c r="C173" s="4" t="str">
        <f t="shared" si="30"/>
        <v>Jan-2025</v>
      </c>
      <c r="D173" t="str">
        <f t="shared" si="31"/>
        <v>Q1-2025</v>
      </c>
      <c r="E173" s="4">
        <v>45680</v>
      </c>
      <c r="F173" s="12">
        <f t="shared" si="28"/>
        <v>45680</v>
      </c>
      <c r="G173" s="13">
        <f t="shared" si="29"/>
        <v>20</v>
      </c>
      <c r="H173" t="s">
        <v>647</v>
      </c>
      <c r="I173" t="s">
        <v>652</v>
      </c>
      <c r="J173" t="s">
        <v>666</v>
      </c>
      <c r="K173" t="s">
        <v>701</v>
      </c>
      <c r="L173" t="s">
        <v>710</v>
      </c>
      <c r="M173" t="s">
        <v>721</v>
      </c>
      <c r="N173" t="s">
        <v>730</v>
      </c>
      <c r="O173" t="s">
        <v>745</v>
      </c>
      <c r="P173" s="6">
        <v>908.6</v>
      </c>
      <c r="Q173" s="6">
        <v>691.37</v>
      </c>
      <c r="R173" s="10">
        <v>0.25</v>
      </c>
      <c r="S173" s="10" t="b">
        <f t="shared" si="32"/>
        <v>0</v>
      </c>
      <c r="T173" s="8">
        <v>20</v>
      </c>
      <c r="U173">
        <f t="shared" si="33"/>
        <v>10370.550000000001</v>
      </c>
      <c r="V173">
        <f t="shared" si="34"/>
        <v>18172</v>
      </c>
      <c r="W173">
        <f t="shared" si="35"/>
        <v>-7801.4499999999989</v>
      </c>
      <c r="X173" s="10">
        <f t="shared" si="36"/>
        <v>-0.75226964818645092</v>
      </c>
      <c r="Y173" t="str">
        <f t="shared" si="37"/>
        <v>Low</v>
      </c>
      <c r="Z173" t="str">
        <f t="shared" si="38"/>
        <v>Not Met</v>
      </c>
      <c r="AA173" t="str">
        <f t="shared" si="39"/>
        <v>High Discount</v>
      </c>
      <c r="AB173" s="10">
        <f>MIN(R173,ControlPanel!$B$5)</f>
        <v>0.2</v>
      </c>
      <c r="AC173">
        <f>P173*(1+ControlPanel!$B$6)</f>
        <v>954.03000000000009</v>
      </c>
      <c r="AD173">
        <f>T173*(1+ControlPanel!$B$7)</f>
        <v>22</v>
      </c>
      <c r="AE173" s="6">
        <f t="shared" si="40"/>
        <v>12168.112000000001</v>
      </c>
      <c r="AF173">
        <f t="shared" si="41"/>
        <v>-8820.5480000000025</v>
      </c>
    </row>
    <row r="174" spans="1:32" x14ac:dyDescent="0.3">
      <c r="A174" t="s">
        <v>140</v>
      </c>
      <c r="B174" s="4">
        <v>45150</v>
      </c>
      <c r="C174" s="4" t="str">
        <f t="shared" si="30"/>
        <v>Aug-2023</v>
      </c>
      <c r="D174" t="str">
        <f t="shared" si="31"/>
        <v>Q3-2023</v>
      </c>
      <c r="E174" s="4">
        <v>45175</v>
      </c>
      <c r="F174" s="12">
        <f t="shared" si="28"/>
        <v>45175</v>
      </c>
      <c r="G174" s="13">
        <f t="shared" si="29"/>
        <v>25</v>
      </c>
      <c r="H174" t="s">
        <v>647</v>
      </c>
      <c r="I174" t="s">
        <v>659</v>
      </c>
      <c r="J174" t="s">
        <v>685</v>
      </c>
      <c r="K174" t="s">
        <v>705</v>
      </c>
      <c r="L174" t="s">
        <v>707</v>
      </c>
      <c r="M174" t="s">
        <v>717</v>
      </c>
      <c r="N174" t="s">
        <v>727</v>
      </c>
      <c r="O174" t="s">
        <v>859</v>
      </c>
      <c r="P174" s="6">
        <v>950.77</v>
      </c>
      <c r="Q174" s="6">
        <v>694.78</v>
      </c>
      <c r="R174" s="10">
        <v>8.4000000000000005E-2</v>
      </c>
      <c r="S174" s="10" t="b">
        <f t="shared" si="32"/>
        <v>0</v>
      </c>
      <c r="T174" s="8">
        <v>14</v>
      </c>
      <c r="U174">
        <f t="shared" si="33"/>
        <v>8909.8587200000002</v>
      </c>
      <c r="V174">
        <f t="shared" si="34"/>
        <v>13310.779999999999</v>
      </c>
      <c r="W174">
        <f t="shared" si="35"/>
        <v>-4400.9212799999987</v>
      </c>
      <c r="X174" s="10">
        <f t="shared" si="36"/>
        <v>-0.49393839097821279</v>
      </c>
      <c r="Y174" t="str">
        <f t="shared" si="37"/>
        <v>Low</v>
      </c>
      <c r="Z174" t="str">
        <f t="shared" si="38"/>
        <v>Not Met</v>
      </c>
      <c r="AA174" t="str">
        <f t="shared" si="39"/>
        <v>Low Discount</v>
      </c>
      <c r="AB174" s="10">
        <f>MIN(R174,ControlPanel!$B$5)</f>
        <v>8.4000000000000005E-2</v>
      </c>
      <c r="AC174">
        <f>P174*(1+ControlPanel!$B$6)</f>
        <v>998.30849999999998</v>
      </c>
      <c r="AD174">
        <f>T174*(1+ControlPanel!$B$7)</f>
        <v>15.400000000000002</v>
      </c>
      <c r="AE174" s="6">
        <f t="shared" si="40"/>
        <v>9800.8445920000013</v>
      </c>
      <c r="AF174">
        <f t="shared" si="41"/>
        <v>-5573.1063080000004</v>
      </c>
    </row>
    <row r="175" spans="1:32" x14ac:dyDescent="0.3">
      <c r="A175" t="s">
        <v>493</v>
      </c>
      <c r="B175" s="4">
        <v>45032</v>
      </c>
      <c r="C175" s="4" t="str">
        <f t="shared" si="30"/>
        <v>Apr-2023</v>
      </c>
      <c r="D175" t="str">
        <f t="shared" si="31"/>
        <v>Q2-2023</v>
      </c>
      <c r="E175" s="4">
        <v>45035</v>
      </c>
      <c r="F175" s="12">
        <f t="shared" si="28"/>
        <v>45035</v>
      </c>
      <c r="G175" s="13">
        <f t="shared" si="29"/>
        <v>3</v>
      </c>
      <c r="H175" t="s">
        <v>649</v>
      </c>
      <c r="I175" t="s">
        <v>656</v>
      </c>
      <c r="J175" t="s">
        <v>684</v>
      </c>
      <c r="K175" t="s">
        <v>701</v>
      </c>
      <c r="L175" t="s">
        <v>711</v>
      </c>
      <c r="M175" t="s">
        <v>717</v>
      </c>
      <c r="N175" t="s">
        <v>733</v>
      </c>
      <c r="O175" t="s">
        <v>1212</v>
      </c>
      <c r="P175" s="6">
        <v>553.61</v>
      </c>
      <c r="Q175" s="6">
        <v>699.47</v>
      </c>
      <c r="R175" s="10">
        <v>0.02</v>
      </c>
      <c r="S175" s="10" t="b">
        <f t="shared" si="32"/>
        <v>0</v>
      </c>
      <c r="T175" s="8">
        <v>33</v>
      </c>
      <c r="U175">
        <f t="shared" si="33"/>
        <v>22620.859799999998</v>
      </c>
      <c r="V175">
        <f t="shared" si="34"/>
        <v>18269.13</v>
      </c>
      <c r="W175">
        <f t="shared" si="35"/>
        <v>4351.7297999999973</v>
      </c>
      <c r="X175" s="10">
        <f t="shared" si="36"/>
        <v>0.19237685209472</v>
      </c>
      <c r="Y175" t="str">
        <f t="shared" si="37"/>
        <v>Low</v>
      </c>
      <c r="Z175" t="str">
        <f t="shared" si="38"/>
        <v>Met</v>
      </c>
      <c r="AA175" t="str">
        <f t="shared" si="39"/>
        <v>Low Discount</v>
      </c>
      <c r="AB175" s="10">
        <f>MIN(R175,ControlPanel!$B$5)</f>
        <v>0.02</v>
      </c>
      <c r="AC175">
        <f>P175*(1+ControlPanel!$B$6)</f>
        <v>581.29050000000007</v>
      </c>
      <c r="AD175">
        <f>T175*(1+ControlPanel!$B$7)</f>
        <v>36.300000000000004</v>
      </c>
      <c r="AE175" s="6">
        <f t="shared" si="40"/>
        <v>24882.945780000002</v>
      </c>
      <c r="AF175">
        <f t="shared" si="41"/>
        <v>3782.1006299999972</v>
      </c>
    </row>
    <row r="176" spans="1:32" x14ac:dyDescent="0.3">
      <c r="A176" t="s">
        <v>608</v>
      </c>
      <c r="B176" s="4">
        <v>45823</v>
      </c>
      <c r="C176" s="4" t="str">
        <f t="shared" si="30"/>
        <v>Jun-2025</v>
      </c>
      <c r="D176" t="str">
        <f t="shared" si="31"/>
        <v>Q2-2025</v>
      </c>
      <c r="E176" s="4">
        <v>45850</v>
      </c>
      <c r="F176" s="12">
        <f t="shared" si="28"/>
        <v>45850</v>
      </c>
      <c r="G176" s="13">
        <f t="shared" si="29"/>
        <v>27</v>
      </c>
      <c r="H176" t="s">
        <v>649</v>
      </c>
      <c r="I176" t="s">
        <v>657</v>
      </c>
      <c r="J176" t="s">
        <v>673</v>
      </c>
      <c r="K176" t="s">
        <v>704</v>
      </c>
      <c r="L176" t="s">
        <v>711</v>
      </c>
      <c r="M176" t="s">
        <v>712</v>
      </c>
      <c r="N176" t="s">
        <v>733</v>
      </c>
      <c r="O176" t="s">
        <v>1326</v>
      </c>
      <c r="P176" s="6">
        <v>318.83</v>
      </c>
      <c r="Q176" s="6">
        <v>699.5</v>
      </c>
      <c r="R176" s="10">
        <v>0.08</v>
      </c>
      <c r="S176" s="10" t="b">
        <f t="shared" si="32"/>
        <v>0</v>
      </c>
      <c r="T176" s="8">
        <v>13</v>
      </c>
      <c r="U176">
        <f t="shared" si="33"/>
        <v>8366.02</v>
      </c>
      <c r="V176">
        <f t="shared" si="34"/>
        <v>4144.79</v>
      </c>
      <c r="W176">
        <f t="shared" si="35"/>
        <v>4221.2300000000005</v>
      </c>
      <c r="X176" s="10">
        <f t="shared" si="36"/>
        <v>0.50456848059172699</v>
      </c>
      <c r="Y176" t="str">
        <f t="shared" si="37"/>
        <v>Low</v>
      </c>
      <c r="Z176" t="str">
        <f t="shared" si="38"/>
        <v>Not Met</v>
      </c>
      <c r="AA176" t="str">
        <f t="shared" si="39"/>
        <v>Low Discount</v>
      </c>
      <c r="AB176" s="10">
        <f>MIN(R176,ControlPanel!$B$5)</f>
        <v>0.08</v>
      </c>
      <c r="AC176">
        <f>P176*(1+ControlPanel!$B$6)</f>
        <v>334.7715</v>
      </c>
      <c r="AD176">
        <f>T176*(1+ControlPanel!$B$7)</f>
        <v>14.3</v>
      </c>
      <c r="AE176" s="6">
        <f t="shared" si="40"/>
        <v>9202.6220000000012</v>
      </c>
      <c r="AF176">
        <f t="shared" si="41"/>
        <v>4415.3895500000008</v>
      </c>
    </row>
    <row r="177" spans="1:32" x14ac:dyDescent="0.3">
      <c r="A177" t="s">
        <v>25</v>
      </c>
      <c r="B177" s="4">
        <v>45319</v>
      </c>
      <c r="C177" s="4" t="str">
        <f t="shared" si="30"/>
        <v>Jan-2024</v>
      </c>
      <c r="D177" t="str">
        <f t="shared" si="31"/>
        <v>Q1-2024</v>
      </c>
      <c r="E177" s="4">
        <v>45331</v>
      </c>
      <c r="F177" s="12">
        <f t="shared" si="28"/>
        <v>45331</v>
      </c>
      <c r="G177" s="13">
        <f t="shared" si="29"/>
        <v>12</v>
      </c>
      <c r="H177" t="s">
        <v>649</v>
      </c>
      <c r="I177" t="s">
        <v>656</v>
      </c>
      <c r="J177" t="s">
        <v>671</v>
      </c>
      <c r="K177" t="s">
        <v>701</v>
      </c>
      <c r="L177" t="s">
        <v>708</v>
      </c>
      <c r="M177" t="s">
        <v>715</v>
      </c>
      <c r="N177" t="s">
        <v>733</v>
      </c>
      <c r="O177" t="s">
        <v>744</v>
      </c>
      <c r="P177" s="6">
        <v>644.16999999999996</v>
      </c>
      <c r="Q177" s="6">
        <v>700.12</v>
      </c>
      <c r="R177" s="10">
        <v>6.0000000000000001E-3</v>
      </c>
      <c r="S177" s="10" t="b">
        <f t="shared" si="32"/>
        <v>0</v>
      </c>
      <c r="T177" s="8">
        <v>23</v>
      </c>
      <c r="U177">
        <f t="shared" si="33"/>
        <v>16006.14344</v>
      </c>
      <c r="V177">
        <f t="shared" si="34"/>
        <v>14815.91</v>
      </c>
      <c r="W177">
        <f t="shared" si="35"/>
        <v>1190.23344</v>
      </c>
      <c r="X177" s="10">
        <f t="shared" si="36"/>
        <v>7.436103796405813E-2</v>
      </c>
      <c r="Y177" t="str">
        <f t="shared" si="37"/>
        <v>Low</v>
      </c>
      <c r="Z177" t="str">
        <f t="shared" si="38"/>
        <v>Not Met</v>
      </c>
      <c r="AA177" t="str">
        <f t="shared" si="39"/>
        <v>Low Discount</v>
      </c>
      <c r="AB177" s="10">
        <f>MIN(R177,ControlPanel!$B$5)</f>
        <v>6.0000000000000001E-3</v>
      </c>
      <c r="AC177">
        <f>P177*(1+ControlPanel!$B$6)</f>
        <v>676.37850000000003</v>
      </c>
      <c r="AD177">
        <f>T177*(1+ControlPanel!$B$7)</f>
        <v>25.3</v>
      </c>
      <c r="AE177" s="6">
        <f t="shared" si="40"/>
        <v>17606.757783999998</v>
      </c>
      <c r="AF177">
        <f t="shared" si="41"/>
        <v>494.38173399999505</v>
      </c>
    </row>
    <row r="178" spans="1:32" x14ac:dyDescent="0.3">
      <c r="A178" t="s">
        <v>72</v>
      </c>
      <c r="B178" s="4">
        <v>45643</v>
      </c>
      <c r="C178" s="4" t="str">
        <f t="shared" si="30"/>
        <v>Dec-2024</v>
      </c>
      <c r="D178" t="str">
        <f t="shared" si="31"/>
        <v>Q4-2024</v>
      </c>
      <c r="E178" s="4">
        <v>45644</v>
      </c>
      <c r="F178" s="12">
        <f t="shared" si="28"/>
        <v>45644</v>
      </c>
      <c r="G178" s="13">
        <f t="shared" si="29"/>
        <v>1</v>
      </c>
      <c r="H178" t="s">
        <v>649</v>
      </c>
      <c r="I178" t="s">
        <v>656</v>
      </c>
      <c r="J178" t="s">
        <v>684</v>
      </c>
      <c r="K178" t="s">
        <v>702</v>
      </c>
      <c r="L178" t="s">
        <v>707</v>
      </c>
      <c r="M178" t="s">
        <v>716</v>
      </c>
      <c r="N178" t="s">
        <v>733</v>
      </c>
      <c r="O178" t="s">
        <v>791</v>
      </c>
      <c r="P178" s="6">
        <v>346.82</v>
      </c>
      <c r="Q178" s="6">
        <v>701.95</v>
      </c>
      <c r="R178" s="10">
        <v>0.14699999999999999</v>
      </c>
      <c r="S178" s="10" t="b">
        <f t="shared" si="32"/>
        <v>0</v>
      </c>
      <c r="T178" s="8">
        <v>8</v>
      </c>
      <c r="U178">
        <f t="shared" si="33"/>
        <v>4790.1068000000005</v>
      </c>
      <c r="V178">
        <f t="shared" si="34"/>
        <v>2774.56</v>
      </c>
      <c r="W178">
        <f t="shared" si="35"/>
        <v>2015.5468000000005</v>
      </c>
      <c r="X178" s="10">
        <f t="shared" si="36"/>
        <v>0.42077283120284509</v>
      </c>
      <c r="Y178" t="str">
        <f t="shared" si="37"/>
        <v>Low</v>
      </c>
      <c r="Z178" t="str">
        <f t="shared" si="38"/>
        <v>Met</v>
      </c>
      <c r="AA178" t="str">
        <f t="shared" si="39"/>
        <v>Low Discount</v>
      </c>
      <c r="AB178" s="10">
        <f>MIN(R178,ControlPanel!$B$5)</f>
        <v>0.14699999999999999</v>
      </c>
      <c r="AC178">
        <f>P178*(1+ControlPanel!$B$6)</f>
        <v>364.161</v>
      </c>
      <c r="AD178">
        <f>T178*(1+ControlPanel!$B$7)</f>
        <v>8.8000000000000007</v>
      </c>
      <c r="AE178" s="6">
        <f t="shared" si="40"/>
        <v>5269.1174800000008</v>
      </c>
      <c r="AF178">
        <f t="shared" si="41"/>
        <v>2064.5006800000006</v>
      </c>
    </row>
    <row r="179" spans="1:32" x14ac:dyDescent="0.3">
      <c r="A179" t="s">
        <v>93</v>
      </c>
      <c r="B179" s="4">
        <v>45091</v>
      </c>
      <c r="C179" s="4" t="str">
        <f t="shared" si="30"/>
        <v>Jun-2023</v>
      </c>
      <c r="D179" t="str">
        <f t="shared" si="31"/>
        <v>Q2-2023</v>
      </c>
      <c r="E179" s="4">
        <v>45093</v>
      </c>
      <c r="F179" s="12">
        <f t="shared" si="28"/>
        <v>45093</v>
      </c>
      <c r="G179" s="13">
        <f t="shared" si="29"/>
        <v>2</v>
      </c>
      <c r="H179" t="s">
        <v>649</v>
      </c>
      <c r="I179" t="s">
        <v>658</v>
      </c>
      <c r="J179" t="s">
        <v>693</v>
      </c>
      <c r="K179" t="s">
        <v>703</v>
      </c>
      <c r="L179" t="s">
        <v>711</v>
      </c>
      <c r="M179" t="s">
        <v>723</v>
      </c>
      <c r="N179" t="s">
        <v>727</v>
      </c>
      <c r="O179" t="s">
        <v>812</v>
      </c>
      <c r="P179" s="6">
        <v>357.36</v>
      </c>
      <c r="Q179" s="6">
        <v>703.62</v>
      </c>
      <c r="R179" s="10">
        <v>0.25700000000000001</v>
      </c>
      <c r="S179" s="10" t="b">
        <f t="shared" si="32"/>
        <v>0</v>
      </c>
      <c r="T179" s="8">
        <v>20</v>
      </c>
      <c r="U179">
        <f t="shared" si="33"/>
        <v>10455.7932</v>
      </c>
      <c r="V179">
        <f t="shared" si="34"/>
        <v>7147.2000000000007</v>
      </c>
      <c r="W179">
        <f t="shared" si="35"/>
        <v>3308.5931999999993</v>
      </c>
      <c r="X179" s="10">
        <f t="shared" si="36"/>
        <v>0.31643636563125593</v>
      </c>
      <c r="Y179" t="str">
        <f t="shared" si="37"/>
        <v>Low</v>
      </c>
      <c r="Z179" t="str">
        <f t="shared" si="38"/>
        <v>Met</v>
      </c>
      <c r="AA179" t="str">
        <f t="shared" si="39"/>
        <v>High Discount</v>
      </c>
      <c r="AB179" s="10">
        <f>MIN(R179,ControlPanel!$B$5)</f>
        <v>0.2</v>
      </c>
      <c r="AC179">
        <f>P179*(1+ControlPanel!$B$6)</f>
        <v>375.22800000000001</v>
      </c>
      <c r="AD179">
        <f>T179*(1+ControlPanel!$B$7)</f>
        <v>22</v>
      </c>
      <c r="AE179" s="6">
        <f t="shared" si="40"/>
        <v>12383.712000000001</v>
      </c>
      <c r="AF179">
        <f t="shared" si="41"/>
        <v>4128.6960000000017</v>
      </c>
    </row>
    <row r="180" spans="1:32" x14ac:dyDescent="0.3">
      <c r="A180" t="s">
        <v>467</v>
      </c>
      <c r="B180" s="4">
        <v>45817</v>
      </c>
      <c r="C180" s="4" t="str">
        <f t="shared" si="30"/>
        <v>Jun-2025</v>
      </c>
      <c r="D180" t="str">
        <f t="shared" si="31"/>
        <v>Q2-2025</v>
      </c>
      <c r="E180" s="4">
        <v>45832</v>
      </c>
      <c r="F180" s="12">
        <f t="shared" si="28"/>
        <v>45832</v>
      </c>
      <c r="G180" s="13">
        <f t="shared" si="29"/>
        <v>15</v>
      </c>
      <c r="H180" t="s">
        <v>647</v>
      </c>
      <c r="I180" t="s">
        <v>652</v>
      </c>
      <c r="J180" t="s">
        <v>694</v>
      </c>
      <c r="K180" t="s">
        <v>701</v>
      </c>
      <c r="L180" t="s">
        <v>711</v>
      </c>
      <c r="M180" t="s">
        <v>717</v>
      </c>
      <c r="N180" t="s">
        <v>730</v>
      </c>
      <c r="O180" t="s">
        <v>1186</v>
      </c>
      <c r="P180" s="6">
        <v>400.39</v>
      </c>
      <c r="Q180" s="6">
        <v>712.75</v>
      </c>
      <c r="R180" s="10">
        <v>0.115</v>
      </c>
      <c r="S180" s="10" t="b">
        <f t="shared" si="32"/>
        <v>0</v>
      </c>
      <c r="T180" s="8">
        <v>19</v>
      </c>
      <c r="U180">
        <f t="shared" si="33"/>
        <v>11984.891250000001</v>
      </c>
      <c r="V180">
        <f t="shared" si="34"/>
        <v>7607.41</v>
      </c>
      <c r="W180">
        <f t="shared" si="35"/>
        <v>4377.4812500000007</v>
      </c>
      <c r="X180" s="10">
        <f t="shared" si="36"/>
        <v>0.36524997671547504</v>
      </c>
      <c r="Y180" t="str">
        <f t="shared" si="37"/>
        <v>Low</v>
      </c>
      <c r="Z180" t="str">
        <f t="shared" si="38"/>
        <v>Not Met</v>
      </c>
      <c r="AA180" t="str">
        <f t="shared" si="39"/>
        <v>Low Discount</v>
      </c>
      <c r="AB180" s="10">
        <f>MIN(R180,ControlPanel!$B$5)</f>
        <v>0.115</v>
      </c>
      <c r="AC180">
        <f>P180*(1+ControlPanel!$B$6)</f>
        <v>420.40949999999998</v>
      </c>
      <c r="AD180">
        <f>T180*(1+ControlPanel!$B$7)</f>
        <v>20.900000000000002</v>
      </c>
      <c r="AE180" s="6">
        <f t="shared" si="40"/>
        <v>13183.380375000002</v>
      </c>
      <c r="AF180">
        <f t="shared" si="41"/>
        <v>4396.8218250000027</v>
      </c>
    </row>
    <row r="181" spans="1:32" x14ac:dyDescent="0.3">
      <c r="A181" t="s">
        <v>611</v>
      </c>
      <c r="B181" s="4">
        <v>44933</v>
      </c>
      <c r="C181" s="4" t="str">
        <f t="shared" si="30"/>
        <v>Jan-2023</v>
      </c>
      <c r="D181" t="str">
        <f t="shared" si="31"/>
        <v>Q1-2023</v>
      </c>
      <c r="E181" s="4">
        <v>44956</v>
      </c>
      <c r="F181" s="12">
        <f t="shared" si="28"/>
        <v>44956</v>
      </c>
      <c r="G181" s="13">
        <f t="shared" si="29"/>
        <v>23</v>
      </c>
      <c r="H181" t="s">
        <v>646</v>
      </c>
      <c r="I181" t="s">
        <v>661</v>
      </c>
      <c r="J181" t="s">
        <v>695</v>
      </c>
      <c r="K181" t="s">
        <v>704</v>
      </c>
      <c r="L181" t="s">
        <v>708</v>
      </c>
      <c r="M181" t="s">
        <v>720</v>
      </c>
      <c r="N181" t="s">
        <v>728</v>
      </c>
      <c r="O181" t="s">
        <v>1329</v>
      </c>
      <c r="P181" s="6">
        <v>299.02</v>
      </c>
      <c r="Q181" s="6">
        <v>724.7</v>
      </c>
      <c r="R181" s="10">
        <v>0.14000000000000001</v>
      </c>
      <c r="S181" s="10" t="b">
        <f t="shared" si="32"/>
        <v>0</v>
      </c>
      <c r="T181" s="8">
        <v>5</v>
      </c>
      <c r="U181">
        <f t="shared" si="33"/>
        <v>3116.2100000000005</v>
      </c>
      <c r="V181">
        <f t="shared" si="34"/>
        <v>1495.1</v>
      </c>
      <c r="W181">
        <f t="shared" si="35"/>
        <v>1621.1100000000006</v>
      </c>
      <c r="X181" s="10">
        <f t="shared" si="36"/>
        <v>0.5202184705138615</v>
      </c>
      <c r="Y181" t="str">
        <f t="shared" si="37"/>
        <v>Low</v>
      </c>
      <c r="Z181" t="str">
        <f t="shared" si="38"/>
        <v>Not Met</v>
      </c>
      <c r="AA181" t="str">
        <f t="shared" si="39"/>
        <v>Low Discount</v>
      </c>
      <c r="AB181" s="10">
        <f>MIN(R181,ControlPanel!$B$5)</f>
        <v>0.14000000000000001</v>
      </c>
      <c r="AC181">
        <f>P181*(1+ControlPanel!$B$6)</f>
        <v>313.971</v>
      </c>
      <c r="AD181">
        <f>T181*(1+ControlPanel!$B$7)</f>
        <v>5.5</v>
      </c>
      <c r="AE181" s="6">
        <f t="shared" si="40"/>
        <v>3427.8310000000006</v>
      </c>
      <c r="AF181">
        <f t="shared" si="41"/>
        <v>1700.9905000000006</v>
      </c>
    </row>
    <row r="182" spans="1:32" x14ac:dyDescent="0.3">
      <c r="A182" t="s">
        <v>578</v>
      </c>
      <c r="B182" s="4">
        <v>45692</v>
      </c>
      <c r="C182" s="4" t="str">
        <f t="shared" si="30"/>
        <v>Feb-2025</v>
      </c>
      <c r="D182" t="str">
        <f t="shared" si="31"/>
        <v>Q1-2025</v>
      </c>
      <c r="E182" s="4">
        <v>45696</v>
      </c>
      <c r="F182" s="12">
        <f t="shared" si="28"/>
        <v>45696</v>
      </c>
      <c r="G182" s="13">
        <f t="shared" si="29"/>
        <v>4</v>
      </c>
      <c r="H182" t="s">
        <v>649</v>
      </c>
      <c r="I182" t="s">
        <v>658</v>
      </c>
      <c r="J182" t="s">
        <v>693</v>
      </c>
      <c r="K182" t="s">
        <v>706</v>
      </c>
      <c r="L182" t="s">
        <v>709</v>
      </c>
      <c r="M182" t="s">
        <v>716</v>
      </c>
      <c r="N182" t="s">
        <v>729</v>
      </c>
      <c r="O182" t="s">
        <v>1296</v>
      </c>
      <c r="P182" s="6">
        <v>586.21</v>
      </c>
      <c r="Q182" s="6">
        <v>727.22</v>
      </c>
      <c r="R182" s="10">
        <v>6.8000000000000005E-2</v>
      </c>
      <c r="S182" s="10" t="b">
        <f t="shared" si="32"/>
        <v>0</v>
      </c>
      <c r="T182" s="8">
        <v>15</v>
      </c>
      <c r="U182">
        <f t="shared" si="33"/>
        <v>10166.535600000001</v>
      </c>
      <c r="V182">
        <f t="shared" si="34"/>
        <v>8793.1500000000015</v>
      </c>
      <c r="W182">
        <f t="shared" si="35"/>
        <v>1373.3855999999996</v>
      </c>
      <c r="X182" s="10">
        <f t="shared" si="36"/>
        <v>0.13508884973559721</v>
      </c>
      <c r="Y182" t="str">
        <f t="shared" si="37"/>
        <v>Low</v>
      </c>
      <c r="Z182" t="str">
        <f t="shared" si="38"/>
        <v>Met</v>
      </c>
      <c r="AA182" t="str">
        <f t="shared" si="39"/>
        <v>Low Discount</v>
      </c>
      <c r="AB182" s="10">
        <f>MIN(R182,ControlPanel!$B$5)</f>
        <v>6.8000000000000005E-2</v>
      </c>
      <c r="AC182">
        <f>P182*(1+ControlPanel!$B$6)</f>
        <v>615.52050000000008</v>
      </c>
      <c r="AD182">
        <f>T182*(1+ControlPanel!$B$7)</f>
        <v>16.5</v>
      </c>
      <c r="AE182" s="6">
        <f t="shared" si="40"/>
        <v>11183.18916</v>
      </c>
      <c r="AF182">
        <f t="shared" si="41"/>
        <v>1027.1009099999992</v>
      </c>
    </row>
    <row r="183" spans="1:32" x14ac:dyDescent="0.3">
      <c r="A183" t="s">
        <v>161</v>
      </c>
      <c r="B183" s="4">
        <v>45911</v>
      </c>
      <c r="C183" s="4" t="str">
        <f t="shared" si="30"/>
        <v>Sep-2025</v>
      </c>
      <c r="D183" t="str">
        <f t="shared" si="31"/>
        <v>Q3-2025</v>
      </c>
      <c r="E183" s="4">
        <v>45928</v>
      </c>
      <c r="F183" s="12">
        <f t="shared" si="28"/>
        <v>45928</v>
      </c>
      <c r="G183" s="13">
        <f t="shared" si="29"/>
        <v>17</v>
      </c>
      <c r="H183" t="s">
        <v>646</v>
      </c>
      <c r="I183" t="s">
        <v>650</v>
      </c>
      <c r="J183" t="s">
        <v>664</v>
      </c>
      <c r="K183" t="s">
        <v>703</v>
      </c>
      <c r="L183" t="s">
        <v>710</v>
      </c>
      <c r="M183" t="s">
        <v>713</v>
      </c>
      <c r="N183" t="s">
        <v>731</v>
      </c>
      <c r="O183" t="s">
        <v>880</v>
      </c>
      <c r="P183" s="6">
        <v>891.46</v>
      </c>
      <c r="Q183" s="6">
        <v>728.61</v>
      </c>
      <c r="R183" s="10">
        <v>0.185</v>
      </c>
      <c r="S183" s="10" t="b">
        <f t="shared" si="32"/>
        <v>0</v>
      </c>
      <c r="T183" s="8">
        <v>6</v>
      </c>
      <c r="U183">
        <f t="shared" si="33"/>
        <v>3562.9029</v>
      </c>
      <c r="V183">
        <f t="shared" si="34"/>
        <v>5348.76</v>
      </c>
      <c r="W183">
        <f t="shared" si="35"/>
        <v>-1785.8571000000002</v>
      </c>
      <c r="X183" s="10">
        <f t="shared" si="36"/>
        <v>-0.50123653383874145</v>
      </c>
      <c r="Y183" t="str">
        <f t="shared" si="37"/>
        <v>Low</v>
      </c>
      <c r="Z183" t="str">
        <f t="shared" si="38"/>
        <v>Not Met</v>
      </c>
      <c r="AA183" t="str">
        <f t="shared" si="39"/>
        <v>Low Discount</v>
      </c>
      <c r="AB183" s="10">
        <f>MIN(R183,ControlPanel!$B$5)</f>
        <v>0.185</v>
      </c>
      <c r="AC183">
        <f>P183*(1+ControlPanel!$B$6)</f>
        <v>936.03300000000013</v>
      </c>
      <c r="AD183">
        <f>T183*(1+ControlPanel!$B$7)</f>
        <v>6.6000000000000005</v>
      </c>
      <c r="AE183" s="6">
        <f t="shared" si="40"/>
        <v>3919.19319</v>
      </c>
      <c r="AF183">
        <f t="shared" si="41"/>
        <v>-2258.6246100000017</v>
      </c>
    </row>
    <row r="184" spans="1:32" x14ac:dyDescent="0.3">
      <c r="A184" t="s">
        <v>299</v>
      </c>
      <c r="B184" s="4">
        <v>45101</v>
      </c>
      <c r="C184" s="4" t="str">
        <f t="shared" si="30"/>
        <v>Jun-2023</v>
      </c>
      <c r="D184" t="str">
        <f t="shared" si="31"/>
        <v>Q2-2023</v>
      </c>
      <c r="E184" s="4">
        <v>45128</v>
      </c>
      <c r="F184" s="12">
        <f t="shared" si="28"/>
        <v>45128</v>
      </c>
      <c r="G184" s="13">
        <f t="shared" si="29"/>
        <v>27</v>
      </c>
      <c r="H184" t="s">
        <v>647</v>
      </c>
      <c r="I184" t="s">
        <v>652</v>
      </c>
      <c r="J184" t="s">
        <v>694</v>
      </c>
      <c r="K184" t="s">
        <v>704</v>
      </c>
      <c r="L184" t="s">
        <v>709</v>
      </c>
      <c r="M184" t="s">
        <v>713</v>
      </c>
      <c r="N184" t="s">
        <v>730</v>
      </c>
      <c r="O184" t="s">
        <v>1019</v>
      </c>
      <c r="P184" s="6">
        <v>554.76</v>
      </c>
      <c r="Q184" s="6">
        <v>728.69</v>
      </c>
      <c r="R184" s="10">
        <v>0.22</v>
      </c>
      <c r="S184" s="10" t="b">
        <f t="shared" si="32"/>
        <v>0</v>
      </c>
      <c r="T184" s="8">
        <v>7</v>
      </c>
      <c r="U184">
        <f t="shared" si="33"/>
        <v>3978.6474000000007</v>
      </c>
      <c r="V184">
        <f t="shared" si="34"/>
        <v>3883.3199999999997</v>
      </c>
      <c r="W184">
        <f t="shared" si="35"/>
        <v>95.327400000001035</v>
      </c>
      <c r="X184" s="10">
        <f t="shared" si="36"/>
        <v>2.3959750743431301E-2</v>
      </c>
      <c r="Y184" t="str">
        <f t="shared" si="37"/>
        <v>Low</v>
      </c>
      <c r="Z184" t="str">
        <f t="shared" si="38"/>
        <v>Not Met</v>
      </c>
      <c r="AA184" t="str">
        <f t="shared" si="39"/>
        <v>High Discount</v>
      </c>
      <c r="AB184" s="10">
        <f>MIN(R184,ControlPanel!$B$5)</f>
        <v>0.2</v>
      </c>
      <c r="AC184">
        <f>P184*(1+ControlPanel!$B$6)</f>
        <v>582.49800000000005</v>
      </c>
      <c r="AD184">
        <f>T184*(1+ControlPanel!$B$7)</f>
        <v>7.7000000000000011</v>
      </c>
      <c r="AE184" s="6">
        <f t="shared" si="40"/>
        <v>4488.7304000000013</v>
      </c>
      <c r="AF184">
        <f t="shared" si="41"/>
        <v>3.4958000000005995</v>
      </c>
    </row>
    <row r="185" spans="1:32" x14ac:dyDescent="0.3">
      <c r="A185" t="s">
        <v>384</v>
      </c>
      <c r="B185" s="4">
        <v>45286</v>
      </c>
      <c r="C185" s="4" t="str">
        <f t="shared" si="30"/>
        <v>Dec-2023</v>
      </c>
      <c r="D185" t="str">
        <f t="shared" si="31"/>
        <v>Q4-2023</v>
      </c>
      <c r="E185" s="4">
        <v>45294</v>
      </c>
      <c r="F185" s="12">
        <f t="shared" si="28"/>
        <v>45294</v>
      </c>
      <c r="G185" s="13">
        <f t="shared" si="29"/>
        <v>8</v>
      </c>
      <c r="H185" t="s">
        <v>649</v>
      </c>
      <c r="I185" t="s">
        <v>657</v>
      </c>
      <c r="J185" t="s">
        <v>679</v>
      </c>
      <c r="K185" t="s">
        <v>705</v>
      </c>
      <c r="L185" t="s">
        <v>707</v>
      </c>
      <c r="M185" t="s">
        <v>724</v>
      </c>
      <c r="N185" t="s">
        <v>731</v>
      </c>
      <c r="O185" t="s">
        <v>1104</v>
      </c>
      <c r="P185" s="6">
        <v>492.75</v>
      </c>
      <c r="Q185" s="6">
        <v>731.29</v>
      </c>
      <c r="R185" s="10">
        <v>5.8000000000000003E-2</v>
      </c>
      <c r="S185" s="10" t="b">
        <f t="shared" si="32"/>
        <v>0</v>
      </c>
      <c r="T185" s="8">
        <v>6</v>
      </c>
      <c r="U185">
        <f t="shared" si="33"/>
        <v>4133.2510799999991</v>
      </c>
      <c r="V185">
        <f t="shared" si="34"/>
        <v>2956.5</v>
      </c>
      <c r="W185">
        <f t="shared" si="35"/>
        <v>1176.7510799999991</v>
      </c>
      <c r="X185" s="10">
        <f t="shared" si="36"/>
        <v>0.28470350753528367</v>
      </c>
      <c r="Y185" t="str">
        <f t="shared" si="37"/>
        <v>Low</v>
      </c>
      <c r="Z185" t="str">
        <f t="shared" si="38"/>
        <v>Not Met</v>
      </c>
      <c r="AA185" t="str">
        <f t="shared" si="39"/>
        <v>Low Discount</v>
      </c>
      <c r="AB185" s="10">
        <f>MIN(R185,ControlPanel!$B$5)</f>
        <v>5.8000000000000003E-2</v>
      </c>
      <c r="AC185">
        <f>P185*(1+ControlPanel!$B$6)</f>
        <v>517.38750000000005</v>
      </c>
      <c r="AD185">
        <f>T185*(1+ControlPanel!$B$7)</f>
        <v>6.6000000000000005</v>
      </c>
      <c r="AE185" s="6">
        <f t="shared" si="40"/>
        <v>4546.576188</v>
      </c>
      <c r="AF185">
        <f t="shared" si="41"/>
        <v>1131.8186879999994</v>
      </c>
    </row>
    <row r="186" spans="1:32" x14ac:dyDescent="0.3">
      <c r="A186" t="s">
        <v>163</v>
      </c>
      <c r="B186" s="4">
        <v>45183</v>
      </c>
      <c r="C186" s="4" t="str">
        <f t="shared" si="30"/>
        <v>Sep-2023</v>
      </c>
      <c r="D186" t="str">
        <f t="shared" si="31"/>
        <v>Q3-2023</v>
      </c>
      <c r="E186" s="4">
        <v>45185</v>
      </c>
      <c r="F186" s="12">
        <f t="shared" si="28"/>
        <v>45185</v>
      </c>
      <c r="G186" s="13">
        <f t="shared" si="29"/>
        <v>2</v>
      </c>
      <c r="H186" t="s">
        <v>649</v>
      </c>
      <c r="I186" t="s">
        <v>657</v>
      </c>
      <c r="J186" t="s">
        <v>679</v>
      </c>
      <c r="K186" t="s">
        <v>703</v>
      </c>
      <c r="L186" t="s">
        <v>711</v>
      </c>
      <c r="M186" t="s">
        <v>717</v>
      </c>
      <c r="N186" t="s">
        <v>728</v>
      </c>
      <c r="O186" t="s">
        <v>882</v>
      </c>
      <c r="P186" s="6">
        <v>376.83</v>
      </c>
      <c r="Q186" s="6">
        <v>732.88</v>
      </c>
      <c r="R186" s="10">
        <v>0.188</v>
      </c>
      <c r="S186" s="10" t="b">
        <f t="shared" si="32"/>
        <v>0</v>
      </c>
      <c r="T186" s="8">
        <v>25</v>
      </c>
      <c r="U186">
        <f t="shared" si="33"/>
        <v>14877.464</v>
      </c>
      <c r="V186">
        <f t="shared" si="34"/>
        <v>9420.75</v>
      </c>
      <c r="W186">
        <f t="shared" si="35"/>
        <v>5456.7139999999999</v>
      </c>
      <c r="X186" s="10">
        <f t="shared" si="36"/>
        <v>0.36677716040852121</v>
      </c>
      <c r="Y186" t="str">
        <f t="shared" si="37"/>
        <v>Low</v>
      </c>
      <c r="Z186" t="str">
        <f t="shared" si="38"/>
        <v>Met</v>
      </c>
      <c r="AA186" t="str">
        <f t="shared" si="39"/>
        <v>Low Discount</v>
      </c>
      <c r="AB186" s="10">
        <f>MIN(R186,ControlPanel!$B$5)</f>
        <v>0.188</v>
      </c>
      <c r="AC186">
        <f>P186*(1+ControlPanel!$B$6)</f>
        <v>395.67149999999998</v>
      </c>
      <c r="AD186">
        <f>T186*(1+ControlPanel!$B$7)</f>
        <v>27.500000000000004</v>
      </c>
      <c r="AE186" s="6">
        <f t="shared" si="40"/>
        <v>16365.210400000004</v>
      </c>
      <c r="AF186">
        <f t="shared" si="41"/>
        <v>5484.2441500000023</v>
      </c>
    </row>
    <row r="187" spans="1:32" x14ac:dyDescent="0.3">
      <c r="A187" t="s">
        <v>328</v>
      </c>
      <c r="B187" s="4">
        <v>45451</v>
      </c>
      <c r="C187" s="4" t="str">
        <f t="shared" si="30"/>
        <v>Jun-2024</v>
      </c>
      <c r="D187" t="str">
        <f t="shared" si="31"/>
        <v>Q2-2024</v>
      </c>
      <c r="E187" s="4">
        <v>45467</v>
      </c>
      <c r="F187" s="12">
        <f t="shared" si="28"/>
        <v>45467</v>
      </c>
      <c r="G187" s="13">
        <f t="shared" si="29"/>
        <v>16</v>
      </c>
      <c r="H187" t="s">
        <v>646</v>
      </c>
      <c r="I187" t="s">
        <v>661</v>
      </c>
      <c r="J187" t="s">
        <v>687</v>
      </c>
      <c r="K187" t="s">
        <v>702</v>
      </c>
      <c r="L187" t="s">
        <v>710</v>
      </c>
      <c r="M187" t="s">
        <v>722</v>
      </c>
      <c r="N187" t="s">
        <v>732</v>
      </c>
      <c r="O187" t="s">
        <v>1048</v>
      </c>
      <c r="P187" s="6">
        <v>597.85</v>
      </c>
      <c r="Q187" s="6">
        <v>741.92</v>
      </c>
      <c r="R187" s="10">
        <v>3.1E-2</v>
      </c>
      <c r="S187" s="10" t="b">
        <f t="shared" si="32"/>
        <v>0</v>
      </c>
      <c r="T187" s="8">
        <v>7</v>
      </c>
      <c r="U187">
        <f t="shared" si="33"/>
        <v>5032.4433599999993</v>
      </c>
      <c r="V187">
        <f t="shared" si="34"/>
        <v>4184.95</v>
      </c>
      <c r="W187">
        <f t="shared" si="35"/>
        <v>847.49335999999948</v>
      </c>
      <c r="X187" s="10">
        <f t="shared" si="36"/>
        <v>0.16840594108544515</v>
      </c>
      <c r="Y187" t="str">
        <f t="shared" si="37"/>
        <v>Low</v>
      </c>
      <c r="Z187" t="str">
        <f t="shared" si="38"/>
        <v>Not Met</v>
      </c>
      <c r="AA187" t="str">
        <f t="shared" si="39"/>
        <v>Low Discount</v>
      </c>
      <c r="AB187" s="10">
        <f>MIN(R187,ControlPanel!$B$5)</f>
        <v>3.1E-2</v>
      </c>
      <c r="AC187">
        <f>P187*(1+ControlPanel!$B$6)</f>
        <v>627.74250000000006</v>
      </c>
      <c r="AD187">
        <f>T187*(1+ControlPanel!$B$7)</f>
        <v>7.7000000000000011</v>
      </c>
      <c r="AE187" s="6">
        <f t="shared" si="40"/>
        <v>5535.687696</v>
      </c>
      <c r="AF187">
        <f t="shared" si="41"/>
        <v>702.07044599999881</v>
      </c>
    </row>
    <row r="188" spans="1:32" x14ac:dyDescent="0.3">
      <c r="A188" t="s">
        <v>329</v>
      </c>
      <c r="B188" s="4">
        <v>45809</v>
      </c>
      <c r="C188" s="4" t="str">
        <f t="shared" si="30"/>
        <v>Jun-2025</v>
      </c>
      <c r="D188" t="str">
        <f t="shared" si="31"/>
        <v>Q2-2025</v>
      </c>
      <c r="E188" s="4">
        <v>45814</v>
      </c>
      <c r="F188" s="12">
        <f t="shared" si="28"/>
        <v>45814</v>
      </c>
      <c r="G188" s="13">
        <f t="shared" si="29"/>
        <v>5</v>
      </c>
      <c r="H188" t="s">
        <v>649</v>
      </c>
      <c r="I188" t="s">
        <v>657</v>
      </c>
      <c r="J188" t="s">
        <v>690</v>
      </c>
      <c r="K188" t="s">
        <v>704</v>
      </c>
      <c r="L188" t="s">
        <v>710</v>
      </c>
      <c r="M188" t="s">
        <v>715</v>
      </c>
      <c r="N188" t="s">
        <v>727</v>
      </c>
      <c r="O188" t="s">
        <v>1049</v>
      </c>
      <c r="P188" s="6">
        <v>379.45</v>
      </c>
      <c r="Q188" s="6">
        <v>742.23</v>
      </c>
      <c r="R188" s="10">
        <v>0.09</v>
      </c>
      <c r="S188" s="10" t="b">
        <f t="shared" si="32"/>
        <v>0</v>
      </c>
      <c r="T188" s="8">
        <v>13</v>
      </c>
      <c r="U188">
        <f t="shared" si="33"/>
        <v>8780.5809000000008</v>
      </c>
      <c r="V188">
        <f t="shared" si="34"/>
        <v>4932.8499999999995</v>
      </c>
      <c r="W188">
        <f t="shared" si="35"/>
        <v>3847.7309000000014</v>
      </c>
      <c r="X188" s="10">
        <f t="shared" si="36"/>
        <v>0.43820915083192286</v>
      </c>
      <c r="Y188" t="str">
        <f t="shared" si="37"/>
        <v>Low</v>
      </c>
      <c r="Z188" t="str">
        <f t="shared" si="38"/>
        <v>Met</v>
      </c>
      <c r="AA188" t="str">
        <f t="shared" si="39"/>
        <v>Low Discount</v>
      </c>
      <c r="AB188" s="10">
        <f>MIN(R188,ControlPanel!$B$5)</f>
        <v>0.09</v>
      </c>
      <c r="AC188">
        <f>P188*(1+ControlPanel!$B$6)</f>
        <v>398.42250000000001</v>
      </c>
      <c r="AD188">
        <f>T188*(1+ControlPanel!$B$7)</f>
        <v>14.3</v>
      </c>
      <c r="AE188" s="6">
        <f t="shared" si="40"/>
        <v>9658.6389900000013</v>
      </c>
      <c r="AF188">
        <f t="shared" si="41"/>
        <v>3961.1972400000004</v>
      </c>
    </row>
    <row r="189" spans="1:32" x14ac:dyDescent="0.3">
      <c r="A189" t="s">
        <v>506</v>
      </c>
      <c r="B189" s="4">
        <v>45861</v>
      </c>
      <c r="C189" s="4" t="str">
        <f t="shared" si="30"/>
        <v>Jul-2025</v>
      </c>
      <c r="D189" t="str">
        <f t="shared" si="31"/>
        <v>Q3-2025</v>
      </c>
      <c r="E189" s="4">
        <v>45888</v>
      </c>
      <c r="F189" s="12">
        <f t="shared" si="28"/>
        <v>45888</v>
      </c>
      <c r="G189" s="13">
        <f t="shared" si="29"/>
        <v>27</v>
      </c>
      <c r="H189" t="s">
        <v>647</v>
      </c>
      <c r="I189" t="s">
        <v>652</v>
      </c>
      <c r="J189" t="s">
        <v>694</v>
      </c>
      <c r="K189" t="s">
        <v>704</v>
      </c>
      <c r="L189" t="s">
        <v>709</v>
      </c>
      <c r="M189" t="s">
        <v>717</v>
      </c>
      <c r="N189" t="s">
        <v>733</v>
      </c>
      <c r="O189" t="s">
        <v>1225</v>
      </c>
      <c r="P189" s="6">
        <v>896.09</v>
      </c>
      <c r="Q189" s="6">
        <v>744.27</v>
      </c>
      <c r="R189" s="10">
        <v>8.3000000000000004E-2</v>
      </c>
      <c r="S189" s="10" t="b">
        <f t="shared" si="32"/>
        <v>0</v>
      </c>
      <c r="T189" s="8">
        <v>11</v>
      </c>
      <c r="U189">
        <f t="shared" si="33"/>
        <v>7507.4514899999995</v>
      </c>
      <c r="V189">
        <f t="shared" si="34"/>
        <v>9856.99</v>
      </c>
      <c r="W189">
        <f t="shared" si="35"/>
        <v>-2349.5385100000003</v>
      </c>
      <c r="X189" s="10">
        <f t="shared" si="36"/>
        <v>-0.31296086469950679</v>
      </c>
      <c r="Y189" t="str">
        <f t="shared" si="37"/>
        <v>Low</v>
      </c>
      <c r="Z189" t="str">
        <f t="shared" si="38"/>
        <v>Not Met</v>
      </c>
      <c r="AA189" t="str">
        <f t="shared" si="39"/>
        <v>Low Discount</v>
      </c>
      <c r="AB189" s="10">
        <f>MIN(R189,ControlPanel!$B$5)</f>
        <v>8.3000000000000004E-2</v>
      </c>
      <c r="AC189">
        <f>P189*(1+ControlPanel!$B$6)</f>
        <v>940.89450000000011</v>
      </c>
      <c r="AD189">
        <f>T189*(1+ControlPanel!$B$7)</f>
        <v>12.100000000000001</v>
      </c>
      <c r="AE189" s="6">
        <f t="shared" si="40"/>
        <v>8258.1966390000016</v>
      </c>
      <c r="AF189">
        <f t="shared" si="41"/>
        <v>-3126.6268110000019</v>
      </c>
    </row>
    <row r="190" spans="1:32" x14ac:dyDescent="0.3">
      <c r="A190" t="s">
        <v>271</v>
      </c>
      <c r="B190" s="4">
        <v>45035</v>
      </c>
      <c r="C190" s="4" t="str">
        <f t="shared" si="30"/>
        <v>Apr-2023</v>
      </c>
      <c r="D190" t="str">
        <f t="shared" si="31"/>
        <v>Q2-2023</v>
      </c>
      <c r="E190" s="4">
        <v>45053</v>
      </c>
      <c r="F190" s="12">
        <f t="shared" si="28"/>
        <v>45053</v>
      </c>
      <c r="G190" s="13">
        <f t="shared" si="29"/>
        <v>18</v>
      </c>
      <c r="H190" t="s">
        <v>649</v>
      </c>
      <c r="I190" t="s">
        <v>658</v>
      </c>
      <c r="J190" t="s">
        <v>683</v>
      </c>
      <c r="K190" t="s">
        <v>703</v>
      </c>
      <c r="L190" t="s">
        <v>711</v>
      </c>
      <c r="M190" t="s">
        <v>722</v>
      </c>
      <c r="N190" t="s">
        <v>729</v>
      </c>
      <c r="O190" t="s">
        <v>991</v>
      </c>
      <c r="P190" s="6">
        <v>516.96</v>
      </c>
      <c r="Q190" s="6">
        <v>745.38</v>
      </c>
      <c r="R190" s="10">
        <v>0.19700000000000001</v>
      </c>
      <c r="S190" s="10" t="b">
        <f t="shared" si="32"/>
        <v>0</v>
      </c>
      <c r="T190" s="8">
        <v>4</v>
      </c>
      <c r="U190">
        <f t="shared" si="33"/>
        <v>2394.1605599999998</v>
      </c>
      <c r="V190">
        <f t="shared" si="34"/>
        <v>2067.84</v>
      </c>
      <c r="W190">
        <f t="shared" si="35"/>
        <v>326.32055999999966</v>
      </c>
      <c r="X190" s="10">
        <f t="shared" si="36"/>
        <v>0.13629852794835101</v>
      </c>
      <c r="Y190" t="str">
        <f t="shared" si="37"/>
        <v>Low</v>
      </c>
      <c r="Z190" t="str">
        <f t="shared" si="38"/>
        <v>Not Met</v>
      </c>
      <c r="AA190" t="str">
        <f t="shared" si="39"/>
        <v>Low Discount</v>
      </c>
      <c r="AB190" s="10">
        <f>MIN(R190,ControlPanel!$B$5)</f>
        <v>0.19700000000000001</v>
      </c>
      <c r="AC190">
        <f>P190*(1+ControlPanel!$B$6)</f>
        <v>542.80800000000011</v>
      </c>
      <c r="AD190">
        <f>T190*(1+ControlPanel!$B$7)</f>
        <v>4.4000000000000004</v>
      </c>
      <c r="AE190" s="6">
        <f t="shared" si="40"/>
        <v>2633.5766159999998</v>
      </c>
      <c r="AF190">
        <f t="shared" si="41"/>
        <v>245.22141599999895</v>
      </c>
    </row>
    <row r="191" spans="1:32" x14ac:dyDescent="0.3">
      <c r="A191" t="s">
        <v>509</v>
      </c>
      <c r="B191" s="4">
        <v>45508</v>
      </c>
      <c r="C191" s="4" t="str">
        <f t="shared" si="30"/>
        <v>Aug-2024</v>
      </c>
      <c r="D191" t="str">
        <f t="shared" si="31"/>
        <v>Q3-2024</v>
      </c>
      <c r="E191" s="4">
        <v>45521</v>
      </c>
      <c r="F191" s="12">
        <f t="shared" si="28"/>
        <v>45521</v>
      </c>
      <c r="G191" s="13">
        <f t="shared" si="29"/>
        <v>13</v>
      </c>
      <c r="H191" t="s">
        <v>648</v>
      </c>
      <c r="I191" t="s">
        <v>660</v>
      </c>
      <c r="J191" t="s">
        <v>697</v>
      </c>
      <c r="K191" t="s">
        <v>704</v>
      </c>
      <c r="L191" t="s">
        <v>707</v>
      </c>
      <c r="M191" t="s">
        <v>726</v>
      </c>
      <c r="N191" t="s">
        <v>732</v>
      </c>
      <c r="O191" t="s">
        <v>1228</v>
      </c>
      <c r="P191" s="6">
        <v>352.79</v>
      </c>
      <c r="Q191" s="6">
        <v>754.22</v>
      </c>
      <c r="R191" s="10">
        <v>0.113</v>
      </c>
      <c r="S191" s="10" t="b">
        <f t="shared" si="32"/>
        <v>0</v>
      </c>
      <c r="T191" s="8">
        <v>7</v>
      </c>
      <c r="U191">
        <f t="shared" si="33"/>
        <v>4682.9519799999998</v>
      </c>
      <c r="V191">
        <f t="shared" si="34"/>
        <v>2469.5300000000002</v>
      </c>
      <c r="W191">
        <f t="shared" si="35"/>
        <v>2213.4219799999996</v>
      </c>
      <c r="X191" s="10">
        <f t="shared" si="36"/>
        <v>0.47265528014233443</v>
      </c>
      <c r="Y191" t="str">
        <f t="shared" si="37"/>
        <v>Low</v>
      </c>
      <c r="Z191" t="str">
        <f t="shared" si="38"/>
        <v>Not Met</v>
      </c>
      <c r="AA191" t="str">
        <f t="shared" si="39"/>
        <v>Low Discount</v>
      </c>
      <c r="AB191" s="10">
        <f>MIN(R191,ControlPanel!$B$5)</f>
        <v>0.113</v>
      </c>
      <c r="AC191">
        <f>P191*(1+ControlPanel!$B$6)</f>
        <v>370.42950000000002</v>
      </c>
      <c r="AD191">
        <f>T191*(1+ControlPanel!$B$7)</f>
        <v>7.7000000000000011</v>
      </c>
      <c r="AE191" s="6">
        <f t="shared" si="40"/>
        <v>5151.2471780000014</v>
      </c>
      <c r="AF191">
        <f t="shared" si="41"/>
        <v>2298.9400280000009</v>
      </c>
    </row>
    <row r="192" spans="1:32" x14ac:dyDescent="0.3">
      <c r="A192" t="s">
        <v>587</v>
      </c>
      <c r="B192" s="4">
        <v>45293</v>
      </c>
      <c r="C192" s="4" t="str">
        <f t="shared" si="30"/>
        <v>Jan-2024</v>
      </c>
      <c r="D192" t="str">
        <f t="shared" si="31"/>
        <v>Q1-2024</v>
      </c>
      <c r="E192" s="4">
        <v>45293</v>
      </c>
      <c r="F192" s="12">
        <f t="shared" si="28"/>
        <v>45293</v>
      </c>
      <c r="G192" s="13">
        <f t="shared" si="29"/>
        <v>0</v>
      </c>
      <c r="H192" t="s">
        <v>648</v>
      </c>
      <c r="I192" t="s">
        <v>653</v>
      </c>
      <c r="J192" t="s">
        <v>688</v>
      </c>
      <c r="K192" t="s">
        <v>702</v>
      </c>
      <c r="L192" t="s">
        <v>711</v>
      </c>
      <c r="M192" t="s">
        <v>720</v>
      </c>
      <c r="N192" t="s">
        <v>731</v>
      </c>
      <c r="O192" t="s">
        <v>1305</v>
      </c>
      <c r="P192" s="6">
        <v>444.41</v>
      </c>
      <c r="Q192" s="6">
        <v>754.24</v>
      </c>
      <c r="R192" s="10">
        <v>0.20699999999999999</v>
      </c>
      <c r="S192" s="10" t="b">
        <f t="shared" si="32"/>
        <v>0</v>
      </c>
      <c r="T192" s="8">
        <v>32</v>
      </c>
      <c r="U192">
        <f t="shared" si="33"/>
        <v>19139.594240000002</v>
      </c>
      <c r="V192">
        <f t="shared" si="34"/>
        <v>14221.12</v>
      </c>
      <c r="W192">
        <f t="shared" si="35"/>
        <v>4918.4742400000014</v>
      </c>
      <c r="X192" s="10">
        <f t="shared" si="36"/>
        <v>0.25697902360546598</v>
      </c>
      <c r="Y192" t="str">
        <f t="shared" si="37"/>
        <v>Low</v>
      </c>
      <c r="Z192" t="str">
        <f t="shared" si="38"/>
        <v>Met</v>
      </c>
      <c r="AA192" t="str">
        <f t="shared" si="39"/>
        <v>High Discount</v>
      </c>
      <c r="AB192" s="10">
        <f>MIN(R192,ControlPanel!$B$5)</f>
        <v>0.2</v>
      </c>
      <c r="AC192">
        <f>P192*(1+ControlPanel!$B$6)</f>
        <v>466.63050000000004</v>
      </c>
      <c r="AD192">
        <f>T192*(1+ControlPanel!$B$7)</f>
        <v>35.200000000000003</v>
      </c>
      <c r="AE192" s="6">
        <f t="shared" si="40"/>
        <v>21239.398400000002</v>
      </c>
      <c r="AF192">
        <f t="shared" si="41"/>
        <v>4814.0047999999988</v>
      </c>
    </row>
    <row r="193" spans="1:32" x14ac:dyDescent="0.3">
      <c r="A193" t="s">
        <v>79</v>
      </c>
      <c r="B193" s="4">
        <v>44972</v>
      </c>
      <c r="C193" s="4" t="str">
        <f t="shared" si="30"/>
        <v>Feb-2023</v>
      </c>
      <c r="D193" t="str">
        <f t="shared" si="31"/>
        <v>Q1-2023</v>
      </c>
      <c r="E193" s="4">
        <v>44983</v>
      </c>
      <c r="F193" s="12">
        <f t="shared" si="28"/>
        <v>44983</v>
      </c>
      <c r="G193" s="13">
        <f t="shared" si="29"/>
        <v>11</v>
      </c>
      <c r="H193" t="s">
        <v>646</v>
      </c>
      <c r="I193" t="s">
        <v>661</v>
      </c>
      <c r="J193" t="s">
        <v>682</v>
      </c>
      <c r="K193" t="s">
        <v>703</v>
      </c>
      <c r="L193" t="s">
        <v>707</v>
      </c>
      <c r="M193" t="s">
        <v>723</v>
      </c>
      <c r="N193" t="s">
        <v>731</v>
      </c>
      <c r="O193" t="s">
        <v>798</v>
      </c>
      <c r="P193" s="6">
        <v>498.5</v>
      </c>
      <c r="Q193" s="6">
        <v>755.87</v>
      </c>
      <c r="R193" s="10">
        <v>0.13</v>
      </c>
      <c r="S193" s="10" t="b">
        <f t="shared" si="32"/>
        <v>0</v>
      </c>
      <c r="T193" s="8">
        <v>40</v>
      </c>
      <c r="U193">
        <f t="shared" si="33"/>
        <v>26304.275999999998</v>
      </c>
      <c r="V193">
        <f t="shared" si="34"/>
        <v>19940</v>
      </c>
      <c r="W193">
        <f t="shared" si="35"/>
        <v>6364.275999999998</v>
      </c>
      <c r="X193" s="10">
        <f t="shared" si="36"/>
        <v>0.24194834330357537</v>
      </c>
      <c r="Y193" t="str">
        <f t="shared" si="37"/>
        <v>Low</v>
      </c>
      <c r="Z193" t="str">
        <f t="shared" si="38"/>
        <v>Not Met</v>
      </c>
      <c r="AA193" t="str">
        <f t="shared" si="39"/>
        <v>Low Discount</v>
      </c>
      <c r="AB193" s="10">
        <f>MIN(R193,ControlPanel!$B$5)</f>
        <v>0.13</v>
      </c>
      <c r="AC193">
        <f>P193*(1+ControlPanel!$B$6)</f>
        <v>523.42500000000007</v>
      </c>
      <c r="AD193">
        <f>T193*(1+ControlPanel!$B$7)</f>
        <v>44</v>
      </c>
      <c r="AE193" s="6">
        <f t="shared" si="40"/>
        <v>28934.703600000001</v>
      </c>
      <c r="AF193">
        <f t="shared" si="41"/>
        <v>5904.0035999999964</v>
      </c>
    </row>
    <row r="194" spans="1:32" x14ac:dyDescent="0.3">
      <c r="A194" t="s">
        <v>471</v>
      </c>
      <c r="B194" s="4">
        <v>45048</v>
      </c>
      <c r="C194" s="4" t="str">
        <f t="shared" si="30"/>
        <v>May-2023</v>
      </c>
      <c r="D194" t="str">
        <f t="shared" si="31"/>
        <v>Q2-2023</v>
      </c>
      <c r="E194" s="4">
        <v>45065</v>
      </c>
      <c r="F194" s="12">
        <f t="shared" ref="F194:F257" si="42">IF(B194&gt;E194,B194+14,E194)</f>
        <v>45065</v>
      </c>
      <c r="G194" s="13">
        <f t="shared" ref="G194:G257" si="43">F194-B194</f>
        <v>17</v>
      </c>
      <c r="H194" t="s">
        <v>647</v>
      </c>
      <c r="I194" t="s">
        <v>659</v>
      </c>
      <c r="J194" t="s">
        <v>685</v>
      </c>
      <c r="K194" t="s">
        <v>703</v>
      </c>
      <c r="L194" t="s">
        <v>711</v>
      </c>
      <c r="M194" t="s">
        <v>713</v>
      </c>
      <c r="N194" t="s">
        <v>732</v>
      </c>
      <c r="O194" t="s">
        <v>1190</v>
      </c>
      <c r="P194" s="6">
        <v>714.28</v>
      </c>
      <c r="Q194" s="6">
        <v>757.59</v>
      </c>
      <c r="R194" s="10">
        <v>0.13600000000000001</v>
      </c>
      <c r="S194" s="10" t="b">
        <f t="shared" si="32"/>
        <v>0</v>
      </c>
      <c r="T194" s="8">
        <v>12</v>
      </c>
      <c r="U194">
        <f t="shared" si="33"/>
        <v>7854.6931199999999</v>
      </c>
      <c r="V194">
        <f t="shared" si="34"/>
        <v>8571.36</v>
      </c>
      <c r="W194">
        <f t="shared" si="35"/>
        <v>-716.66688000000067</v>
      </c>
      <c r="X194" s="10">
        <f t="shared" si="36"/>
        <v>-9.1240595787910383E-2</v>
      </c>
      <c r="Y194" t="str">
        <f t="shared" si="37"/>
        <v>Low</v>
      </c>
      <c r="Z194" t="str">
        <f t="shared" si="38"/>
        <v>Not Met</v>
      </c>
      <c r="AA194" t="str">
        <f t="shared" si="39"/>
        <v>Low Discount</v>
      </c>
      <c r="AB194" s="10">
        <f>MIN(R194,ControlPanel!$B$5)</f>
        <v>0.13600000000000001</v>
      </c>
      <c r="AC194">
        <f>P194*(1+ControlPanel!$B$6)</f>
        <v>749.99400000000003</v>
      </c>
      <c r="AD194">
        <f>T194*(1+ControlPanel!$B$7)</f>
        <v>13.200000000000001</v>
      </c>
      <c r="AE194" s="6">
        <f t="shared" si="40"/>
        <v>8640.162432000001</v>
      </c>
      <c r="AF194">
        <f t="shared" si="41"/>
        <v>-1259.7583680000007</v>
      </c>
    </row>
    <row r="195" spans="1:32" x14ac:dyDescent="0.3">
      <c r="A195" t="s">
        <v>42</v>
      </c>
      <c r="B195" s="4">
        <v>45492</v>
      </c>
      <c r="C195" s="4" t="str">
        <f t="shared" ref="C195:C258" si="44">TEXT(B195,"MMM-YYYY")</f>
        <v>Jul-2024</v>
      </c>
      <c r="D195" t="str">
        <f t="shared" ref="D195:D258" si="45">"Q" &amp; ROUNDUP(MONTH(B195)/3,0) &amp; "-" &amp; YEAR(B195)</f>
        <v>Q3-2024</v>
      </c>
      <c r="E195" s="4">
        <v>45492</v>
      </c>
      <c r="F195" s="12">
        <f t="shared" si="42"/>
        <v>45492</v>
      </c>
      <c r="G195" s="13">
        <f t="shared" si="43"/>
        <v>0</v>
      </c>
      <c r="H195" t="s">
        <v>646</v>
      </c>
      <c r="I195" t="s">
        <v>650</v>
      </c>
      <c r="J195" t="s">
        <v>662</v>
      </c>
      <c r="K195" t="s">
        <v>705</v>
      </c>
      <c r="L195" t="s">
        <v>707</v>
      </c>
      <c r="M195" t="s">
        <v>720</v>
      </c>
      <c r="N195" t="s">
        <v>730</v>
      </c>
      <c r="O195" t="s">
        <v>761</v>
      </c>
      <c r="P195" s="6">
        <v>857.24</v>
      </c>
      <c r="Q195" s="6">
        <v>758.23</v>
      </c>
      <c r="R195" s="10">
        <v>0.125</v>
      </c>
      <c r="S195" s="10" t="b">
        <f t="shared" ref="S195:S258" si="46">IF(R195&gt;30,TRUE)</f>
        <v>0</v>
      </c>
      <c r="T195" s="8">
        <v>6</v>
      </c>
      <c r="U195">
        <f t="shared" ref="U195:U258" si="47">(Q195*(100%-R195))*T195</f>
        <v>3980.7075000000004</v>
      </c>
      <c r="V195">
        <f t="shared" ref="V195:V258" si="48">P195*T195</f>
        <v>5143.4400000000005</v>
      </c>
      <c r="W195">
        <f t="shared" ref="W195:W258" si="49">U195-V195</f>
        <v>-1162.7325000000001</v>
      </c>
      <c r="X195" s="10">
        <f t="shared" ref="X195:X258" si="50">IF(U195=0,0,W195/U195)</f>
        <v>-0.29209192084572905</v>
      </c>
      <c r="Y195" t="str">
        <f t="shared" ref="Y195:Y258" si="51">IF(Q195&lt;=_xlfn.PERCENTILE.INC($Q$2:$Q$610,0.33),"Low",IF(Q195&lt;=_xlfn.PERCENTILE.INC($Q$2:$Q$610,0.67),"Medium","High"))</f>
        <v>Low</v>
      </c>
      <c r="Z195" t="str">
        <f t="shared" ref="Z195:Z258" si="52">IF(G195&lt;=7,"Met","Not Met")</f>
        <v>Met</v>
      </c>
      <c r="AA195" t="str">
        <f t="shared" ref="AA195:AA258" si="53">IF(R195&gt;20%,"High Discount","Low Discount")</f>
        <v>Low Discount</v>
      </c>
      <c r="AB195" s="10">
        <f>MIN(R195,ControlPanel!$B$5)</f>
        <v>0.125</v>
      </c>
      <c r="AC195">
        <f>P195*(1+ControlPanel!$B$6)</f>
        <v>900.10200000000009</v>
      </c>
      <c r="AD195">
        <f>T195*(1+ControlPanel!$B$7)</f>
        <v>6.6000000000000005</v>
      </c>
      <c r="AE195" s="6">
        <f t="shared" ref="AE195:AE258" si="54">(Q195*(100%-AB195)*AD195)</f>
        <v>4378.7782500000012</v>
      </c>
      <c r="AF195">
        <f t="shared" ref="AF195:AF258" si="55">AE195-(AC195*AD195)</f>
        <v>-1561.8949499999999</v>
      </c>
    </row>
    <row r="196" spans="1:32" x14ac:dyDescent="0.3">
      <c r="A196" t="s">
        <v>268</v>
      </c>
      <c r="B196" s="4">
        <v>45592</v>
      </c>
      <c r="C196" s="4" t="str">
        <f t="shared" si="44"/>
        <v>Oct-2024</v>
      </c>
      <c r="D196" t="str">
        <f t="shared" si="45"/>
        <v>Q4-2024</v>
      </c>
      <c r="E196" s="4">
        <v>45616</v>
      </c>
      <c r="F196" s="12">
        <f t="shared" si="42"/>
        <v>45616</v>
      </c>
      <c r="G196" s="13">
        <f t="shared" si="43"/>
        <v>24</v>
      </c>
      <c r="H196" t="s">
        <v>647</v>
      </c>
      <c r="I196" t="s">
        <v>652</v>
      </c>
      <c r="J196" t="s">
        <v>694</v>
      </c>
      <c r="K196" t="s">
        <v>703</v>
      </c>
      <c r="L196" t="s">
        <v>708</v>
      </c>
      <c r="M196" t="s">
        <v>722</v>
      </c>
      <c r="N196" t="s">
        <v>732</v>
      </c>
      <c r="O196" t="s">
        <v>988</v>
      </c>
      <c r="P196" s="6">
        <v>317.25</v>
      </c>
      <c r="Q196" s="6">
        <v>758.92</v>
      </c>
      <c r="R196" s="10">
        <v>5.2999999999999999E-2</v>
      </c>
      <c r="S196" s="10" t="b">
        <f t="shared" si="46"/>
        <v>0</v>
      </c>
      <c r="T196" s="8">
        <v>9</v>
      </c>
      <c r="U196">
        <f t="shared" si="47"/>
        <v>6468.2751599999992</v>
      </c>
      <c r="V196">
        <f t="shared" si="48"/>
        <v>2855.25</v>
      </c>
      <c r="W196">
        <f t="shared" si="49"/>
        <v>3613.0251599999992</v>
      </c>
      <c r="X196" s="10">
        <f t="shared" si="50"/>
        <v>0.5585762928489888</v>
      </c>
      <c r="Y196" t="str">
        <f t="shared" si="51"/>
        <v>Low</v>
      </c>
      <c r="Z196" t="str">
        <f t="shared" si="52"/>
        <v>Not Met</v>
      </c>
      <c r="AA196" t="str">
        <f t="shared" si="53"/>
        <v>Low Discount</v>
      </c>
      <c r="AB196" s="10">
        <f>MIN(R196,ControlPanel!$B$5)</f>
        <v>5.2999999999999999E-2</v>
      </c>
      <c r="AC196">
        <f>P196*(1+ControlPanel!$B$6)</f>
        <v>333.11250000000001</v>
      </c>
      <c r="AD196">
        <f>T196*(1+ControlPanel!$B$7)</f>
        <v>9.9</v>
      </c>
      <c r="AE196" s="6">
        <f t="shared" si="54"/>
        <v>7115.1026759999995</v>
      </c>
      <c r="AF196">
        <f t="shared" si="55"/>
        <v>3817.2889259999993</v>
      </c>
    </row>
    <row r="197" spans="1:32" x14ac:dyDescent="0.3">
      <c r="A197" t="s">
        <v>16</v>
      </c>
      <c r="B197" s="4">
        <v>45588</v>
      </c>
      <c r="C197" s="4" t="str">
        <f t="shared" si="44"/>
        <v>Oct-2024</v>
      </c>
      <c r="D197" t="str">
        <f t="shared" si="45"/>
        <v>Q4-2024</v>
      </c>
      <c r="E197" s="4">
        <v>45587</v>
      </c>
      <c r="F197" s="12">
        <f t="shared" si="42"/>
        <v>45602</v>
      </c>
      <c r="G197" s="13">
        <f t="shared" si="43"/>
        <v>14</v>
      </c>
      <c r="H197" t="s">
        <v>646</v>
      </c>
      <c r="I197" t="s">
        <v>651</v>
      </c>
      <c r="J197" t="s">
        <v>663</v>
      </c>
      <c r="K197" t="s">
        <v>702</v>
      </c>
      <c r="L197" t="s">
        <v>708</v>
      </c>
      <c r="M197" t="s">
        <v>713</v>
      </c>
      <c r="N197" t="s">
        <v>728</v>
      </c>
      <c r="O197" t="s">
        <v>735</v>
      </c>
      <c r="P197" s="6">
        <v>1084.3900000000001</v>
      </c>
      <c r="Q197" s="6">
        <v>759.33</v>
      </c>
      <c r="R197" s="10">
        <v>0.23699999999999999</v>
      </c>
      <c r="S197" s="10" t="b">
        <f t="shared" si="46"/>
        <v>0</v>
      </c>
      <c r="T197" s="8">
        <v>31</v>
      </c>
      <c r="U197">
        <f t="shared" si="47"/>
        <v>17960.432489999999</v>
      </c>
      <c r="V197">
        <f t="shared" si="48"/>
        <v>33616.090000000004</v>
      </c>
      <c r="W197">
        <f t="shared" si="49"/>
        <v>-15655.657510000005</v>
      </c>
      <c r="X197" s="10">
        <f t="shared" si="50"/>
        <v>-0.87167486187856302</v>
      </c>
      <c r="Y197" t="str">
        <f t="shared" si="51"/>
        <v>Low</v>
      </c>
      <c r="Z197" t="str">
        <f t="shared" si="52"/>
        <v>Not Met</v>
      </c>
      <c r="AA197" t="str">
        <f t="shared" si="53"/>
        <v>High Discount</v>
      </c>
      <c r="AB197" s="10">
        <f>MIN(R197,ControlPanel!$B$5)</f>
        <v>0.2</v>
      </c>
      <c r="AC197">
        <f>P197*(1+ControlPanel!$B$6)</f>
        <v>1138.6095000000003</v>
      </c>
      <c r="AD197">
        <f>T197*(1+ControlPanel!$B$7)</f>
        <v>34.1</v>
      </c>
      <c r="AE197" s="6">
        <f t="shared" si="54"/>
        <v>20714.522400000002</v>
      </c>
      <c r="AF197">
        <f t="shared" si="55"/>
        <v>-18112.061550000006</v>
      </c>
    </row>
    <row r="198" spans="1:32" x14ac:dyDescent="0.3">
      <c r="A198" t="s">
        <v>378</v>
      </c>
      <c r="B198" s="4">
        <v>45082</v>
      </c>
      <c r="C198" s="4" t="str">
        <f t="shared" si="44"/>
        <v>Jun-2023</v>
      </c>
      <c r="D198" t="str">
        <f t="shared" si="45"/>
        <v>Q2-2023</v>
      </c>
      <c r="E198" s="4">
        <v>45105</v>
      </c>
      <c r="F198" s="12">
        <f t="shared" si="42"/>
        <v>45105</v>
      </c>
      <c r="G198" s="13">
        <f t="shared" si="43"/>
        <v>23</v>
      </c>
      <c r="H198" t="s">
        <v>649</v>
      </c>
      <c r="I198" t="s">
        <v>658</v>
      </c>
      <c r="J198" t="s">
        <v>674</v>
      </c>
      <c r="K198" t="s">
        <v>701</v>
      </c>
      <c r="L198" t="s">
        <v>711</v>
      </c>
      <c r="M198" t="s">
        <v>723</v>
      </c>
      <c r="N198" t="s">
        <v>728</v>
      </c>
      <c r="O198" t="s">
        <v>1098</v>
      </c>
      <c r="P198" s="6">
        <v>605.82000000000005</v>
      </c>
      <c r="Q198" s="6">
        <v>771.12</v>
      </c>
      <c r="R198" s="10">
        <v>0.13200000000000001</v>
      </c>
      <c r="S198" s="10" t="b">
        <f t="shared" si="46"/>
        <v>0</v>
      </c>
      <c r="T198" s="8">
        <v>19</v>
      </c>
      <c r="U198">
        <f t="shared" si="47"/>
        <v>12717.311040000001</v>
      </c>
      <c r="V198">
        <f t="shared" si="48"/>
        <v>11510.580000000002</v>
      </c>
      <c r="W198">
        <f t="shared" si="49"/>
        <v>1206.7310399999988</v>
      </c>
      <c r="X198" s="10">
        <f t="shared" si="50"/>
        <v>9.4888851597986767E-2</v>
      </c>
      <c r="Y198" t="str">
        <f t="shared" si="51"/>
        <v>Low</v>
      </c>
      <c r="Z198" t="str">
        <f t="shared" si="52"/>
        <v>Not Met</v>
      </c>
      <c r="AA198" t="str">
        <f t="shared" si="53"/>
        <v>Low Discount</v>
      </c>
      <c r="AB198" s="10">
        <f>MIN(R198,ControlPanel!$B$5)</f>
        <v>0.13200000000000001</v>
      </c>
      <c r="AC198">
        <f>P198*(1+ControlPanel!$B$6)</f>
        <v>636.1110000000001</v>
      </c>
      <c r="AD198">
        <f>T198*(1+ControlPanel!$B$7)</f>
        <v>20.900000000000002</v>
      </c>
      <c r="AE198" s="6">
        <f t="shared" si="54"/>
        <v>13989.042144000003</v>
      </c>
      <c r="AF198">
        <f t="shared" si="55"/>
        <v>694.32224399999905</v>
      </c>
    </row>
    <row r="199" spans="1:32" x14ac:dyDescent="0.3">
      <c r="A199" t="s">
        <v>323</v>
      </c>
      <c r="B199" s="4">
        <v>44936</v>
      </c>
      <c r="C199" s="4" t="str">
        <f t="shared" si="44"/>
        <v>Jan-2023</v>
      </c>
      <c r="D199" t="str">
        <f t="shared" si="45"/>
        <v>Q1-2023</v>
      </c>
      <c r="E199" s="4">
        <v>44955</v>
      </c>
      <c r="F199" s="12">
        <f t="shared" si="42"/>
        <v>44955</v>
      </c>
      <c r="G199" s="13">
        <f t="shared" si="43"/>
        <v>19</v>
      </c>
      <c r="H199" t="s">
        <v>649</v>
      </c>
      <c r="I199" t="s">
        <v>657</v>
      </c>
      <c r="J199" t="s">
        <v>679</v>
      </c>
      <c r="K199" t="s">
        <v>703</v>
      </c>
      <c r="L199" t="s">
        <v>711</v>
      </c>
      <c r="M199" t="s">
        <v>726</v>
      </c>
      <c r="N199" t="s">
        <v>731</v>
      </c>
      <c r="O199" t="s">
        <v>1043</v>
      </c>
      <c r="P199" s="6">
        <v>401.66</v>
      </c>
      <c r="Q199" s="6">
        <v>772.09</v>
      </c>
      <c r="R199" s="10">
        <v>8.8999999999999996E-2</v>
      </c>
      <c r="S199" s="10" t="b">
        <f t="shared" si="46"/>
        <v>0</v>
      </c>
      <c r="T199" s="8">
        <v>14</v>
      </c>
      <c r="U199">
        <f t="shared" si="47"/>
        <v>9847.2358600000007</v>
      </c>
      <c r="V199">
        <f t="shared" si="48"/>
        <v>5623.2400000000007</v>
      </c>
      <c r="W199">
        <f t="shared" si="49"/>
        <v>4223.99586</v>
      </c>
      <c r="X199" s="10">
        <f t="shared" si="50"/>
        <v>0.42895244107619046</v>
      </c>
      <c r="Y199" t="str">
        <f t="shared" si="51"/>
        <v>Low</v>
      </c>
      <c r="Z199" t="str">
        <f t="shared" si="52"/>
        <v>Not Met</v>
      </c>
      <c r="AA199" t="str">
        <f t="shared" si="53"/>
        <v>Low Discount</v>
      </c>
      <c r="AB199" s="10">
        <f>MIN(R199,ControlPanel!$B$5)</f>
        <v>8.8999999999999996E-2</v>
      </c>
      <c r="AC199">
        <f>P199*(1+ControlPanel!$B$6)</f>
        <v>421.74300000000005</v>
      </c>
      <c r="AD199">
        <f>T199*(1+ControlPanel!$B$7)</f>
        <v>15.400000000000002</v>
      </c>
      <c r="AE199" s="6">
        <f t="shared" si="54"/>
        <v>10831.959446000003</v>
      </c>
      <c r="AF199">
        <f t="shared" si="55"/>
        <v>4337.1172460000007</v>
      </c>
    </row>
    <row r="200" spans="1:32" x14ac:dyDescent="0.3">
      <c r="A200" t="s">
        <v>228</v>
      </c>
      <c r="B200" s="4">
        <v>45240</v>
      </c>
      <c r="C200" s="4" t="str">
        <f t="shared" si="44"/>
        <v>Nov-2023</v>
      </c>
      <c r="D200" t="str">
        <f t="shared" si="45"/>
        <v>Q4-2023</v>
      </c>
      <c r="E200" s="4">
        <v>45258</v>
      </c>
      <c r="F200" s="12">
        <f t="shared" si="42"/>
        <v>45258</v>
      </c>
      <c r="G200" s="13">
        <f t="shared" si="43"/>
        <v>18</v>
      </c>
      <c r="H200" t="s">
        <v>648</v>
      </c>
      <c r="I200" t="s">
        <v>655</v>
      </c>
      <c r="J200" t="s">
        <v>672</v>
      </c>
      <c r="K200" t="s">
        <v>702</v>
      </c>
      <c r="L200" t="s">
        <v>709</v>
      </c>
      <c r="M200" t="s">
        <v>716</v>
      </c>
      <c r="N200" t="s">
        <v>733</v>
      </c>
      <c r="O200" t="s">
        <v>948</v>
      </c>
      <c r="P200" s="6">
        <v>388.51</v>
      </c>
      <c r="Q200" s="6">
        <v>776.46</v>
      </c>
      <c r="R200" s="10">
        <v>0.157</v>
      </c>
      <c r="S200" s="10" t="b">
        <f t="shared" si="46"/>
        <v>0</v>
      </c>
      <c r="T200" s="8">
        <v>12</v>
      </c>
      <c r="U200">
        <f t="shared" si="47"/>
        <v>7854.6693599999999</v>
      </c>
      <c r="V200">
        <f t="shared" si="48"/>
        <v>4662.12</v>
      </c>
      <c r="W200">
        <f t="shared" si="49"/>
        <v>3192.54936</v>
      </c>
      <c r="X200" s="10">
        <f t="shared" si="50"/>
        <v>0.40645241876864946</v>
      </c>
      <c r="Y200" t="str">
        <f t="shared" si="51"/>
        <v>Low</v>
      </c>
      <c r="Z200" t="str">
        <f t="shared" si="52"/>
        <v>Not Met</v>
      </c>
      <c r="AA200" t="str">
        <f t="shared" si="53"/>
        <v>Low Discount</v>
      </c>
      <c r="AB200" s="10">
        <f>MIN(R200,ControlPanel!$B$5)</f>
        <v>0.157</v>
      </c>
      <c r="AC200">
        <f>P200*(1+ControlPanel!$B$6)</f>
        <v>407.93549999999999</v>
      </c>
      <c r="AD200">
        <f>T200*(1+ControlPanel!$B$7)</f>
        <v>13.200000000000001</v>
      </c>
      <c r="AE200" s="6">
        <f t="shared" si="54"/>
        <v>8640.1362960000006</v>
      </c>
      <c r="AF200">
        <f t="shared" si="55"/>
        <v>3255.3876960000007</v>
      </c>
    </row>
    <row r="201" spans="1:32" x14ac:dyDescent="0.3">
      <c r="A201" t="s">
        <v>207</v>
      </c>
      <c r="B201" s="4">
        <v>45214</v>
      </c>
      <c r="C201" s="4" t="str">
        <f t="shared" si="44"/>
        <v>Oct-2023</v>
      </c>
      <c r="D201" t="str">
        <f t="shared" si="45"/>
        <v>Q4-2023</v>
      </c>
      <c r="E201" s="4">
        <v>45243</v>
      </c>
      <c r="F201" s="12">
        <f t="shared" si="42"/>
        <v>45243</v>
      </c>
      <c r="G201" s="13">
        <f t="shared" si="43"/>
        <v>29</v>
      </c>
      <c r="H201" t="s">
        <v>647</v>
      </c>
      <c r="I201" t="s">
        <v>659</v>
      </c>
      <c r="J201" t="s">
        <v>676</v>
      </c>
      <c r="K201" t="s">
        <v>703</v>
      </c>
      <c r="L201" t="s">
        <v>710</v>
      </c>
      <c r="M201" t="s">
        <v>713</v>
      </c>
      <c r="N201" t="s">
        <v>728</v>
      </c>
      <c r="O201" t="s">
        <v>927</v>
      </c>
      <c r="P201" s="6">
        <v>986.44</v>
      </c>
      <c r="Q201" s="6">
        <v>790.61</v>
      </c>
      <c r="R201" s="10">
        <v>7.1999999999999995E-2</v>
      </c>
      <c r="S201" s="10" t="b">
        <f t="shared" si="46"/>
        <v>0</v>
      </c>
      <c r="T201" s="8">
        <v>6</v>
      </c>
      <c r="U201">
        <f t="shared" si="47"/>
        <v>4402.1164800000006</v>
      </c>
      <c r="V201">
        <f t="shared" si="48"/>
        <v>5918.64</v>
      </c>
      <c r="W201">
        <f t="shared" si="49"/>
        <v>-1516.5235199999997</v>
      </c>
      <c r="X201" s="10">
        <f t="shared" si="50"/>
        <v>-0.34449872621271471</v>
      </c>
      <c r="Y201" t="str">
        <f t="shared" si="51"/>
        <v>Low</v>
      </c>
      <c r="Z201" t="str">
        <f t="shared" si="52"/>
        <v>Not Met</v>
      </c>
      <c r="AA201" t="str">
        <f t="shared" si="53"/>
        <v>Low Discount</v>
      </c>
      <c r="AB201" s="10">
        <f>MIN(R201,ControlPanel!$B$5)</f>
        <v>7.1999999999999995E-2</v>
      </c>
      <c r="AC201">
        <f>P201*(1+ControlPanel!$B$6)</f>
        <v>1035.7620000000002</v>
      </c>
      <c r="AD201">
        <f>T201*(1+ControlPanel!$B$7)</f>
        <v>6.6000000000000005</v>
      </c>
      <c r="AE201" s="6">
        <f t="shared" si="54"/>
        <v>4842.328128000001</v>
      </c>
      <c r="AF201">
        <f t="shared" si="55"/>
        <v>-1993.7010720000007</v>
      </c>
    </row>
    <row r="202" spans="1:32" x14ac:dyDescent="0.3">
      <c r="A202" t="s">
        <v>431</v>
      </c>
      <c r="B202" s="4">
        <v>45813</v>
      </c>
      <c r="C202" s="4" t="str">
        <f t="shared" si="44"/>
        <v>Jun-2025</v>
      </c>
      <c r="D202" t="str">
        <f t="shared" si="45"/>
        <v>Q2-2025</v>
      </c>
      <c r="E202" s="4">
        <v>45822</v>
      </c>
      <c r="F202" s="12">
        <f t="shared" si="42"/>
        <v>45822</v>
      </c>
      <c r="G202" s="13">
        <f t="shared" si="43"/>
        <v>9</v>
      </c>
      <c r="H202" t="s">
        <v>647</v>
      </c>
      <c r="I202" t="s">
        <v>654</v>
      </c>
      <c r="J202" t="s">
        <v>680</v>
      </c>
      <c r="K202" t="s">
        <v>703</v>
      </c>
      <c r="L202" t="s">
        <v>707</v>
      </c>
      <c r="M202" t="s">
        <v>720</v>
      </c>
      <c r="N202" t="s">
        <v>733</v>
      </c>
      <c r="O202" t="s">
        <v>1150</v>
      </c>
      <c r="P202" s="6">
        <v>618.69000000000005</v>
      </c>
      <c r="Q202" s="6">
        <v>796.15</v>
      </c>
      <c r="R202" s="10">
        <v>0.09</v>
      </c>
      <c r="S202" s="10" t="b">
        <f t="shared" si="46"/>
        <v>0</v>
      </c>
      <c r="T202" s="8">
        <v>11</v>
      </c>
      <c r="U202">
        <f t="shared" si="47"/>
        <v>7969.4614999999994</v>
      </c>
      <c r="V202">
        <f t="shared" si="48"/>
        <v>6805.59</v>
      </c>
      <c r="W202">
        <f t="shared" si="49"/>
        <v>1163.8714999999993</v>
      </c>
      <c r="X202" s="10">
        <f t="shared" si="50"/>
        <v>0.14604142325049183</v>
      </c>
      <c r="Y202" t="str">
        <f t="shared" si="51"/>
        <v>Low</v>
      </c>
      <c r="Z202" t="str">
        <f t="shared" si="52"/>
        <v>Not Met</v>
      </c>
      <c r="AA202" t="str">
        <f t="shared" si="53"/>
        <v>Low Discount</v>
      </c>
      <c r="AB202" s="10">
        <f>MIN(R202,ControlPanel!$B$5)</f>
        <v>0.09</v>
      </c>
      <c r="AC202">
        <f>P202*(1+ControlPanel!$B$6)</f>
        <v>649.62450000000013</v>
      </c>
      <c r="AD202">
        <f>T202*(1+ControlPanel!$B$7)</f>
        <v>12.100000000000001</v>
      </c>
      <c r="AE202" s="6">
        <f t="shared" si="54"/>
        <v>8766.407650000001</v>
      </c>
      <c r="AF202">
        <f t="shared" si="55"/>
        <v>905.95119999999861</v>
      </c>
    </row>
    <row r="203" spans="1:32" x14ac:dyDescent="0.3">
      <c r="A203" t="s">
        <v>19</v>
      </c>
      <c r="B203" s="4">
        <v>45266</v>
      </c>
      <c r="C203" s="4" t="str">
        <f t="shared" si="44"/>
        <v>Dec-2023</v>
      </c>
      <c r="D203" t="str">
        <f t="shared" si="45"/>
        <v>Q4-2023</v>
      </c>
      <c r="E203" s="4">
        <v>45291</v>
      </c>
      <c r="F203" s="12">
        <f t="shared" si="42"/>
        <v>45291</v>
      </c>
      <c r="G203" s="13">
        <f t="shared" si="43"/>
        <v>25</v>
      </c>
      <c r="H203" t="s">
        <v>647</v>
      </c>
      <c r="I203" t="s">
        <v>652</v>
      </c>
      <c r="J203" t="s">
        <v>666</v>
      </c>
      <c r="K203" t="s">
        <v>704</v>
      </c>
      <c r="L203" t="s">
        <v>707</v>
      </c>
      <c r="M203" t="s">
        <v>716</v>
      </c>
      <c r="N203" t="s">
        <v>728</v>
      </c>
      <c r="O203" t="s">
        <v>738</v>
      </c>
      <c r="P203" s="6">
        <v>663.03</v>
      </c>
      <c r="Q203" s="6">
        <v>813.51</v>
      </c>
      <c r="R203" s="10">
        <v>0.10199999999999999</v>
      </c>
      <c r="S203" s="10" t="b">
        <f t="shared" si="46"/>
        <v>0</v>
      </c>
      <c r="T203" s="8">
        <v>15</v>
      </c>
      <c r="U203">
        <f t="shared" si="47"/>
        <v>10957.9797</v>
      </c>
      <c r="V203">
        <f t="shared" si="48"/>
        <v>9945.4499999999989</v>
      </c>
      <c r="W203">
        <f t="shared" si="49"/>
        <v>1012.529700000001</v>
      </c>
      <c r="X203" s="10">
        <f t="shared" si="50"/>
        <v>9.2401129379715952E-2</v>
      </c>
      <c r="Y203" t="str">
        <f t="shared" si="51"/>
        <v>Low</v>
      </c>
      <c r="Z203" t="str">
        <f t="shared" si="52"/>
        <v>Not Met</v>
      </c>
      <c r="AA203" t="str">
        <f t="shared" si="53"/>
        <v>Low Discount</v>
      </c>
      <c r="AB203" s="10">
        <f>MIN(R203,ControlPanel!$B$5)</f>
        <v>0.10199999999999999</v>
      </c>
      <c r="AC203">
        <f>P203*(1+ControlPanel!$B$6)</f>
        <v>696.18150000000003</v>
      </c>
      <c r="AD203">
        <f>T203*(1+ControlPanel!$B$7)</f>
        <v>16.5</v>
      </c>
      <c r="AE203" s="6">
        <f t="shared" si="54"/>
        <v>12053.777669999999</v>
      </c>
      <c r="AF203">
        <f t="shared" si="55"/>
        <v>566.78291999999965</v>
      </c>
    </row>
    <row r="204" spans="1:32" x14ac:dyDescent="0.3">
      <c r="A204" t="s">
        <v>372</v>
      </c>
      <c r="B204" s="4">
        <v>45621</v>
      </c>
      <c r="C204" s="4" t="str">
        <f t="shared" si="44"/>
        <v>Nov-2024</v>
      </c>
      <c r="D204" t="str">
        <f t="shared" si="45"/>
        <v>Q4-2024</v>
      </c>
      <c r="E204" s="4">
        <v>45633</v>
      </c>
      <c r="F204" s="12">
        <f t="shared" si="42"/>
        <v>45633</v>
      </c>
      <c r="G204" s="13">
        <f t="shared" si="43"/>
        <v>12</v>
      </c>
      <c r="H204" t="s">
        <v>647</v>
      </c>
      <c r="I204" t="s">
        <v>659</v>
      </c>
      <c r="J204" t="s">
        <v>685</v>
      </c>
      <c r="K204" t="s">
        <v>701</v>
      </c>
      <c r="L204" t="s">
        <v>710</v>
      </c>
      <c r="M204" t="s">
        <v>720</v>
      </c>
      <c r="N204" t="s">
        <v>733</v>
      </c>
      <c r="O204" t="s">
        <v>1092</v>
      </c>
      <c r="P204" s="6">
        <v>769.9</v>
      </c>
      <c r="Q204" s="6">
        <v>814.36</v>
      </c>
      <c r="R204" s="10">
        <v>0</v>
      </c>
      <c r="S204" s="10" t="b">
        <f t="shared" si="46"/>
        <v>0</v>
      </c>
      <c r="T204" s="8">
        <v>5</v>
      </c>
      <c r="U204">
        <f t="shared" si="47"/>
        <v>4071.8</v>
      </c>
      <c r="V204">
        <f t="shared" si="48"/>
        <v>3849.5</v>
      </c>
      <c r="W204">
        <f t="shared" si="49"/>
        <v>222.30000000000018</v>
      </c>
      <c r="X204" s="10">
        <f t="shared" si="50"/>
        <v>5.4595019401738831E-2</v>
      </c>
      <c r="Y204" t="str">
        <f t="shared" si="51"/>
        <v>Low</v>
      </c>
      <c r="Z204" t="str">
        <f t="shared" si="52"/>
        <v>Not Met</v>
      </c>
      <c r="AA204" t="str">
        <f t="shared" si="53"/>
        <v>Low Discount</v>
      </c>
      <c r="AB204" s="10">
        <f>MIN(R204,ControlPanel!$B$5)</f>
        <v>0</v>
      </c>
      <c r="AC204">
        <f>P204*(1+ControlPanel!$B$6)</f>
        <v>808.39499999999998</v>
      </c>
      <c r="AD204">
        <f>T204*(1+ControlPanel!$B$7)</f>
        <v>5.5</v>
      </c>
      <c r="AE204" s="6">
        <f t="shared" si="54"/>
        <v>4478.9800000000005</v>
      </c>
      <c r="AF204">
        <f t="shared" si="55"/>
        <v>32.8075000000008</v>
      </c>
    </row>
    <row r="205" spans="1:32" x14ac:dyDescent="0.3">
      <c r="A205" t="s">
        <v>266</v>
      </c>
      <c r="B205" s="4">
        <v>45366</v>
      </c>
      <c r="C205" s="4" t="str">
        <f t="shared" si="44"/>
        <v>Mar-2024</v>
      </c>
      <c r="D205" t="str">
        <f t="shared" si="45"/>
        <v>Q1-2024</v>
      </c>
      <c r="E205" s="4">
        <v>45391</v>
      </c>
      <c r="F205" s="12">
        <f t="shared" si="42"/>
        <v>45391</v>
      </c>
      <c r="G205" s="13">
        <f t="shared" si="43"/>
        <v>25</v>
      </c>
      <c r="H205" t="s">
        <v>648</v>
      </c>
      <c r="I205" t="s">
        <v>653</v>
      </c>
      <c r="J205" t="s">
        <v>688</v>
      </c>
      <c r="K205" t="s">
        <v>704</v>
      </c>
      <c r="L205" t="s">
        <v>708</v>
      </c>
      <c r="M205" t="s">
        <v>721</v>
      </c>
      <c r="N205" t="s">
        <v>732</v>
      </c>
      <c r="O205" t="s">
        <v>986</v>
      </c>
      <c r="P205" s="6">
        <v>648.64</v>
      </c>
      <c r="Q205" s="6">
        <v>815.19</v>
      </c>
      <c r="R205" s="10">
        <v>0.22500000000000001</v>
      </c>
      <c r="S205" s="10" t="b">
        <f t="shared" si="46"/>
        <v>0</v>
      </c>
      <c r="T205" s="8">
        <v>28</v>
      </c>
      <c r="U205">
        <f t="shared" si="47"/>
        <v>17689.623000000003</v>
      </c>
      <c r="V205">
        <f t="shared" si="48"/>
        <v>18161.919999999998</v>
      </c>
      <c r="W205">
        <f t="shared" si="49"/>
        <v>-472.29699999999502</v>
      </c>
      <c r="X205" s="10">
        <f t="shared" si="50"/>
        <v>-2.669909924027182E-2</v>
      </c>
      <c r="Y205" t="str">
        <f t="shared" si="51"/>
        <v>Medium</v>
      </c>
      <c r="Z205" t="str">
        <f t="shared" si="52"/>
        <v>Not Met</v>
      </c>
      <c r="AA205" t="str">
        <f t="shared" si="53"/>
        <v>High Discount</v>
      </c>
      <c r="AB205" s="10">
        <f>MIN(R205,ControlPanel!$B$5)</f>
        <v>0.2</v>
      </c>
      <c r="AC205">
        <f>P205*(1+ControlPanel!$B$6)</f>
        <v>681.072</v>
      </c>
      <c r="AD205">
        <f>T205*(1+ControlPanel!$B$7)</f>
        <v>30.800000000000004</v>
      </c>
      <c r="AE205" s="6">
        <f t="shared" si="54"/>
        <v>20086.281600000006</v>
      </c>
      <c r="AF205">
        <f t="shared" si="55"/>
        <v>-890.73599999999715</v>
      </c>
    </row>
    <row r="206" spans="1:32" x14ac:dyDescent="0.3">
      <c r="A206" t="s">
        <v>433</v>
      </c>
      <c r="B206" s="4">
        <v>45307</v>
      </c>
      <c r="C206" s="4" t="str">
        <f t="shared" si="44"/>
        <v>Jan-2024</v>
      </c>
      <c r="D206" t="str">
        <f t="shared" si="45"/>
        <v>Q1-2024</v>
      </c>
      <c r="E206" s="4">
        <v>45333</v>
      </c>
      <c r="F206" s="12">
        <f t="shared" si="42"/>
        <v>45333</v>
      </c>
      <c r="G206" s="13">
        <f t="shared" si="43"/>
        <v>26</v>
      </c>
      <c r="H206" t="s">
        <v>649</v>
      </c>
      <c r="I206" t="s">
        <v>656</v>
      </c>
      <c r="J206" t="s">
        <v>698</v>
      </c>
      <c r="K206" t="s">
        <v>703</v>
      </c>
      <c r="L206" t="s">
        <v>710</v>
      </c>
      <c r="M206" t="s">
        <v>718</v>
      </c>
      <c r="N206" t="s">
        <v>732</v>
      </c>
      <c r="O206" t="s">
        <v>1152</v>
      </c>
      <c r="P206" s="6">
        <v>504.93</v>
      </c>
      <c r="Q206" s="6">
        <v>819.06</v>
      </c>
      <c r="R206" s="10">
        <v>0.22600000000000001</v>
      </c>
      <c r="S206" s="10" t="b">
        <f t="shared" si="46"/>
        <v>0</v>
      </c>
      <c r="T206" s="8">
        <v>15</v>
      </c>
      <c r="U206">
        <f t="shared" si="47"/>
        <v>9509.2865999999995</v>
      </c>
      <c r="V206">
        <f t="shared" si="48"/>
        <v>7573.95</v>
      </c>
      <c r="W206">
        <f t="shared" si="49"/>
        <v>1935.3365999999996</v>
      </c>
      <c r="X206" s="10">
        <f t="shared" si="50"/>
        <v>0.20352069312959814</v>
      </c>
      <c r="Y206" t="str">
        <f t="shared" si="51"/>
        <v>Medium</v>
      </c>
      <c r="Z206" t="str">
        <f t="shared" si="52"/>
        <v>Not Met</v>
      </c>
      <c r="AA206" t="str">
        <f t="shared" si="53"/>
        <v>High Discount</v>
      </c>
      <c r="AB206" s="10">
        <f>MIN(R206,ControlPanel!$B$5)</f>
        <v>0.2</v>
      </c>
      <c r="AC206">
        <f>P206*(1+ControlPanel!$B$6)</f>
        <v>530.17650000000003</v>
      </c>
      <c r="AD206">
        <f>T206*(1+ControlPanel!$B$7)</f>
        <v>16.5</v>
      </c>
      <c r="AE206" s="6">
        <f t="shared" si="54"/>
        <v>10811.592000000001</v>
      </c>
      <c r="AF206">
        <f t="shared" si="55"/>
        <v>2063.6797499999993</v>
      </c>
    </row>
    <row r="207" spans="1:32" x14ac:dyDescent="0.3">
      <c r="A207" t="s">
        <v>425</v>
      </c>
      <c r="B207" s="4">
        <v>45430</v>
      </c>
      <c r="C207" s="4" t="str">
        <f t="shared" si="44"/>
        <v>May-2024</v>
      </c>
      <c r="D207" t="str">
        <f t="shared" si="45"/>
        <v>Q2-2024</v>
      </c>
      <c r="E207" s="4">
        <v>45433</v>
      </c>
      <c r="F207" s="12">
        <f t="shared" si="42"/>
        <v>45433</v>
      </c>
      <c r="G207" s="13">
        <f t="shared" si="43"/>
        <v>3</v>
      </c>
      <c r="H207" t="s">
        <v>649</v>
      </c>
      <c r="I207" t="s">
        <v>657</v>
      </c>
      <c r="J207" t="s">
        <v>673</v>
      </c>
      <c r="K207" t="s">
        <v>703</v>
      </c>
      <c r="L207" t="s">
        <v>709</v>
      </c>
      <c r="M207" t="s">
        <v>726</v>
      </c>
      <c r="N207" t="s">
        <v>728</v>
      </c>
      <c r="O207" t="s">
        <v>1144</v>
      </c>
      <c r="P207" s="6">
        <v>663.66</v>
      </c>
      <c r="Q207" s="6">
        <v>824.26</v>
      </c>
      <c r="R207" s="10">
        <v>0.23899999999999999</v>
      </c>
      <c r="S207" s="10" t="b">
        <f t="shared" si="46"/>
        <v>0</v>
      </c>
      <c r="T207" s="8">
        <v>11</v>
      </c>
      <c r="U207">
        <f t="shared" si="47"/>
        <v>6899.8804599999994</v>
      </c>
      <c r="V207">
        <f t="shared" si="48"/>
        <v>7300.2599999999993</v>
      </c>
      <c r="W207">
        <f t="shared" si="49"/>
        <v>-400.37953999999991</v>
      </c>
      <c r="X207" s="10">
        <f t="shared" si="50"/>
        <v>-5.8027025587049072E-2</v>
      </c>
      <c r="Y207" t="str">
        <f t="shared" si="51"/>
        <v>Medium</v>
      </c>
      <c r="Z207" t="str">
        <f t="shared" si="52"/>
        <v>Met</v>
      </c>
      <c r="AA207" t="str">
        <f t="shared" si="53"/>
        <v>High Discount</v>
      </c>
      <c r="AB207" s="10">
        <f>MIN(R207,ControlPanel!$B$5)</f>
        <v>0.2</v>
      </c>
      <c r="AC207">
        <f>P207*(1+ControlPanel!$B$6)</f>
        <v>696.84299999999996</v>
      </c>
      <c r="AD207">
        <f>T207*(1+ControlPanel!$B$7)</f>
        <v>12.100000000000001</v>
      </c>
      <c r="AE207" s="6">
        <f t="shared" si="54"/>
        <v>7978.8368000000009</v>
      </c>
      <c r="AF207">
        <f t="shared" si="55"/>
        <v>-452.96349999999984</v>
      </c>
    </row>
    <row r="208" spans="1:32" x14ac:dyDescent="0.3">
      <c r="A208" t="s">
        <v>326</v>
      </c>
      <c r="B208" s="4">
        <v>45101</v>
      </c>
      <c r="C208" s="4" t="str">
        <f t="shared" si="44"/>
        <v>Jun-2023</v>
      </c>
      <c r="D208" t="str">
        <f t="shared" si="45"/>
        <v>Q2-2023</v>
      </c>
      <c r="E208" s="4">
        <v>45099</v>
      </c>
      <c r="F208" s="12">
        <f t="shared" si="42"/>
        <v>45115</v>
      </c>
      <c r="G208" s="13">
        <f t="shared" si="43"/>
        <v>14</v>
      </c>
      <c r="H208" t="s">
        <v>648</v>
      </c>
      <c r="I208" t="s">
        <v>653</v>
      </c>
      <c r="J208" t="s">
        <v>667</v>
      </c>
      <c r="K208" t="s">
        <v>703</v>
      </c>
      <c r="L208" t="s">
        <v>707</v>
      </c>
      <c r="M208" t="s">
        <v>724</v>
      </c>
      <c r="N208" t="s">
        <v>733</v>
      </c>
      <c r="O208" t="s">
        <v>1046</v>
      </c>
      <c r="P208" s="6">
        <v>471.42</v>
      </c>
      <c r="Q208" s="6">
        <v>824.81</v>
      </c>
      <c r="R208" s="10">
        <v>8.7999999999999995E-2</v>
      </c>
      <c r="S208" s="10" t="b">
        <f t="shared" si="46"/>
        <v>0</v>
      </c>
      <c r="T208" s="8">
        <v>15</v>
      </c>
      <c r="U208">
        <f t="shared" si="47"/>
        <v>11283.400799999999</v>
      </c>
      <c r="V208">
        <f t="shared" si="48"/>
        <v>7071.3</v>
      </c>
      <c r="W208">
        <f t="shared" si="49"/>
        <v>4212.1007999999993</v>
      </c>
      <c r="X208" s="10">
        <f t="shared" si="50"/>
        <v>0.37330064531608231</v>
      </c>
      <c r="Y208" t="str">
        <f t="shared" si="51"/>
        <v>Medium</v>
      </c>
      <c r="Z208" t="str">
        <f t="shared" si="52"/>
        <v>Not Met</v>
      </c>
      <c r="AA208" t="str">
        <f t="shared" si="53"/>
        <v>Low Discount</v>
      </c>
      <c r="AB208" s="10">
        <f>MIN(R208,ControlPanel!$B$5)</f>
        <v>8.7999999999999995E-2</v>
      </c>
      <c r="AC208">
        <f>P208*(1+ControlPanel!$B$6)</f>
        <v>494.99100000000004</v>
      </c>
      <c r="AD208">
        <f>T208*(1+ControlPanel!$B$7)</f>
        <v>16.5</v>
      </c>
      <c r="AE208" s="6">
        <f t="shared" si="54"/>
        <v>12411.740879999999</v>
      </c>
      <c r="AF208">
        <f t="shared" si="55"/>
        <v>4244.3893799999987</v>
      </c>
    </row>
    <row r="209" spans="1:32" x14ac:dyDescent="0.3">
      <c r="A209" t="s">
        <v>539</v>
      </c>
      <c r="B209" s="4">
        <v>45398</v>
      </c>
      <c r="C209" s="4" t="str">
        <f t="shared" si="44"/>
        <v>Apr-2024</v>
      </c>
      <c r="D209" t="str">
        <f t="shared" si="45"/>
        <v>Q2-2024</v>
      </c>
      <c r="E209" s="4">
        <v>45409</v>
      </c>
      <c r="F209" s="12">
        <f t="shared" si="42"/>
        <v>45409</v>
      </c>
      <c r="G209" s="13">
        <f t="shared" si="43"/>
        <v>11</v>
      </c>
      <c r="H209" t="s">
        <v>646</v>
      </c>
      <c r="I209" t="s">
        <v>650</v>
      </c>
      <c r="J209" t="s">
        <v>678</v>
      </c>
      <c r="K209" t="s">
        <v>706</v>
      </c>
      <c r="L209" t="s">
        <v>708</v>
      </c>
      <c r="M209" t="s">
        <v>726</v>
      </c>
      <c r="N209" t="s">
        <v>728</v>
      </c>
      <c r="O209" t="s">
        <v>1258</v>
      </c>
      <c r="P209" s="6">
        <v>401.3</v>
      </c>
      <c r="Q209" s="6">
        <v>826.47</v>
      </c>
      <c r="R209" s="10">
        <v>0.22500000000000001</v>
      </c>
      <c r="S209" s="10" t="b">
        <f t="shared" si="46"/>
        <v>0</v>
      </c>
      <c r="T209" s="8">
        <v>13</v>
      </c>
      <c r="U209">
        <f t="shared" si="47"/>
        <v>8326.6852500000005</v>
      </c>
      <c r="V209">
        <f t="shared" si="48"/>
        <v>5216.9000000000005</v>
      </c>
      <c r="W209">
        <f t="shared" si="49"/>
        <v>3109.7852499999999</v>
      </c>
      <c r="X209" s="10">
        <f t="shared" si="50"/>
        <v>0.37347217489696755</v>
      </c>
      <c r="Y209" t="str">
        <f t="shared" si="51"/>
        <v>Medium</v>
      </c>
      <c r="Z209" t="str">
        <f t="shared" si="52"/>
        <v>Not Met</v>
      </c>
      <c r="AA209" t="str">
        <f t="shared" si="53"/>
        <v>High Discount</v>
      </c>
      <c r="AB209" s="10">
        <f>MIN(R209,ControlPanel!$B$5)</f>
        <v>0.2</v>
      </c>
      <c r="AC209">
        <f>P209*(1+ControlPanel!$B$6)</f>
        <v>421.36500000000001</v>
      </c>
      <c r="AD209">
        <f>T209*(1+ControlPanel!$B$7)</f>
        <v>14.3</v>
      </c>
      <c r="AE209" s="6">
        <f t="shared" si="54"/>
        <v>9454.8168000000005</v>
      </c>
      <c r="AF209">
        <f t="shared" si="55"/>
        <v>3429.2973000000002</v>
      </c>
    </row>
    <row r="210" spans="1:32" x14ac:dyDescent="0.3">
      <c r="A210" t="s">
        <v>524</v>
      </c>
      <c r="B210" s="4">
        <v>45056</v>
      </c>
      <c r="C210" s="4" t="str">
        <f t="shared" si="44"/>
        <v>May-2023</v>
      </c>
      <c r="D210" t="str">
        <f t="shared" si="45"/>
        <v>Q2-2023</v>
      </c>
      <c r="E210" s="4">
        <v>45060</v>
      </c>
      <c r="F210" s="12">
        <f t="shared" si="42"/>
        <v>45060</v>
      </c>
      <c r="G210" s="13">
        <f t="shared" si="43"/>
        <v>4</v>
      </c>
      <c r="H210" t="s">
        <v>647</v>
      </c>
      <c r="I210" t="s">
        <v>654</v>
      </c>
      <c r="J210" t="s">
        <v>680</v>
      </c>
      <c r="K210" t="s">
        <v>703</v>
      </c>
      <c r="L210" t="s">
        <v>710</v>
      </c>
      <c r="M210" t="s">
        <v>712</v>
      </c>
      <c r="N210" t="s">
        <v>732</v>
      </c>
      <c r="O210" t="s">
        <v>1243</v>
      </c>
      <c r="P210" s="6">
        <v>622.6</v>
      </c>
      <c r="Q210" s="6">
        <v>833.69</v>
      </c>
      <c r="R210" s="10">
        <v>0.20899999999999999</v>
      </c>
      <c r="S210" s="10" t="b">
        <f t="shared" si="46"/>
        <v>0</v>
      </c>
      <c r="T210" s="8">
        <v>14</v>
      </c>
      <c r="U210">
        <f t="shared" si="47"/>
        <v>9232.2830599999998</v>
      </c>
      <c r="V210">
        <f t="shared" si="48"/>
        <v>8716.4</v>
      </c>
      <c r="W210">
        <f t="shared" si="49"/>
        <v>515.88306000000011</v>
      </c>
      <c r="X210" s="10">
        <f t="shared" si="50"/>
        <v>5.5878167582959715E-2</v>
      </c>
      <c r="Y210" t="str">
        <f t="shared" si="51"/>
        <v>Medium</v>
      </c>
      <c r="Z210" t="str">
        <f t="shared" si="52"/>
        <v>Met</v>
      </c>
      <c r="AA210" t="str">
        <f t="shared" si="53"/>
        <v>High Discount</v>
      </c>
      <c r="AB210" s="10">
        <f>MIN(R210,ControlPanel!$B$5)</f>
        <v>0.2</v>
      </c>
      <c r="AC210">
        <f>P210*(1+ControlPanel!$B$6)</f>
        <v>653.73</v>
      </c>
      <c r="AD210">
        <f>T210*(1+ControlPanel!$B$7)</f>
        <v>15.400000000000002</v>
      </c>
      <c r="AE210" s="6">
        <f t="shared" si="54"/>
        <v>10271.060800000003</v>
      </c>
      <c r="AF210">
        <f t="shared" si="55"/>
        <v>203.61880000000201</v>
      </c>
    </row>
    <row r="211" spans="1:32" x14ac:dyDescent="0.3">
      <c r="A211" t="s">
        <v>557</v>
      </c>
      <c r="B211" s="4">
        <v>44968</v>
      </c>
      <c r="C211" s="4" t="str">
        <f t="shared" si="44"/>
        <v>Feb-2023</v>
      </c>
      <c r="D211" t="str">
        <f t="shared" si="45"/>
        <v>Q1-2023</v>
      </c>
      <c r="E211" s="4">
        <v>44969</v>
      </c>
      <c r="F211" s="12">
        <f t="shared" si="42"/>
        <v>44969</v>
      </c>
      <c r="G211" s="13">
        <f t="shared" si="43"/>
        <v>1</v>
      </c>
      <c r="H211" t="s">
        <v>646</v>
      </c>
      <c r="I211" t="s">
        <v>651</v>
      </c>
      <c r="J211" t="s">
        <v>663</v>
      </c>
      <c r="K211" t="s">
        <v>703</v>
      </c>
      <c r="L211" t="s">
        <v>711</v>
      </c>
      <c r="M211" t="s">
        <v>726</v>
      </c>
      <c r="N211" t="s">
        <v>733</v>
      </c>
      <c r="O211" t="s">
        <v>1275</v>
      </c>
      <c r="P211" s="6">
        <v>944.61</v>
      </c>
      <c r="Q211" s="6">
        <v>839.04</v>
      </c>
      <c r="R211" s="10">
        <v>5.8999999999999997E-2</v>
      </c>
      <c r="S211" s="10" t="b">
        <f t="shared" si="46"/>
        <v>0</v>
      </c>
      <c r="T211" s="8">
        <v>6</v>
      </c>
      <c r="U211">
        <f t="shared" si="47"/>
        <v>4737.2198399999997</v>
      </c>
      <c r="V211">
        <f t="shared" si="48"/>
        <v>5667.66</v>
      </c>
      <c r="W211">
        <f t="shared" si="49"/>
        <v>-930.44016000000011</v>
      </c>
      <c r="X211" s="10">
        <f t="shared" si="50"/>
        <v>-0.19641059343363726</v>
      </c>
      <c r="Y211" t="str">
        <f t="shared" si="51"/>
        <v>Medium</v>
      </c>
      <c r="Z211" t="str">
        <f t="shared" si="52"/>
        <v>Met</v>
      </c>
      <c r="AA211" t="str">
        <f t="shared" si="53"/>
        <v>Low Discount</v>
      </c>
      <c r="AB211" s="10">
        <f>MIN(R211,ControlPanel!$B$5)</f>
        <v>5.8999999999999997E-2</v>
      </c>
      <c r="AC211">
        <f>P211*(1+ControlPanel!$B$6)</f>
        <v>991.84050000000002</v>
      </c>
      <c r="AD211">
        <f>T211*(1+ControlPanel!$B$7)</f>
        <v>6.6000000000000005</v>
      </c>
      <c r="AE211" s="6">
        <f t="shared" si="54"/>
        <v>5210.9418240000005</v>
      </c>
      <c r="AF211">
        <f t="shared" si="55"/>
        <v>-1335.2054760000001</v>
      </c>
    </row>
    <row r="212" spans="1:32" x14ac:dyDescent="0.3">
      <c r="A212" t="s">
        <v>409</v>
      </c>
      <c r="B212" s="4">
        <v>45804</v>
      </c>
      <c r="C212" s="4" t="str">
        <f t="shared" si="44"/>
        <v>May-2025</v>
      </c>
      <c r="D212" t="str">
        <f t="shared" si="45"/>
        <v>Q2-2025</v>
      </c>
      <c r="E212" s="4">
        <v>45816</v>
      </c>
      <c r="F212" s="12">
        <f t="shared" si="42"/>
        <v>45816</v>
      </c>
      <c r="G212" s="13">
        <f t="shared" si="43"/>
        <v>12</v>
      </c>
      <c r="H212" t="s">
        <v>647</v>
      </c>
      <c r="I212" t="s">
        <v>652</v>
      </c>
      <c r="J212" t="s">
        <v>666</v>
      </c>
      <c r="K212" t="s">
        <v>701</v>
      </c>
      <c r="L212" t="s">
        <v>707</v>
      </c>
      <c r="M212" t="s">
        <v>722</v>
      </c>
      <c r="N212" t="s">
        <v>733</v>
      </c>
      <c r="O212" t="s">
        <v>1128</v>
      </c>
      <c r="P212" s="6">
        <v>653.6</v>
      </c>
      <c r="Q212" s="6">
        <v>842.09</v>
      </c>
      <c r="R212" s="10">
        <v>9.8000000000000004E-2</v>
      </c>
      <c r="S212" s="10" t="b">
        <f t="shared" si="46"/>
        <v>0</v>
      </c>
      <c r="T212" s="8">
        <v>19</v>
      </c>
      <c r="U212">
        <f t="shared" si="47"/>
        <v>14431.738420000001</v>
      </c>
      <c r="V212">
        <f t="shared" si="48"/>
        <v>12418.4</v>
      </c>
      <c r="W212">
        <f t="shared" si="49"/>
        <v>2013.3384200000019</v>
      </c>
      <c r="X212" s="10">
        <f t="shared" si="50"/>
        <v>0.13950768517324622</v>
      </c>
      <c r="Y212" t="str">
        <f t="shared" si="51"/>
        <v>Medium</v>
      </c>
      <c r="Z212" t="str">
        <f t="shared" si="52"/>
        <v>Not Met</v>
      </c>
      <c r="AA212" t="str">
        <f t="shared" si="53"/>
        <v>Low Discount</v>
      </c>
      <c r="AB212" s="10">
        <f>MIN(R212,ControlPanel!$B$5)</f>
        <v>9.8000000000000004E-2</v>
      </c>
      <c r="AC212">
        <f>P212*(1+ControlPanel!$B$6)</f>
        <v>686.28000000000009</v>
      </c>
      <c r="AD212">
        <f>T212*(1+ControlPanel!$B$7)</f>
        <v>20.900000000000002</v>
      </c>
      <c r="AE212" s="6">
        <f t="shared" si="54"/>
        <v>15874.912262000003</v>
      </c>
      <c r="AF212">
        <f t="shared" si="55"/>
        <v>1531.6602619999994</v>
      </c>
    </row>
    <row r="213" spans="1:32" x14ac:dyDescent="0.3">
      <c r="A213" t="s">
        <v>167</v>
      </c>
      <c r="B213" s="4">
        <v>45267</v>
      </c>
      <c r="C213" s="4" t="str">
        <f t="shared" si="44"/>
        <v>Dec-2023</v>
      </c>
      <c r="D213" t="str">
        <f t="shared" si="45"/>
        <v>Q4-2023</v>
      </c>
      <c r="E213" s="4">
        <v>45265</v>
      </c>
      <c r="F213" s="12">
        <f t="shared" si="42"/>
        <v>45281</v>
      </c>
      <c r="G213" s="13">
        <f t="shared" si="43"/>
        <v>14</v>
      </c>
      <c r="H213" t="s">
        <v>647</v>
      </c>
      <c r="I213" t="s">
        <v>652</v>
      </c>
      <c r="J213" t="s">
        <v>689</v>
      </c>
      <c r="K213" t="s">
        <v>703</v>
      </c>
      <c r="L213" t="s">
        <v>709</v>
      </c>
      <c r="M213" t="s">
        <v>722</v>
      </c>
      <c r="N213" t="s">
        <v>728</v>
      </c>
      <c r="O213" t="s">
        <v>886</v>
      </c>
      <c r="P213" s="6">
        <v>1097.5899999999999</v>
      </c>
      <c r="Q213" s="6">
        <v>845.55</v>
      </c>
      <c r="R213" s="10">
        <v>0.184</v>
      </c>
      <c r="S213" s="10" t="b">
        <f t="shared" si="46"/>
        <v>0</v>
      </c>
      <c r="T213" s="8">
        <v>6</v>
      </c>
      <c r="U213">
        <f t="shared" si="47"/>
        <v>4139.8127999999997</v>
      </c>
      <c r="V213">
        <f t="shared" si="48"/>
        <v>6585.5399999999991</v>
      </c>
      <c r="W213">
        <f t="shared" si="49"/>
        <v>-2445.7271999999994</v>
      </c>
      <c r="X213" s="10">
        <f t="shared" si="50"/>
        <v>-0.59078207594314402</v>
      </c>
      <c r="Y213" t="str">
        <f t="shared" si="51"/>
        <v>Medium</v>
      </c>
      <c r="Z213" t="str">
        <f t="shared" si="52"/>
        <v>Not Met</v>
      </c>
      <c r="AA213" t="str">
        <f t="shared" si="53"/>
        <v>Low Discount</v>
      </c>
      <c r="AB213" s="10">
        <f>MIN(R213,ControlPanel!$B$5)</f>
        <v>0.184</v>
      </c>
      <c r="AC213">
        <f>P213*(1+ControlPanel!$B$6)</f>
        <v>1152.4694999999999</v>
      </c>
      <c r="AD213">
        <f>T213*(1+ControlPanel!$B$7)</f>
        <v>6.6000000000000005</v>
      </c>
      <c r="AE213" s="6">
        <f t="shared" si="54"/>
        <v>4553.7940800000006</v>
      </c>
      <c r="AF213">
        <f t="shared" si="55"/>
        <v>-3052.5046199999997</v>
      </c>
    </row>
    <row r="214" spans="1:32" x14ac:dyDescent="0.3">
      <c r="A214" t="s">
        <v>21</v>
      </c>
      <c r="B214" s="4">
        <v>45653</v>
      </c>
      <c r="C214" s="4" t="str">
        <f t="shared" si="44"/>
        <v>Dec-2024</v>
      </c>
      <c r="D214" t="str">
        <f t="shared" si="45"/>
        <v>Q4-2024</v>
      </c>
      <c r="E214" s="4">
        <v>45671</v>
      </c>
      <c r="F214" s="12">
        <f t="shared" si="42"/>
        <v>45671</v>
      </c>
      <c r="G214" s="13">
        <f t="shared" si="43"/>
        <v>18</v>
      </c>
      <c r="H214" t="s">
        <v>647</v>
      </c>
      <c r="I214" t="s">
        <v>654</v>
      </c>
      <c r="J214" t="s">
        <v>668</v>
      </c>
      <c r="K214" t="s">
        <v>705</v>
      </c>
      <c r="L214" t="s">
        <v>709</v>
      </c>
      <c r="M214" t="s">
        <v>718</v>
      </c>
      <c r="N214" t="s">
        <v>732</v>
      </c>
      <c r="O214" t="s">
        <v>740</v>
      </c>
      <c r="P214" s="6">
        <v>586.07000000000005</v>
      </c>
      <c r="Q214" s="6">
        <v>845.97</v>
      </c>
      <c r="R214" s="10">
        <v>0.14699999999999999</v>
      </c>
      <c r="S214" s="10" t="b">
        <f t="shared" si="46"/>
        <v>0</v>
      </c>
      <c r="T214" s="8">
        <v>4</v>
      </c>
      <c r="U214">
        <f t="shared" si="47"/>
        <v>2886.4496399999998</v>
      </c>
      <c r="V214">
        <f t="shared" si="48"/>
        <v>2344.2800000000002</v>
      </c>
      <c r="W214">
        <f t="shared" si="49"/>
        <v>542.16963999999962</v>
      </c>
      <c r="X214" s="10">
        <f t="shared" si="50"/>
        <v>0.18783270370862928</v>
      </c>
      <c r="Y214" t="str">
        <f t="shared" si="51"/>
        <v>Medium</v>
      </c>
      <c r="Z214" t="str">
        <f t="shared" si="52"/>
        <v>Not Met</v>
      </c>
      <c r="AA214" t="str">
        <f t="shared" si="53"/>
        <v>Low Discount</v>
      </c>
      <c r="AB214" s="10">
        <f>MIN(R214,ControlPanel!$B$5)</f>
        <v>0.14699999999999999</v>
      </c>
      <c r="AC214">
        <f>P214*(1+ControlPanel!$B$6)</f>
        <v>615.37350000000004</v>
      </c>
      <c r="AD214">
        <f>T214*(1+ControlPanel!$B$7)</f>
        <v>4.4000000000000004</v>
      </c>
      <c r="AE214" s="6">
        <f t="shared" si="54"/>
        <v>3175.0946039999999</v>
      </c>
      <c r="AF214">
        <f t="shared" si="55"/>
        <v>467.45120399999951</v>
      </c>
    </row>
    <row r="215" spans="1:32" x14ac:dyDescent="0.3">
      <c r="A215" t="s">
        <v>30</v>
      </c>
      <c r="B215" s="4">
        <v>45039</v>
      </c>
      <c r="C215" s="4" t="str">
        <f t="shared" si="44"/>
        <v>Apr-2023</v>
      </c>
      <c r="D215" t="str">
        <f t="shared" si="45"/>
        <v>Q2-2023</v>
      </c>
      <c r="E215" s="4">
        <v>45038</v>
      </c>
      <c r="F215" s="12">
        <f t="shared" si="42"/>
        <v>45053</v>
      </c>
      <c r="G215" s="13">
        <f t="shared" si="43"/>
        <v>14</v>
      </c>
      <c r="H215" t="s">
        <v>646</v>
      </c>
      <c r="I215" t="s">
        <v>650</v>
      </c>
      <c r="J215" t="s">
        <v>664</v>
      </c>
      <c r="K215" t="s">
        <v>705</v>
      </c>
      <c r="L215" t="s">
        <v>711</v>
      </c>
      <c r="M215" t="s">
        <v>718</v>
      </c>
      <c r="N215" t="s">
        <v>731</v>
      </c>
      <c r="O215" t="s">
        <v>749</v>
      </c>
      <c r="P215" s="6">
        <v>756.51</v>
      </c>
      <c r="Q215" s="6">
        <v>850.8</v>
      </c>
      <c r="R215" s="10">
        <v>7.3999999999999996E-2</v>
      </c>
      <c r="S215" s="10" t="b">
        <f t="shared" si="46"/>
        <v>0</v>
      </c>
      <c r="T215" s="8">
        <v>9</v>
      </c>
      <c r="U215">
        <f t="shared" si="47"/>
        <v>7090.5671999999995</v>
      </c>
      <c r="V215">
        <f t="shared" si="48"/>
        <v>6808.59</v>
      </c>
      <c r="W215">
        <f t="shared" si="49"/>
        <v>281.97719999999936</v>
      </c>
      <c r="X215" s="10">
        <f t="shared" si="50"/>
        <v>3.9767932810791128E-2</v>
      </c>
      <c r="Y215" t="str">
        <f t="shared" si="51"/>
        <v>Medium</v>
      </c>
      <c r="Z215" t="str">
        <f t="shared" si="52"/>
        <v>Not Met</v>
      </c>
      <c r="AA215" t="str">
        <f t="shared" si="53"/>
        <v>Low Discount</v>
      </c>
      <c r="AB215" s="10">
        <f>MIN(R215,ControlPanel!$B$5)</f>
        <v>7.3999999999999996E-2</v>
      </c>
      <c r="AC215">
        <f>P215*(1+ControlPanel!$B$6)</f>
        <v>794.33550000000002</v>
      </c>
      <c r="AD215">
        <f>T215*(1+ControlPanel!$B$7)</f>
        <v>9.9</v>
      </c>
      <c r="AE215" s="6">
        <f t="shared" si="54"/>
        <v>7799.62392</v>
      </c>
      <c r="AF215">
        <f t="shared" si="55"/>
        <v>-64.297530000000734</v>
      </c>
    </row>
    <row r="216" spans="1:32" x14ac:dyDescent="0.3">
      <c r="A216" t="s">
        <v>211</v>
      </c>
      <c r="B216" s="4">
        <v>45333</v>
      </c>
      <c r="C216" s="4" t="str">
        <f t="shared" si="44"/>
        <v>Feb-2024</v>
      </c>
      <c r="D216" t="str">
        <f t="shared" si="45"/>
        <v>Q1-2024</v>
      </c>
      <c r="E216" s="4">
        <v>45354</v>
      </c>
      <c r="F216" s="12">
        <f t="shared" si="42"/>
        <v>45354</v>
      </c>
      <c r="G216" s="13">
        <f t="shared" si="43"/>
        <v>21</v>
      </c>
      <c r="H216" t="s">
        <v>646</v>
      </c>
      <c r="I216" t="s">
        <v>650</v>
      </c>
      <c r="J216" t="s">
        <v>662</v>
      </c>
      <c r="K216" t="s">
        <v>706</v>
      </c>
      <c r="L216" t="s">
        <v>708</v>
      </c>
      <c r="M216" t="s">
        <v>717</v>
      </c>
      <c r="N216" t="s">
        <v>730</v>
      </c>
      <c r="O216" t="s">
        <v>931</v>
      </c>
      <c r="P216" s="6">
        <v>516.86</v>
      </c>
      <c r="Q216" s="6">
        <v>852.54</v>
      </c>
      <c r="R216" s="10">
        <v>5.0999999999999997E-2</v>
      </c>
      <c r="S216" s="10" t="b">
        <f t="shared" si="46"/>
        <v>0</v>
      </c>
      <c r="T216" s="8">
        <v>14</v>
      </c>
      <c r="U216">
        <f t="shared" si="47"/>
        <v>11326.846439999999</v>
      </c>
      <c r="V216">
        <f t="shared" si="48"/>
        <v>7236.04</v>
      </c>
      <c r="W216">
        <f t="shared" si="49"/>
        <v>4090.8064399999994</v>
      </c>
      <c r="X216" s="10">
        <f t="shared" si="50"/>
        <v>0.36116022775355994</v>
      </c>
      <c r="Y216" t="str">
        <f t="shared" si="51"/>
        <v>Medium</v>
      </c>
      <c r="Z216" t="str">
        <f t="shared" si="52"/>
        <v>Not Met</v>
      </c>
      <c r="AA216" t="str">
        <f t="shared" si="53"/>
        <v>Low Discount</v>
      </c>
      <c r="AB216" s="10">
        <f>MIN(R216,ControlPanel!$B$5)</f>
        <v>5.0999999999999997E-2</v>
      </c>
      <c r="AC216">
        <f>P216*(1+ControlPanel!$B$6)</f>
        <v>542.70300000000009</v>
      </c>
      <c r="AD216">
        <f>T216*(1+ControlPanel!$B$7)</f>
        <v>15.400000000000002</v>
      </c>
      <c r="AE216" s="6">
        <f t="shared" si="54"/>
        <v>12459.531084</v>
      </c>
      <c r="AF216">
        <f t="shared" si="55"/>
        <v>4101.9048839999978</v>
      </c>
    </row>
    <row r="217" spans="1:32" x14ac:dyDescent="0.3">
      <c r="A217" t="s">
        <v>637</v>
      </c>
      <c r="B217" s="4">
        <v>45857</v>
      </c>
      <c r="C217" s="4" t="str">
        <f t="shared" si="44"/>
        <v>Jul-2025</v>
      </c>
      <c r="D217" t="str">
        <f t="shared" si="45"/>
        <v>Q3-2025</v>
      </c>
      <c r="E217" s="4">
        <v>45869</v>
      </c>
      <c r="F217" s="12">
        <f t="shared" si="42"/>
        <v>45869</v>
      </c>
      <c r="G217" s="13">
        <f t="shared" si="43"/>
        <v>12</v>
      </c>
      <c r="H217" t="s">
        <v>646</v>
      </c>
      <c r="I217" t="s">
        <v>650</v>
      </c>
      <c r="J217" t="s">
        <v>664</v>
      </c>
      <c r="K217" t="s">
        <v>705</v>
      </c>
      <c r="L217" t="s">
        <v>709</v>
      </c>
      <c r="M217" t="s">
        <v>719</v>
      </c>
      <c r="N217" t="s">
        <v>733</v>
      </c>
      <c r="O217" t="s">
        <v>1355</v>
      </c>
      <c r="P217" s="6">
        <v>619.64</v>
      </c>
      <c r="Q217" s="6">
        <v>861.16</v>
      </c>
      <c r="R217" s="10">
        <v>0.113</v>
      </c>
      <c r="S217" s="10" t="b">
        <f t="shared" si="46"/>
        <v>0</v>
      </c>
      <c r="T217" s="8">
        <v>14</v>
      </c>
      <c r="U217">
        <f t="shared" si="47"/>
        <v>10693.88488</v>
      </c>
      <c r="V217">
        <f t="shared" si="48"/>
        <v>8674.9599999999991</v>
      </c>
      <c r="W217">
        <f t="shared" si="49"/>
        <v>2018.9248800000005</v>
      </c>
      <c r="X217" s="10">
        <f t="shared" si="50"/>
        <v>0.18879246435276761</v>
      </c>
      <c r="Y217" t="str">
        <f t="shared" si="51"/>
        <v>Medium</v>
      </c>
      <c r="Z217" t="str">
        <f t="shared" si="52"/>
        <v>Not Met</v>
      </c>
      <c r="AA217" t="str">
        <f t="shared" si="53"/>
        <v>Low Discount</v>
      </c>
      <c r="AB217" s="10">
        <f>MIN(R217,ControlPanel!$B$5)</f>
        <v>0.113</v>
      </c>
      <c r="AC217">
        <f>P217*(1+ControlPanel!$B$6)</f>
        <v>650.62199999999996</v>
      </c>
      <c r="AD217">
        <f>T217*(1+ControlPanel!$B$7)</f>
        <v>15.400000000000002</v>
      </c>
      <c r="AE217" s="6">
        <f t="shared" si="54"/>
        <v>11763.273368000002</v>
      </c>
      <c r="AF217">
        <f t="shared" si="55"/>
        <v>1743.6945680000008</v>
      </c>
    </row>
    <row r="218" spans="1:32" x14ac:dyDescent="0.3">
      <c r="A218" t="s">
        <v>590</v>
      </c>
      <c r="B218" s="4">
        <v>45872</v>
      </c>
      <c r="C218" s="4" t="str">
        <f t="shared" si="44"/>
        <v>Aug-2025</v>
      </c>
      <c r="D218" t="str">
        <f t="shared" si="45"/>
        <v>Q3-2025</v>
      </c>
      <c r="E218" s="4">
        <v>45885</v>
      </c>
      <c r="F218" s="12">
        <f t="shared" si="42"/>
        <v>45885</v>
      </c>
      <c r="G218" s="13">
        <f t="shared" si="43"/>
        <v>13</v>
      </c>
      <c r="H218" t="s">
        <v>648</v>
      </c>
      <c r="I218" t="s">
        <v>653</v>
      </c>
      <c r="J218" t="s">
        <v>681</v>
      </c>
      <c r="K218" t="s">
        <v>706</v>
      </c>
      <c r="L218" t="s">
        <v>710</v>
      </c>
      <c r="M218" t="s">
        <v>719</v>
      </c>
      <c r="N218" t="s">
        <v>729</v>
      </c>
      <c r="O218" t="s">
        <v>1308</v>
      </c>
      <c r="P218" s="6">
        <v>698.66</v>
      </c>
      <c r="Q218" s="6">
        <v>868.62</v>
      </c>
      <c r="R218" s="10">
        <v>7.1999999999999995E-2</v>
      </c>
      <c r="S218" s="10" t="b">
        <f t="shared" si="46"/>
        <v>0</v>
      </c>
      <c r="T218" s="8">
        <v>15</v>
      </c>
      <c r="U218">
        <f t="shared" si="47"/>
        <v>12091.190400000001</v>
      </c>
      <c r="V218">
        <f t="shared" si="48"/>
        <v>10479.9</v>
      </c>
      <c r="W218">
        <f t="shared" si="49"/>
        <v>1611.2904000000017</v>
      </c>
      <c r="X218" s="10">
        <f t="shared" si="50"/>
        <v>0.13326151906432648</v>
      </c>
      <c r="Y218" t="str">
        <f t="shared" si="51"/>
        <v>Medium</v>
      </c>
      <c r="Z218" t="str">
        <f t="shared" si="52"/>
        <v>Not Met</v>
      </c>
      <c r="AA218" t="str">
        <f t="shared" si="53"/>
        <v>Low Discount</v>
      </c>
      <c r="AB218" s="10">
        <f>MIN(R218,ControlPanel!$B$5)</f>
        <v>7.1999999999999995E-2</v>
      </c>
      <c r="AC218">
        <f>P218*(1+ControlPanel!$B$6)</f>
        <v>733.59299999999996</v>
      </c>
      <c r="AD218">
        <f>T218*(1+ControlPanel!$B$7)</f>
        <v>16.5</v>
      </c>
      <c r="AE218" s="6">
        <f t="shared" si="54"/>
        <v>13300.309440000001</v>
      </c>
      <c r="AF218">
        <f t="shared" si="55"/>
        <v>1196.0249400000012</v>
      </c>
    </row>
    <row r="219" spans="1:32" x14ac:dyDescent="0.3">
      <c r="A219" t="s">
        <v>252</v>
      </c>
      <c r="B219" s="4">
        <v>45258</v>
      </c>
      <c r="C219" s="4" t="str">
        <f t="shared" si="44"/>
        <v>Nov-2023</v>
      </c>
      <c r="D219" t="str">
        <f t="shared" si="45"/>
        <v>Q4-2023</v>
      </c>
      <c r="E219" s="4">
        <v>45267</v>
      </c>
      <c r="F219" s="12">
        <f t="shared" si="42"/>
        <v>45267</v>
      </c>
      <c r="G219" s="13">
        <f t="shared" si="43"/>
        <v>9</v>
      </c>
      <c r="H219" t="s">
        <v>647</v>
      </c>
      <c r="I219" t="s">
        <v>654</v>
      </c>
      <c r="J219" t="s">
        <v>680</v>
      </c>
      <c r="K219" t="s">
        <v>706</v>
      </c>
      <c r="L219" t="s">
        <v>709</v>
      </c>
      <c r="M219" t="s">
        <v>716</v>
      </c>
      <c r="N219" t="s">
        <v>730</v>
      </c>
      <c r="O219" t="s">
        <v>972</v>
      </c>
      <c r="P219" s="6">
        <v>699.33</v>
      </c>
      <c r="Q219" s="6">
        <v>873.75</v>
      </c>
      <c r="R219" s="10">
        <v>0.23499999999999999</v>
      </c>
      <c r="S219" s="10" t="b">
        <f t="shared" si="46"/>
        <v>0</v>
      </c>
      <c r="T219" s="8">
        <v>10</v>
      </c>
      <c r="U219">
        <f t="shared" si="47"/>
        <v>6684.1875</v>
      </c>
      <c r="V219">
        <f t="shared" si="48"/>
        <v>6993.3</v>
      </c>
      <c r="W219">
        <f t="shared" si="49"/>
        <v>-309.11250000000018</v>
      </c>
      <c r="X219" s="10">
        <f t="shared" si="50"/>
        <v>-4.6245336475076469E-2</v>
      </c>
      <c r="Y219" t="str">
        <f t="shared" si="51"/>
        <v>Medium</v>
      </c>
      <c r="Z219" t="str">
        <f t="shared" si="52"/>
        <v>Not Met</v>
      </c>
      <c r="AA219" t="str">
        <f t="shared" si="53"/>
        <v>High Discount</v>
      </c>
      <c r="AB219" s="10">
        <f>MIN(R219,ControlPanel!$B$5)</f>
        <v>0.2</v>
      </c>
      <c r="AC219">
        <f>P219*(1+ControlPanel!$B$6)</f>
        <v>734.29650000000004</v>
      </c>
      <c r="AD219">
        <f>T219*(1+ControlPanel!$B$7)</f>
        <v>11</v>
      </c>
      <c r="AE219" s="6">
        <f t="shared" si="54"/>
        <v>7689</v>
      </c>
      <c r="AF219">
        <f t="shared" si="55"/>
        <v>-388.26150000000052</v>
      </c>
    </row>
    <row r="220" spans="1:32" x14ac:dyDescent="0.3">
      <c r="A220" t="s">
        <v>424</v>
      </c>
      <c r="B220" s="4">
        <v>45534</v>
      </c>
      <c r="C220" s="4" t="str">
        <f t="shared" si="44"/>
        <v>Aug-2024</v>
      </c>
      <c r="D220" t="str">
        <f t="shared" si="45"/>
        <v>Q3-2024</v>
      </c>
      <c r="E220" s="4">
        <v>45540</v>
      </c>
      <c r="F220" s="12">
        <f t="shared" si="42"/>
        <v>45540</v>
      </c>
      <c r="G220" s="13">
        <f t="shared" si="43"/>
        <v>6</v>
      </c>
      <c r="H220" t="s">
        <v>647</v>
      </c>
      <c r="I220" t="s">
        <v>652</v>
      </c>
      <c r="J220" t="s">
        <v>694</v>
      </c>
      <c r="K220" t="s">
        <v>702</v>
      </c>
      <c r="L220" t="s">
        <v>708</v>
      </c>
      <c r="M220" t="s">
        <v>725</v>
      </c>
      <c r="N220" t="s">
        <v>731</v>
      </c>
      <c r="O220" t="s">
        <v>1143</v>
      </c>
      <c r="P220" s="6">
        <v>466.16</v>
      </c>
      <c r="Q220" s="6">
        <v>876.81</v>
      </c>
      <c r="R220" s="10">
        <v>0.24099999999999999</v>
      </c>
      <c r="S220" s="10" t="b">
        <f t="shared" si="46"/>
        <v>0</v>
      </c>
      <c r="T220" s="8">
        <v>8</v>
      </c>
      <c r="U220">
        <f t="shared" si="47"/>
        <v>5323.9903199999999</v>
      </c>
      <c r="V220">
        <f t="shared" si="48"/>
        <v>3729.28</v>
      </c>
      <c r="W220">
        <f t="shared" si="49"/>
        <v>1594.7103199999997</v>
      </c>
      <c r="X220" s="10">
        <f t="shared" si="50"/>
        <v>0.29953291124691594</v>
      </c>
      <c r="Y220" t="str">
        <f t="shared" si="51"/>
        <v>Medium</v>
      </c>
      <c r="Z220" t="str">
        <f t="shared" si="52"/>
        <v>Met</v>
      </c>
      <c r="AA220" t="str">
        <f t="shared" si="53"/>
        <v>High Discount</v>
      </c>
      <c r="AB220" s="10">
        <f>MIN(R220,ControlPanel!$B$5)</f>
        <v>0.2</v>
      </c>
      <c r="AC220">
        <f>P220*(1+ControlPanel!$B$6)</f>
        <v>489.46800000000007</v>
      </c>
      <c r="AD220">
        <f>T220*(1+ControlPanel!$B$7)</f>
        <v>8.8000000000000007</v>
      </c>
      <c r="AE220" s="6">
        <f t="shared" si="54"/>
        <v>6172.7424000000001</v>
      </c>
      <c r="AF220">
        <f t="shared" si="55"/>
        <v>1865.4239999999991</v>
      </c>
    </row>
    <row r="221" spans="1:32" x14ac:dyDescent="0.3">
      <c r="A221" t="s">
        <v>399</v>
      </c>
      <c r="B221" s="4">
        <v>45066</v>
      </c>
      <c r="C221" s="4" t="str">
        <f t="shared" si="44"/>
        <v>May-2023</v>
      </c>
      <c r="D221" t="str">
        <f t="shared" si="45"/>
        <v>Q2-2023</v>
      </c>
      <c r="E221" s="4">
        <v>45096</v>
      </c>
      <c r="F221" s="12">
        <f t="shared" si="42"/>
        <v>45096</v>
      </c>
      <c r="G221" s="13">
        <f t="shared" si="43"/>
        <v>30</v>
      </c>
      <c r="H221" t="s">
        <v>647</v>
      </c>
      <c r="I221" t="s">
        <v>654</v>
      </c>
      <c r="J221" t="s">
        <v>680</v>
      </c>
      <c r="K221" t="s">
        <v>703</v>
      </c>
      <c r="L221" t="s">
        <v>709</v>
      </c>
      <c r="M221" t="s">
        <v>722</v>
      </c>
      <c r="N221" t="s">
        <v>731</v>
      </c>
      <c r="O221" t="s">
        <v>1118</v>
      </c>
      <c r="P221" s="6">
        <v>1161.2</v>
      </c>
      <c r="Q221" s="6">
        <v>878.73</v>
      </c>
      <c r="R221" s="10">
        <v>0.19</v>
      </c>
      <c r="S221" s="10" t="b">
        <f t="shared" si="46"/>
        <v>0</v>
      </c>
      <c r="T221" s="8">
        <v>31</v>
      </c>
      <c r="U221">
        <f t="shared" si="47"/>
        <v>22064.910300000003</v>
      </c>
      <c r="V221">
        <f t="shared" si="48"/>
        <v>35997.200000000004</v>
      </c>
      <c r="W221">
        <f t="shared" si="49"/>
        <v>-13932.289700000001</v>
      </c>
      <c r="X221" s="10">
        <f t="shared" si="50"/>
        <v>-0.63142290227212028</v>
      </c>
      <c r="Y221" t="str">
        <f t="shared" si="51"/>
        <v>Medium</v>
      </c>
      <c r="Z221" t="str">
        <f t="shared" si="52"/>
        <v>Not Met</v>
      </c>
      <c r="AA221" t="str">
        <f t="shared" si="53"/>
        <v>Low Discount</v>
      </c>
      <c r="AB221" s="10">
        <f>MIN(R221,ControlPanel!$B$5)</f>
        <v>0.19</v>
      </c>
      <c r="AC221">
        <f>P221*(1+ControlPanel!$B$6)</f>
        <v>1219.26</v>
      </c>
      <c r="AD221">
        <f>T221*(1+ControlPanel!$B$7)</f>
        <v>34.1</v>
      </c>
      <c r="AE221" s="6">
        <f t="shared" si="54"/>
        <v>24271.401330000004</v>
      </c>
      <c r="AF221">
        <f t="shared" si="55"/>
        <v>-17305.364669999999</v>
      </c>
    </row>
    <row r="222" spans="1:32" x14ac:dyDescent="0.3">
      <c r="A222" t="s">
        <v>418</v>
      </c>
      <c r="B222" s="4">
        <v>45677</v>
      </c>
      <c r="C222" s="4" t="str">
        <f t="shared" si="44"/>
        <v>Jan-2025</v>
      </c>
      <c r="D222" t="str">
        <f t="shared" si="45"/>
        <v>Q1-2025</v>
      </c>
      <c r="E222" s="4">
        <v>45691</v>
      </c>
      <c r="F222" s="12">
        <f t="shared" si="42"/>
        <v>45691</v>
      </c>
      <c r="G222" s="13">
        <f t="shared" si="43"/>
        <v>14</v>
      </c>
      <c r="H222" t="s">
        <v>648</v>
      </c>
      <c r="I222" t="s">
        <v>655</v>
      </c>
      <c r="J222" t="s">
        <v>672</v>
      </c>
      <c r="K222" t="s">
        <v>706</v>
      </c>
      <c r="L222" t="s">
        <v>709</v>
      </c>
      <c r="M222" t="s">
        <v>721</v>
      </c>
      <c r="N222" t="s">
        <v>727</v>
      </c>
      <c r="O222" t="s">
        <v>1137</v>
      </c>
      <c r="P222" s="6">
        <v>974.11</v>
      </c>
      <c r="Q222" s="6">
        <v>880.99</v>
      </c>
      <c r="R222" s="10">
        <v>0.111</v>
      </c>
      <c r="S222" s="10" t="b">
        <f t="shared" si="46"/>
        <v>0</v>
      </c>
      <c r="T222" s="8">
        <v>10</v>
      </c>
      <c r="U222">
        <f t="shared" si="47"/>
        <v>7832.0010999999995</v>
      </c>
      <c r="V222">
        <f t="shared" si="48"/>
        <v>9741.1</v>
      </c>
      <c r="W222">
        <f t="shared" si="49"/>
        <v>-1909.0989000000009</v>
      </c>
      <c r="X222" s="10">
        <f t="shared" si="50"/>
        <v>-0.2437562093805121</v>
      </c>
      <c r="Y222" t="str">
        <f t="shared" si="51"/>
        <v>Medium</v>
      </c>
      <c r="Z222" t="str">
        <f t="shared" si="52"/>
        <v>Not Met</v>
      </c>
      <c r="AA222" t="str">
        <f t="shared" si="53"/>
        <v>Low Discount</v>
      </c>
      <c r="AB222" s="10">
        <f>MIN(R222,ControlPanel!$B$5)</f>
        <v>0.111</v>
      </c>
      <c r="AC222">
        <f>P222*(1+ControlPanel!$B$6)</f>
        <v>1022.8155</v>
      </c>
      <c r="AD222">
        <f>T222*(1+ControlPanel!$B$7)</f>
        <v>11</v>
      </c>
      <c r="AE222" s="6">
        <f t="shared" si="54"/>
        <v>8615.2012099999993</v>
      </c>
      <c r="AF222">
        <f t="shared" si="55"/>
        <v>-2635.769290000002</v>
      </c>
    </row>
    <row r="223" spans="1:32" x14ac:dyDescent="0.3">
      <c r="A223" t="s">
        <v>214</v>
      </c>
      <c r="B223" s="4">
        <v>44939</v>
      </c>
      <c r="C223" s="4" t="str">
        <f t="shared" si="44"/>
        <v>Jan-2023</v>
      </c>
      <c r="D223" t="str">
        <f t="shared" si="45"/>
        <v>Q1-2023</v>
      </c>
      <c r="E223" s="4">
        <v>44945</v>
      </c>
      <c r="F223" s="12">
        <f t="shared" si="42"/>
        <v>44945</v>
      </c>
      <c r="G223" s="13">
        <f t="shared" si="43"/>
        <v>6</v>
      </c>
      <c r="H223" t="s">
        <v>648</v>
      </c>
      <c r="I223" t="s">
        <v>660</v>
      </c>
      <c r="J223" t="s">
        <v>677</v>
      </c>
      <c r="K223" t="s">
        <v>701</v>
      </c>
      <c r="L223" t="s">
        <v>711</v>
      </c>
      <c r="M223" t="s">
        <v>722</v>
      </c>
      <c r="N223" t="s">
        <v>730</v>
      </c>
      <c r="O223" t="s">
        <v>934</v>
      </c>
      <c r="P223" s="6">
        <v>833.57</v>
      </c>
      <c r="Q223" s="6">
        <v>881.57</v>
      </c>
      <c r="R223" s="10">
        <v>5.7000000000000002E-2</v>
      </c>
      <c r="S223" s="10" t="b">
        <f t="shared" si="46"/>
        <v>0</v>
      </c>
      <c r="T223" s="8">
        <v>18</v>
      </c>
      <c r="U223">
        <f t="shared" si="47"/>
        <v>14963.769179999999</v>
      </c>
      <c r="V223">
        <f t="shared" si="48"/>
        <v>15004.26</v>
      </c>
      <c r="W223">
        <f t="shared" si="49"/>
        <v>-40.490820000000895</v>
      </c>
      <c r="X223" s="10">
        <f t="shared" si="50"/>
        <v>-2.7059238560107821E-3</v>
      </c>
      <c r="Y223" t="str">
        <f t="shared" si="51"/>
        <v>Medium</v>
      </c>
      <c r="Z223" t="str">
        <f t="shared" si="52"/>
        <v>Met</v>
      </c>
      <c r="AA223" t="str">
        <f t="shared" si="53"/>
        <v>Low Discount</v>
      </c>
      <c r="AB223" s="10">
        <f>MIN(R223,ControlPanel!$B$5)</f>
        <v>5.7000000000000002E-2</v>
      </c>
      <c r="AC223">
        <f>P223*(1+ControlPanel!$B$6)</f>
        <v>875.24850000000004</v>
      </c>
      <c r="AD223">
        <f>T223*(1+ControlPanel!$B$7)</f>
        <v>19.8</v>
      </c>
      <c r="AE223" s="6">
        <f t="shared" si="54"/>
        <v>16460.146098000001</v>
      </c>
      <c r="AF223">
        <f t="shared" si="55"/>
        <v>-869.77420200000051</v>
      </c>
    </row>
    <row r="224" spans="1:32" x14ac:dyDescent="0.3">
      <c r="A224" t="s">
        <v>345</v>
      </c>
      <c r="B224" s="4">
        <v>45914</v>
      </c>
      <c r="C224" s="4" t="str">
        <f t="shared" si="44"/>
        <v>Sep-2025</v>
      </c>
      <c r="D224" t="str">
        <f t="shared" si="45"/>
        <v>Q3-2025</v>
      </c>
      <c r="E224" s="4">
        <v>45926</v>
      </c>
      <c r="F224" s="12">
        <f t="shared" si="42"/>
        <v>45926</v>
      </c>
      <c r="G224" s="13">
        <f t="shared" si="43"/>
        <v>12</v>
      </c>
      <c r="H224" t="s">
        <v>649</v>
      </c>
      <c r="I224" t="s">
        <v>658</v>
      </c>
      <c r="J224" t="s">
        <v>683</v>
      </c>
      <c r="K224" t="s">
        <v>705</v>
      </c>
      <c r="L224" t="s">
        <v>711</v>
      </c>
      <c r="M224" t="s">
        <v>725</v>
      </c>
      <c r="N224" t="s">
        <v>729</v>
      </c>
      <c r="O224" t="s">
        <v>1065</v>
      </c>
      <c r="P224" s="6">
        <v>425.15</v>
      </c>
      <c r="Q224" s="6">
        <v>885.92</v>
      </c>
      <c r="R224" s="10">
        <v>0.23899999999999999</v>
      </c>
      <c r="S224" s="10" t="b">
        <f t="shared" si="46"/>
        <v>0</v>
      </c>
      <c r="T224" s="8">
        <v>13</v>
      </c>
      <c r="U224">
        <f t="shared" si="47"/>
        <v>8764.4065599999994</v>
      </c>
      <c r="V224">
        <f t="shared" si="48"/>
        <v>5526.95</v>
      </c>
      <c r="W224">
        <f t="shared" si="49"/>
        <v>3237.4565599999996</v>
      </c>
      <c r="X224" s="10">
        <f t="shared" si="50"/>
        <v>0.3693868532725848</v>
      </c>
      <c r="Y224" t="str">
        <f t="shared" si="51"/>
        <v>Medium</v>
      </c>
      <c r="Z224" t="str">
        <f t="shared" si="52"/>
        <v>Not Met</v>
      </c>
      <c r="AA224" t="str">
        <f t="shared" si="53"/>
        <v>High Discount</v>
      </c>
      <c r="AB224" s="10">
        <f>MIN(R224,ControlPanel!$B$5)</f>
        <v>0.2</v>
      </c>
      <c r="AC224">
        <f>P224*(1+ControlPanel!$B$6)</f>
        <v>446.40749999999997</v>
      </c>
      <c r="AD224">
        <f>T224*(1+ControlPanel!$B$7)</f>
        <v>14.3</v>
      </c>
      <c r="AE224" s="6">
        <f t="shared" si="54"/>
        <v>10134.924800000001</v>
      </c>
      <c r="AF224">
        <f t="shared" si="55"/>
        <v>3751.2975500000011</v>
      </c>
    </row>
    <row r="225" spans="1:32" x14ac:dyDescent="0.3">
      <c r="A225" t="s">
        <v>206</v>
      </c>
      <c r="B225" s="4">
        <v>45516</v>
      </c>
      <c r="C225" s="4" t="str">
        <f t="shared" si="44"/>
        <v>Aug-2024</v>
      </c>
      <c r="D225" t="str">
        <f t="shared" si="45"/>
        <v>Q3-2024</v>
      </c>
      <c r="E225" s="4">
        <v>45538</v>
      </c>
      <c r="F225" s="12">
        <f t="shared" si="42"/>
        <v>45538</v>
      </c>
      <c r="G225" s="13">
        <f t="shared" si="43"/>
        <v>22</v>
      </c>
      <c r="H225" t="s">
        <v>648</v>
      </c>
      <c r="I225" t="s">
        <v>660</v>
      </c>
      <c r="J225" t="s">
        <v>697</v>
      </c>
      <c r="K225" t="s">
        <v>704</v>
      </c>
      <c r="L225" t="s">
        <v>710</v>
      </c>
      <c r="M225" t="s">
        <v>714</v>
      </c>
      <c r="N225" t="s">
        <v>731</v>
      </c>
      <c r="O225" t="s">
        <v>926</v>
      </c>
      <c r="P225" s="6">
        <v>797.8</v>
      </c>
      <c r="Q225" s="6">
        <v>886.22</v>
      </c>
      <c r="R225" s="10">
        <v>0.23599999999999999</v>
      </c>
      <c r="S225" s="10" t="b">
        <f t="shared" si="46"/>
        <v>0</v>
      </c>
      <c r="T225" s="8">
        <v>36</v>
      </c>
      <c r="U225">
        <f t="shared" si="47"/>
        <v>24374.594880000001</v>
      </c>
      <c r="V225">
        <f t="shared" si="48"/>
        <v>28720.799999999999</v>
      </c>
      <c r="W225">
        <f t="shared" si="49"/>
        <v>-4346.2051199999987</v>
      </c>
      <c r="X225" s="10">
        <f t="shared" si="50"/>
        <v>-0.17830881462428633</v>
      </c>
      <c r="Y225" t="str">
        <f t="shared" si="51"/>
        <v>Medium</v>
      </c>
      <c r="Z225" t="str">
        <f t="shared" si="52"/>
        <v>Not Met</v>
      </c>
      <c r="AA225" t="str">
        <f t="shared" si="53"/>
        <v>High Discount</v>
      </c>
      <c r="AB225" s="10">
        <f>MIN(R225,ControlPanel!$B$5)</f>
        <v>0.2</v>
      </c>
      <c r="AC225">
        <f>P225*(1+ControlPanel!$B$6)</f>
        <v>837.68999999999994</v>
      </c>
      <c r="AD225">
        <f>T225*(1+ControlPanel!$B$7)</f>
        <v>39.6</v>
      </c>
      <c r="AE225" s="6">
        <f t="shared" si="54"/>
        <v>28075.449600000007</v>
      </c>
      <c r="AF225">
        <f t="shared" si="55"/>
        <v>-5097.0743999999904</v>
      </c>
    </row>
    <row r="226" spans="1:32" x14ac:dyDescent="0.3">
      <c r="A226" t="s">
        <v>200</v>
      </c>
      <c r="B226" s="4">
        <v>45099</v>
      </c>
      <c r="C226" s="4" t="str">
        <f t="shared" si="44"/>
        <v>Jun-2023</v>
      </c>
      <c r="D226" t="str">
        <f t="shared" si="45"/>
        <v>Q2-2023</v>
      </c>
      <c r="E226" s="4">
        <v>45128</v>
      </c>
      <c r="F226" s="12">
        <f t="shared" si="42"/>
        <v>45128</v>
      </c>
      <c r="G226" s="13">
        <f t="shared" si="43"/>
        <v>29</v>
      </c>
      <c r="H226" t="s">
        <v>649</v>
      </c>
      <c r="I226" t="s">
        <v>657</v>
      </c>
      <c r="J226" t="s">
        <v>679</v>
      </c>
      <c r="K226" t="s">
        <v>701</v>
      </c>
      <c r="L226" t="s">
        <v>707</v>
      </c>
      <c r="M226" t="s">
        <v>713</v>
      </c>
      <c r="N226" t="s">
        <v>733</v>
      </c>
      <c r="O226" t="s">
        <v>919</v>
      </c>
      <c r="P226" s="6">
        <v>734.34</v>
      </c>
      <c r="Q226" s="6">
        <v>887.9</v>
      </c>
      <c r="R226" s="10">
        <v>2.5000000000000001E-2</v>
      </c>
      <c r="S226" s="10" t="b">
        <f t="shared" si="46"/>
        <v>0</v>
      </c>
      <c r="T226" s="8">
        <v>12</v>
      </c>
      <c r="U226">
        <f t="shared" si="47"/>
        <v>10388.43</v>
      </c>
      <c r="V226">
        <f t="shared" si="48"/>
        <v>8812.08</v>
      </c>
      <c r="W226">
        <f t="shared" si="49"/>
        <v>1576.3500000000004</v>
      </c>
      <c r="X226" s="10">
        <f t="shared" si="50"/>
        <v>0.1517409271660877</v>
      </c>
      <c r="Y226" t="str">
        <f t="shared" si="51"/>
        <v>Medium</v>
      </c>
      <c r="Z226" t="str">
        <f t="shared" si="52"/>
        <v>Not Met</v>
      </c>
      <c r="AA226" t="str">
        <f t="shared" si="53"/>
        <v>Low Discount</v>
      </c>
      <c r="AB226" s="10">
        <f>MIN(R226,ControlPanel!$B$5)</f>
        <v>2.5000000000000001E-2</v>
      </c>
      <c r="AC226">
        <f>P226*(1+ControlPanel!$B$6)</f>
        <v>771.05700000000002</v>
      </c>
      <c r="AD226">
        <f>T226*(1+ControlPanel!$B$7)</f>
        <v>13.200000000000001</v>
      </c>
      <c r="AE226" s="6">
        <f t="shared" si="54"/>
        <v>11427.273000000001</v>
      </c>
      <c r="AF226">
        <f t="shared" si="55"/>
        <v>1249.3205999999991</v>
      </c>
    </row>
    <row r="227" spans="1:32" x14ac:dyDescent="0.3">
      <c r="A227" t="s">
        <v>515</v>
      </c>
      <c r="B227" s="4">
        <v>45408</v>
      </c>
      <c r="C227" s="4" t="str">
        <f t="shared" si="44"/>
        <v>Apr-2024</v>
      </c>
      <c r="D227" t="str">
        <f t="shared" si="45"/>
        <v>Q2-2024</v>
      </c>
      <c r="E227" s="4">
        <v>45406</v>
      </c>
      <c r="F227" s="12">
        <f t="shared" si="42"/>
        <v>45422</v>
      </c>
      <c r="G227" s="13">
        <f t="shared" si="43"/>
        <v>14</v>
      </c>
      <c r="H227" t="s">
        <v>649</v>
      </c>
      <c r="I227" t="s">
        <v>658</v>
      </c>
      <c r="J227" t="s">
        <v>683</v>
      </c>
      <c r="K227" t="s">
        <v>703</v>
      </c>
      <c r="L227" t="s">
        <v>710</v>
      </c>
      <c r="M227" t="s">
        <v>725</v>
      </c>
      <c r="N227" t="s">
        <v>730</v>
      </c>
      <c r="O227" t="s">
        <v>1234</v>
      </c>
      <c r="P227" s="6">
        <v>1232.77</v>
      </c>
      <c r="Q227" s="6">
        <v>891.73</v>
      </c>
      <c r="R227" s="10">
        <v>0.16700000000000001</v>
      </c>
      <c r="S227" s="10" t="b">
        <f t="shared" si="46"/>
        <v>0</v>
      </c>
      <c r="T227" s="8">
        <v>10</v>
      </c>
      <c r="U227">
        <f t="shared" si="47"/>
        <v>7428.1109000000006</v>
      </c>
      <c r="V227">
        <f t="shared" si="48"/>
        <v>12327.7</v>
      </c>
      <c r="W227">
        <f t="shared" si="49"/>
        <v>-4899.5891000000001</v>
      </c>
      <c r="X227" s="10">
        <f t="shared" si="50"/>
        <v>-0.65960096260813761</v>
      </c>
      <c r="Y227" t="str">
        <f t="shared" si="51"/>
        <v>Medium</v>
      </c>
      <c r="Z227" t="str">
        <f t="shared" si="52"/>
        <v>Not Met</v>
      </c>
      <c r="AA227" t="str">
        <f t="shared" si="53"/>
        <v>Low Discount</v>
      </c>
      <c r="AB227" s="10">
        <f>MIN(R227,ControlPanel!$B$5)</f>
        <v>0.16700000000000001</v>
      </c>
      <c r="AC227">
        <f>P227*(1+ControlPanel!$B$6)</f>
        <v>1294.4085</v>
      </c>
      <c r="AD227">
        <f>T227*(1+ControlPanel!$B$7)</f>
        <v>11</v>
      </c>
      <c r="AE227" s="6">
        <f t="shared" si="54"/>
        <v>8170.9219900000007</v>
      </c>
      <c r="AF227">
        <f t="shared" si="55"/>
        <v>-6067.5715099999998</v>
      </c>
    </row>
    <row r="228" spans="1:32" x14ac:dyDescent="0.3">
      <c r="A228" t="s">
        <v>291</v>
      </c>
      <c r="B228" s="4">
        <v>45832</v>
      </c>
      <c r="C228" s="4" t="str">
        <f t="shared" si="44"/>
        <v>Jun-2025</v>
      </c>
      <c r="D228" t="str">
        <f t="shared" si="45"/>
        <v>Q2-2025</v>
      </c>
      <c r="E228" s="4">
        <v>45852</v>
      </c>
      <c r="F228" s="12">
        <f t="shared" si="42"/>
        <v>45852</v>
      </c>
      <c r="G228" s="13">
        <f t="shared" si="43"/>
        <v>20</v>
      </c>
      <c r="H228" t="s">
        <v>649</v>
      </c>
      <c r="I228" t="s">
        <v>656</v>
      </c>
      <c r="J228" t="s">
        <v>671</v>
      </c>
      <c r="K228" t="s">
        <v>701</v>
      </c>
      <c r="L228" t="s">
        <v>711</v>
      </c>
      <c r="M228" t="s">
        <v>719</v>
      </c>
      <c r="N228" t="s">
        <v>733</v>
      </c>
      <c r="O228" t="s">
        <v>1011</v>
      </c>
      <c r="P228" s="6">
        <v>385.08</v>
      </c>
      <c r="Q228" s="6">
        <v>893.19</v>
      </c>
      <c r="R228" s="10">
        <v>0.151</v>
      </c>
      <c r="S228" s="10" t="b">
        <f t="shared" si="46"/>
        <v>0</v>
      </c>
      <c r="T228" s="8">
        <v>8</v>
      </c>
      <c r="U228">
        <f t="shared" si="47"/>
        <v>6066.54648</v>
      </c>
      <c r="V228">
        <f t="shared" si="48"/>
        <v>3080.64</v>
      </c>
      <c r="W228">
        <f t="shared" si="49"/>
        <v>2985.9064800000001</v>
      </c>
      <c r="X228" s="10">
        <f t="shared" si="50"/>
        <v>0.49219213762621666</v>
      </c>
      <c r="Y228" t="str">
        <f t="shared" si="51"/>
        <v>Medium</v>
      </c>
      <c r="Z228" t="str">
        <f t="shared" si="52"/>
        <v>Not Met</v>
      </c>
      <c r="AA228" t="str">
        <f t="shared" si="53"/>
        <v>Low Discount</v>
      </c>
      <c r="AB228" s="10">
        <f>MIN(R228,ControlPanel!$B$5)</f>
        <v>0.151</v>
      </c>
      <c r="AC228">
        <f>P228*(1+ControlPanel!$B$6)</f>
        <v>404.334</v>
      </c>
      <c r="AD228">
        <f>T228*(1+ControlPanel!$B$7)</f>
        <v>8.8000000000000007</v>
      </c>
      <c r="AE228" s="6">
        <f t="shared" si="54"/>
        <v>6673.2011280000006</v>
      </c>
      <c r="AF228">
        <f t="shared" si="55"/>
        <v>3115.0619280000001</v>
      </c>
    </row>
    <row r="229" spans="1:32" x14ac:dyDescent="0.3">
      <c r="A229" t="s">
        <v>398</v>
      </c>
      <c r="B229" s="4">
        <v>45491</v>
      </c>
      <c r="C229" s="4" t="str">
        <f t="shared" si="44"/>
        <v>Jul-2024</v>
      </c>
      <c r="D229" t="str">
        <f t="shared" si="45"/>
        <v>Q3-2024</v>
      </c>
      <c r="E229" s="4">
        <v>45511</v>
      </c>
      <c r="F229" s="12">
        <f t="shared" si="42"/>
        <v>45511</v>
      </c>
      <c r="G229" s="13">
        <f t="shared" si="43"/>
        <v>20</v>
      </c>
      <c r="H229" t="s">
        <v>649</v>
      </c>
      <c r="I229" t="s">
        <v>657</v>
      </c>
      <c r="J229" t="s">
        <v>673</v>
      </c>
      <c r="K229" t="s">
        <v>701</v>
      </c>
      <c r="L229" t="s">
        <v>707</v>
      </c>
      <c r="M229" t="s">
        <v>721</v>
      </c>
      <c r="N229" t="s">
        <v>732</v>
      </c>
      <c r="O229" t="s">
        <v>1117</v>
      </c>
      <c r="P229" s="6">
        <v>941.35</v>
      </c>
      <c r="Q229" s="6">
        <v>899.83</v>
      </c>
      <c r="R229" s="10">
        <v>5.8000000000000003E-2</v>
      </c>
      <c r="S229" s="10" t="b">
        <f t="shared" si="46"/>
        <v>0</v>
      </c>
      <c r="T229" s="8">
        <v>18</v>
      </c>
      <c r="U229">
        <f t="shared" si="47"/>
        <v>15257.51748</v>
      </c>
      <c r="V229">
        <f t="shared" si="48"/>
        <v>16944.3</v>
      </c>
      <c r="W229">
        <f t="shared" si="49"/>
        <v>-1686.7825199999988</v>
      </c>
      <c r="X229" s="10">
        <f t="shared" si="50"/>
        <v>-0.11055419220139073</v>
      </c>
      <c r="Y229" t="str">
        <f t="shared" si="51"/>
        <v>Medium</v>
      </c>
      <c r="Z229" t="str">
        <f t="shared" si="52"/>
        <v>Not Met</v>
      </c>
      <c r="AA229" t="str">
        <f t="shared" si="53"/>
        <v>Low Discount</v>
      </c>
      <c r="AB229" s="10">
        <f>MIN(R229,ControlPanel!$B$5)</f>
        <v>5.8000000000000003E-2</v>
      </c>
      <c r="AC229">
        <f>P229*(1+ControlPanel!$B$6)</f>
        <v>988.41750000000002</v>
      </c>
      <c r="AD229">
        <f>T229*(1+ControlPanel!$B$7)</f>
        <v>19.8</v>
      </c>
      <c r="AE229" s="6">
        <f t="shared" si="54"/>
        <v>16783.269228000001</v>
      </c>
      <c r="AF229">
        <f t="shared" si="55"/>
        <v>-2787.3972719999983</v>
      </c>
    </row>
    <row r="230" spans="1:32" x14ac:dyDescent="0.3">
      <c r="A230" t="s">
        <v>588</v>
      </c>
      <c r="B230" s="4">
        <v>45279</v>
      </c>
      <c r="C230" s="4" t="str">
        <f t="shared" si="44"/>
        <v>Dec-2023</v>
      </c>
      <c r="D230" t="str">
        <f t="shared" si="45"/>
        <v>Q4-2023</v>
      </c>
      <c r="E230" s="4">
        <v>45292</v>
      </c>
      <c r="F230" s="12">
        <f t="shared" si="42"/>
        <v>45292</v>
      </c>
      <c r="G230" s="13">
        <f t="shared" si="43"/>
        <v>13</v>
      </c>
      <c r="H230" t="s">
        <v>648</v>
      </c>
      <c r="I230" t="s">
        <v>653</v>
      </c>
      <c r="J230" t="s">
        <v>667</v>
      </c>
      <c r="K230" t="s">
        <v>706</v>
      </c>
      <c r="L230" t="s">
        <v>707</v>
      </c>
      <c r="M230" t="s">
        <v>723</v>
      </c>
      <c r="N230" t="s">
        <v>732</v>
      </c>
      <c r="O230" t="s">
        <v>1306</v>
      </c>
      <c r="P230" s="6">
        <v>856.1</v>
      </c>
      <c r="Q230" s="6">
        <v>901.48</v>
      </c>
      <c r="R230" s="10">
        <v>5.6000000000000001E-2</v>
      </c>
      <c r="S230" s="10" t="b">
        <f t="shared" si="46"/>
        <v>0</v>
      </c>
      <c r="T230" s="8">
        <v>17</v>
      </c>
      <c r="U230">
        <f t="shared" si="47"/>
        <v>14466.95104</v>
      </c>
      <c r="V230">
        <f t="shared" si="48"/>
        <v>14553.7</v>
      </c>
      <c r="W230">
        <f t="shared" si="49"/>
        <v>-86.748960000000807</v>
      </c>
      <c r="X230" s="10">
        <f t="shared" si="50"/>
        <v>-5.9963540182134192E-3</v>
      </c>
      <c r="Y230" t="str">
        <f t="shared" si="51"/>
        <v>Medium</v>
      </c>
      <c r="Z230" t="str">
        <f t="shared" si="52"/>
        <v>Not Met</v>
      </c>
      <c r="AA230" t="str">
        <f t="shared" si="53"/>
        <v>Low Discount</v>
      </c>
      <c r="AB230" s="10">
        <f>MIN(R230,ControlPanel!$B$5)</f>
        <v>5.6000000000000001E-2</v>
      </c>
      <c r="AC230">
        <f>P230*(1+ControlPanel!$B$6)</f>
        <v>898.90500000000009</v>
      </c>
      <c r="AD230">
        <f>T230*(1+ControlPanel!$B$7)</f>
        <v>18.700000000000003</v>
      </c>
      <c r="AE230" s="6">
        <f t="shared" si="54"/>
        <v>15913.646144000002</v>
      </c>
      <c r="AF230">
        <f t="shared" si="55"/>
        <v>-895.87735600000087</v>
      </c>
    </row>
    <row r="231" spans="1:32" x14ac:dyDescent="0.3">
      <c r="A231" t="s">
        <v>430</v>
      </c>
      <c r="B231" s="4">
        <v>45626</v>
      </c>
      <c r="C231" s="4" t="str">
        <f t="shared" si="44"/>
        <v>Nov-2024</v>
      </c>
      <c r="D231" t="str">
        <f t="shared" si="45"/>
        <v>Q4-2024</v>
      </c>
      <c r="E231" s="4">
        <v>45636</v>
      </c>
      <c r="F231" s="12">
        <f t="shared" si="42"/>
        <v>45636</v>
      </c>
      <c r="G231" s="13">
        <f t="shared" si="43"/>
        <v>10</v>
      </c>
      <c r="H231" t="s">
        <v>647</v>
      </c>
      <c r="I231" t="s">
        <v>654</v>
      </c>
      <c r="J231" t="s">
        <v>696</v>
      </c>
      <c r="K231" t="s">
        <v>705</v>
      </c>
      <c r="L231" t="s">
        <v>707</v>
      </c>
      <c r="M231" t="s">
        <v>721</v>
      </c>
      <c r="N231" t="s">
        <v>733</v>
      </c>
      <c r="O231" t="s">
        <v>1149</v>
      </c>
      <c r="P231" s="6">
        <v>851.49</v>
      </c>
      <c r="Q231" s="6">
        <v>901.79</v>
      </c>
      <c r="R231" s="10">
        <v>0.245</v>
      </c>
      <c r="S231" s="10" t="b">
        <f t="shared" si="46"/>
        <v>0</v>
      </c>
      <c r="T231" s="8">
        <v>16</v>
      </c>
      <c r="U231">
        <f t="shared" si="47"/>
        <v>10893.6232</v>
      </c>
      <c r="V231">
        <f t="shared" si="48"/>
        <v>13623.84</v>
      </c>
      <c r="W231">
        <f t="shared" si="49"/>
        <v>-2730.2168000000001</v>
      </c>
      <c r="X231" s="10">
        <f t="shared" si="50"/>
        <v>-0.25062522816100341</v>
      </c>
      <c r="Y231" t="str">
        <f t="shared" si="51"/>
        <v>Medium</v>
      </c>
      <c r="Z231" t="str">
        <f t="shared" si="52"/>
        <v>Not Met</v>
      </c>
      <c r="AA231" t="str">
        <f t="shared" si="53"/>
        <v>High Discount</v>
      </c>
      <c r="AB231" s="10">
        <f>MIN(R231,ControlPanel!$B$5)</f>
        <v>0.2</v>
      </c>
      <c r="AC231">
        <f>P231*(1+ControlPanel!$B$6)</f>
        <v>894.06450000000007</v>
      </c>
      <c r="AD231">
        <f>T231*(1+ControlPanel!$B$7)</f>
        <v>17.600000000000001</v>
      </c>
      <c r="AE231" s="6">
        <f t="shared" si="54"/>
        <v>12697.203200000002</v>
      </c>
      <c r="AF231">
        <f t="shared" si="55"/>
        <v>-3038.3320000000003</v>
      </c>
    </row>
    <row r="232" spans="1:32" x14ac:dyDescent="0.3">
      <c r="A232" t="s">
        <v>630</v>
      </c>
      <c r="B232" s="4">
        <v>45208</v>
      </c>
      <c r="C232" s="4" t="str">
        <f t="shared" si="44"/>
        <v>Oct-2023</v>
      </c>
      <c r="D232" t="str">
        <f t="shared" si="45"/>
        <v>Q4-2023</v>
      </c>
      <c r="E232" s="4">
        <v>45210</v>
      </c>
      <c r="F232" s="12">
        <f t="shared" si="42"/>
        <v>45210</v>
      </c>
      <c r="G232" s="13">
        <f t="shared" si="43"/>
        <v>2</v>
      </c>
      <c r="H232" t="s">
        <v>646</v>
      </c>
      <c r="I232" t="s">
        <v>651</v>
      </c>
      <c r="J232" t="s">
        <v>663</v>
      </c>
      <c r="K232" t="s">
        <v>702</v>
      </c>
      <c r="L232" t="s">
        <v>709</v>
      </c>
      <c r="M232" t="s">
        <v>723</v>
      </c>
      <c r="N232" t="s">
        <v>729</v>
      </c>
      <c r="O232" t="s">
        <v>1348</v>
      </c>
      <c r="P232" s="6">
        <v>391.16</v>
      </c>
      <c r="Q232" s="6">
        <v>902.47</v>
      </c>
      <c r="R232" s="10">
        <v>4.0000000000000001E-3</v>
      </c>
      <c r="S232" s="10" t="b">
        <f t="shared" si="46"/>
        <v>0</v>
      </c>
      <c r="T232" s="8">
        <v>12</v>
      </c>
      <c r="U232">
        <f t="shared" si="47"/>
        <v>10786.32144</v>
      </c>
      <c r="V232">
        <f t="shared" si="48"/>
        <v>4693.92</v>
      </c>
      <c r="W232">
        <f t="shared" si="49"/>
        <v>6092.4014399999996</v>
      </c>
      <c r="X232" s="10">
        <f t="shared" si="50"/>
        <v>0.56482661618139207</v>
      </c>
      <c r="Y232" t="str">
        <f t="shared" si="51"/>
        <v>Medium</v>
      </c>
      <c r="Z232" t="str">
        <f t="shared" si="52"/>
        <v>Met</v>
      </c>
      <c r="AA232" t="str">
        <f t="shared" si="53"/>
        <v>Low Discount</v>
      </c>
      <c r="AB232" s="10">
        <f>MIN(R232,ControlPanel!$B$5)</f>
        <v>4.0000000000000001E-3</v>
      </c>
      <c r="AC232">
        <f>P232*(1+ControlPanel!$B$6)</f>
        <v>410.71800000000002</v>
      </c>
      <c r="AD232">
        <f>T232*(1+ControlPanel!$B$7)</f>
        <v>13.200000000000001</v>
      </c>
      <c r="AE232" s="6">
        <f t="shared" si="54"/>
        <v>11864.953584000001</v>
      </c>
      <c r="AF232">
        <f t="shared" si="55"/>
        <v>6443.4759839999997</v>
      </c>
    </row>
    <row r="233" spans="1:32" x14ac:dyDescent="0.3">
      <c r="A233" t="s">
        <v>283</v>
      </c>
      <c r="B233" s="4">
        <v>45301</v>
      </c>
      <c r="C233" s="4" t="str">
        <f t="shared" si="44"/>
        <v>Jan-2024</v>
      </c>
      <c r="D233" t="str">
        <f t="shared" si="45"/>
        <v>Q1-2024</v>
      </c>
      <c r="E233" s="4">
        <v>45314</v>
      </c>
      <c r="F233" s="12">
        <f t="shared" si="42"/>
        <v>45314</v>
      </c>
      <c r="G233" s="13">
        <f t="shared" si="43"/>
        <v>13</v>
      </c>
      <c r="H233" t="s">
        <v>649</v>
      </c>
      <c r="I233" t="s">
        <v>657</v>
      </c>
      <c r="J233" t="s">
        <v>673</v>
      </c>
      <c r="K233" t="s">
        <v>701</v>
      </c>
      <c r="L233" t="s">
        <v>711</v>
      </c>
      <c r="M233" t="s">
        <v>720</v>
      </c>
      <c r="N233" t="s">
        <v>728</v>
      </c>
      <c r="O233" t="s">
        <v>1003</v>
      </c>
      <c r="P233" s="6">
        <v>720</v>
      </c>
      <c r="Q233" s="6">
        <v>907.59</v>
      </c>
      <c r="R233" s="10">
        <v>0.154</v>
      </c>
      <c r="S233" s="10" t="b">
        <f t="shared" si="46"/>
        <v>0</v>
      </c>
      <c r="T233" s="8">
        <v>10</v>
      </c>
      <c r="U233">
        <f t="shared" si="47"/>
        <v>7678.2114000000001</v>
      </c>
      <c r="V233">
        <f t="shared" si="48"/>
        <v>7200</v>
      </c>
      <c r="W233">
        <f t="shared" si="49"/>
        <v>478.21140000000014</v>
      </c>
      <c r="X233" s="10">
        <f t="shared" si="50"/>
        <v>6.2281614179052189E-2</v>
      </c>
      <c r="Y233" t="str">
        <f t="shared" si="51"/>
        <v>Medium</v>
      </c>
      <c r="Z233" t="str">
        <f t="shared" si="52"/>
        <v>Not Met</v>
      </c>
      <c r="AA233" t="str">
        <f t="shared" si="53"/>
        <v>Low Discount</v>
      </c>
      <c r="AB233" s="10">
        <f>MIN(R233,ControlPanel!$B$5)</f>
        <v>0.154</v>
      </c>
      <c r="AC233">
        <f>P233*(1+ControlPanel!$B$6)</f>
        <v>756</v>
      </c>
      <c r="AD233">
        <f>T233*(1+ControlPanel!$B$7)</f>
        <v>11</v>
      </c>
      <c r="AE233" s="6">
        <f t="shared" si="54"/>
        <v>8446.0325400000002</v>
      </c>
      <c r="AF233">
        <f t="shared" si="55"/>
        <v>130.03254000000015</v>
      </c>
    </row>
    <row r="234" spans="1:32" x14ac:dyDescent="0.3">
      <c r="A234" t="s">
        <v>449</v>
      </c>
      <c r="B234" s="4">
        <v>45217</v>
      </c>
      <c r="C234" s="4" t="str">
        <f t="shared" si="44"/>
        <v>Oct-2023</v>
      </c>
      <c r="D234" t="str">
        <f t="shared" si="45"/>
        <v>Q4-2023</v>
      </c>
      <c r="E234" s="4">
        <v>45219</v>
      </c>
      <c r="F234" s="12">
        <f t="shared" si="42"/>
        <v>45219</v>
      </c>
      <c r="G234" s="13">
        <f t="shared" si="43"/>
        <v>2</v>
      </c>
      <c r="H234" t="s">
        <v>646</v>
      </c>
      <c r="I234" t="s">
        <v>650</v>
      </c>
      <c r="J234" t="s">
        <v>662</v>
      </c>
      <c r="K234" t="s">
        <v>704</v>
      </c>
      <c r="L234" t="s">
        <v>707</v>
      </c>
      <c r="M234" t="s">
        <v>713</v>
      </c>
      <c r="N234" t="s">
        <v>730</v>
      </c>
      <c r="O234" t="s">
        <v>1168</v>
      </c>
      <c r="P234" s="6">
        <v>774.12</v>
      </c>
      <c r="Q234" s="6">
        <v>908.3</v>
      </c>
      <c r="R234" s="10">
        <v>0</v>
      </c>
      <c r="S234" s="10" t="b">
        <f t="shared" si="46"/>
        <v>0</v>
      </c>
      <c r="T234" s="8">
        <v>30</v>
      </c>
      <c r="U234">
        <f t="shared" si="47"/>
        <v>27249</v>
      </c>
      <c r="V234">
        <f t="shared" si="48"/>
        <v>23223.599999999999</v>
      </c>
      <c r="W234">
        <f t="shared" si="49"/>
        <v>4025.4000000000015</v>
      </c>
      <c r="X234" s="10">
        <f t="shared" si="50"/>
        <v>0.14772652207420461</v>
      </c>
      <c r="Y234" t="str">
        <f t="shared" si="51"/>
        <v>Medium</v>
      </c>
      <c r="Z234" t="str">
        <f t="shared" si="52"/>
        <v>Met</v>
      </c>
      <c r="AA234" t="str">
        <f t="shared" si="53"/>
        <v>Low Discount</v>
      </c>
      <c r="AB234" s="10">
        <f>MIN(R234,ControlPanel!$B$5)</f>
        <v>0</v>
      </c>
      <c r="AC234">
        <f>P234*(1+ControlPanel!$B$6)</f>
        <v>812.82600000000002</v>
      </c>
      <c r="AD234">
        <f>T234*(1+ControlPanel!$B$7)</f>
        <v>33</v>
      </c>
      <c r="AE234" s="6">
        <f t="shared" si="54"/>
        <v>29973.899999999998</v>
      </c>
      <c r="AF234">
        <f t="shared" si="55"/>
        <v>3150.6419999999962</v>
      </c>
    </row>
    <row r="235" spans="1:32" x14ac:dyDescent="0.3">
      <c r="A235" t="s">
        <v>106</v>
      </c>
      <c r="B235" s="4">
        <v>45817</v>
      </c>
      <c r="C235" s="4" t="str">
        <f t="shared" si="44"/>
        <v>Jun-2025</v>
      </c>
      <c r="D235" t="str">
        <f t="shared" si="45"/>
        <v>Q2-2025</v>
      </c>
      <c r="E235" s="4">
        <v>45833</v>
      </c>
      <c r="F235" s="12">
        <f t="shared" si="42"/>
        <v>45833</v>
      </c>
      <c r="G235" s="13">
        <f t="shared" si="43"/>
        <v>16</v>
      </c>
      <c r="H235" t="s">
        <v>647</v>
      </c>
      <c r="I235" t="s">
        <v>654</v>
      </c>
      <c r="J235" t="s">
        <v>696</v>
      </c>
      <c r="K235" t="s">
        <v>706</v>
      </c>
      <c r="L235" t="s">
        <v>710</v>
      </c>
      <c r="M235" t="s">
        <v>724</v>
      </c>
      <c r="N235" t="s">
        <v>730</v>
      </c>
      <c r="O235" t="s">
        <v>825</v>
      </c>
      <c r="P235" s="6">
        <v>527.33000000000004</v>
      </c>
      <c r="Q235" s="6">
        <v>911.72</v>
      </c>
      <c r="R235" s="10">
        <v>0.14399999999999999</v>
      </c>
      <c r="S235" s="10" t="b">
        <f t="shared" si="46"/>
        <v>0</v>
      </c>
      <c r="T235" s="8">
        <v>25</v>
      </c>
      <c r="U235">
        <f t="shared" si="47"/>
        <v>19510.808000000001</v>
      </c>
      <c r="V235">
        <f t="shared" si="48"/>
        <v>13183.250000000002</v>
      </c>
      <c r="W235">
        <f t="shared" si="49"/>
        <v>6327.5579999999991</v>
      </c>
      <c r="X235" s="10">
        <f t="shared" si="50"/>
        <v>0.32431040272652978</v>
      </c>
      <c r="Y235" t="str">
        <f t="shared" si="51"/>
        <v>Medium</v>
      </c>
      <c r="Z235" t="str">
        <f t="shared" si="52"/>
        <v>Not Met</v>
      </c>
      <c r="AA235" t="str">
        <f t="shared" si="53"/>
        <v>Low Discount</v>
      </c>
      <c r="AB235" s="10">
        <f>MIN(R235,ControlPanel!$B$5)</f>
        <v>0.14399999999999999</v>
      </c>
      <c r="AC235">
        <f>P235*(1+ControlPanel!$B$6)</f>
        <v>553.69650000000001</v>
      </c>
      <c r="AD235">
        <f>T235*(1+ControlPanel!$B$7)</f>
        <v>27.500000000000004</v>
      </c>
      <c r="AE235" s="6">
        <f t="shared" si="54"/>
        <v>21461.888800000004</v>
      </c>
      <c r="AF235">
        <f t="shared" si="55"/>
        <v>6235.2350500000011</v>
      </c>
    </row>
    <row r="236" spans="1:32" x14ac:dyDescent="0.3">
      <c r="A236" t="s">
        <v>265</v>
      </c>
      <c r="B236" s="4">
        <v>44989</v>
      </c>
      <c r="C236" s="4" t="str">
        <f t="shared" si="44"/>
        <v>Mar-2023</v>
      </c>
      <c r="D236" t="str">
        <f t="shared" si="45"/>
        <v>Q1-2023</v>
      </c>
      <c r="E236" s="4">
        <v>45009</v>
      </c>
      <c r="F236" s="12">
        <f t="shared" si="42"/>
        <v>45009</v>
      </c>
      <c r="G236" s="13">
        <f t="shared" si="43"/>
        <v>20</v>
      </c>
      <c r="H236" t="s">
        <v>648</v>
      </c>
      <c r="I236" t="s">
        <v>653</v>
      </c>
      <c r="J236" t="s">
        <v>681</v>
      </c>
      <c r="K236" t="s">
        <v>704</v>
      </c>
      <c r="L236" t="s">
        <v>710</v>
      </c>
      <c r="M236" t="s">
        <v>714</v>
      </c>
      <c r="N236" t="s">
        <v>731</v>
      </c>
      <c r="O236" t="s">
        <v>985</v>
      </c>
      <c r="P236" s="6">
        <v>481.71</v>
      </c>
      <c r="Q236" s="6">
        <v>912.45</v>
      </c>
      <c r="R236" s="10">
        <v>0.20300000000000001</v>
      </c>
      <c r="S236" s="10" t="b">
        <f t="shared" si="46"/>
        <v>0</v>
      </c>
      <c r="T236" s="8">
        <v>24</v>
      </c>
      <c r="U236">
        <f t="shared" si="47"/>
        <v>17453.3436</v>
      </c>
      <c r="V236">
        <f t="shared" si="48"/>
        <v>11561.039999999999</v>
      </c>
      <c r="W236">
        <f t="shared" si="49"/>
        <v>5892.3036000000011</v>
      </c>
      <c r="X236" s="10">
        <f t="shared" si="50"/>
        <v>0.33760313983619739</v>
      </c>
      <c r="Y236" t="str">
        <f t="shared" si="51"/>
        <v>Medium</v>
      </c>
      <c r="Z236" t="str">
        <f t="shared" si="52"/>
        <v>Not Met</v>
      </c>
      <c r="AA236" t="str">
        <f t="shared" si="53"/>
        <v>High Discount</v>
      </c>
      <c r="AB236" s="10">
        <f>MIN(R236,ControlPanel!$B$5)</f>
        <v>0.2</v>
      </c>
      <c r="AC236">
        <f>P236*(1+ControlPanel!$B$6)</f>
        <v>505.7955</v>
      </c>
      <c r="AD236">
        <f>T236*(1+ControlPanel!$B$7)</f>
        <v>26.400000000000002</v>
      </c>
      <c r="AE236" s="6">
        <f t="shared" si="54"/>
        <v>19270.944000000003</v>
      </c>
      <c r="AF236">
        <f t="shared" si="55"/>
        <v>5917.9428000000025</v>
      </c>
    </row>
    <row r="237" spans="1:32" x14ac:dyDescent="0.3">
      <c r="A237" t="s">
        <v>484</v>
      </c>
      <c r="B237" s="4">
        <v>45060</v>
      </c>
      <c r="C237" s="4" t="str">
        <f t="shared" si="44"/>
        <v>May-2023</v>
      </c>
      <c r="D237" t="str">
        <f t="shared" si="45"/>
        <v>Q2-2023</v>
      </c>
      <c r="E237" s="4">
        <v>45068</v>
      </c>
      <c r="F237" s="12">
        <f t="shared" si="42"/>
        <v>45068</v>
      </c>
      <c r="G237" s="13">
        <f t="shared" si="43"/>
        <v>8</v>
      </c>
      <c r="H237" t="s">
        <v>646</v>
      </c>
      <c r="I237" t="s">
        <v>650</v>
      </c>
      <c r="J237" t="s">
        <v>675</v>
      </c>
      <c r="K237" t="s">
        <v>705</v>
      </c>
      <c r="L237" t="s">
        <v>710</v>
      </c>
      <c r="M237" t="s">
        <v>721</v>
      </c>
      <c r="N237" t="s">
        <v>728</v>
      </c>
      <c r="O237" t="s">
        <v>1203</v>
      </c>
      <c r="P237" s="6">
        <v>432.01</v>
      </c>
      <c r="Q237" s="6">
        <v>913.78</v>
      </c>
      <c r="R237" s="10">
        <v>4.9000000000000002E-2</v>
      </c>
      <c r="S237" s="10" t="b">
        <f t="shared" si="46"/>
        <v>0</v>
      </c>
      <c r="T237" s="8">
        <v>12</v>
      </c>
      <c r="U237">
        <f t="shared" si="47"/>
        <v>10428.057359999999</v>
      </c>
      <c r="V237">
        <f t="shared" si="48"/>
        <v>5184.12</v>
      </c>
      <c r="W237">
        <f t="shared" si="49"/>
        <v>5243.937359999999</v>
      </c>
      <c r="X237" s="10">
        <f t="shared" si="50"/>
        <v>0.50286809699711887</v>
      </c>
      <c r="Y237" t="str">
        <f t="shared" si="51"/>
        <v>Medium</v>
      </c>
      <c r="Z237" t="str">
        <f t="shared" si="52"/>
        <v>Not Met</v>
      </c>
      <c r="AA237" t="str">
        <f t="shared" si="53"/>
        <v>Low Discount</v>
      </c>
      <c r="AB237" s="10">
        <f>MIN(R237,ControlPanel!$B$5)</f>
        <v>4.9000000000000002E-2</v>
      </c>
      <c r="AC237">
        <f>P237*(1+ControlPanel!$B$6)</f>
        <v>453.6105</v>
      </c>
      <c r="AD237">
        <f>T237*(1+ControlPanel!$B$7)</f>
        <v>13.200000000000001</v>
      </c>
      <c r="AE237" s="6">
        <f t="shared" si="54"/>
        <v>11470.863096000001</v>
      </c>
      <c r="AF237">
        <f t="shared" si="55"/>
        <v>5483.2044960000003</v>
      </c>
    </row>
    <row r="238" spans="1:32" x14ac:dyDescent="0.3">
      <c r="A238" t="s">
        <v>243</v>
      </c>
      <c r="B238" s="4">
        <v>44992</v>
      </c>
      <c r="C238" s="4" t="str">
        <f t="shared" si="44"/>
        <v>Mar-2023</v>
      </c>
      <c r="D238" t="str">
        <f t="shared" si="45"/>
        <v>Q1-2023</v>
      </c>
      <c r="E238" s="4">
        <v>45017</v>
      </c>
      <c r="F238" s="12">
        <f t="shared" si="42"/>
        <v>45017</v>
      </c>
      <c r="G238" s="13">
        <f t="shared" si="43"/>
        <v>25</v>
      </c>
      <c r="H238" t="s">
        <v>646</v>
      </c>
      <c r="I238" t="s">
        <v>650</v>
      </c>
      <c r="J238" t="s">
        <v>664</v>
      </c>
      <c r="K238" t="s">
        <v>704</v>
      </c>
      <c r="L238" t="s">
        <v>709</v>
      </c>
      <c r="M238" t="s">
        <v>726</v>
      </c>
      <c r="N238" t="s">
        <v>728</v>
      </c>
      <c r="O238" t="s">
        <v>963</v>
      </c>
      <c r="P238" s="6">
        <v>1024.0999999999999</v>
      </c>
      <c r="Q238" s="6">
        <v>918.19</v>
      </c>
      <c r="R238" s="10">
        <v>0.189</v>
      </c>
      <c r="S238" s="10" t="b">
        <f t="shared" si="46"/>
        <v>0</v>
      </c>
      <c r="T238" s="8">
        <v>10</v>
      </c>
      <c r="U238">
        <f t="shared" si="47"/>
        <v>7446.5209000000004</v>
      </c>
      <c r="V238">
        <f t="shared" si="48"/>
        <v>10241</v>
      </c>
      <c r="W238">
        <f t="shared" si="49"/>
        <v>-2794.4790999999996</v>
      </c>
      <c r="X238" s="10">
        <f t="shared" si="50"/>
        <v>-0.37527311579827827</v>
      </c>
      <c r="Y238" t="str">
        <f t="shared" si="51"/>
        <v>Medium</v>
      </c>
      <c r="Z238" t="str">
        <f t="shared" si="52"/>
        <v>Not Met</v>
      </c>
      <c r="AA238" t="str">
        <f t="shared" si="53"/>
        <v>Low Discount</v>
      </c>
      <c r="AB238" s="10">
        <f>MIN(R238,ControlPanel!$B$5)</f>
        <v>0.189</v>
      </c>
      <c r="AC238">
        <f>P238*(1+ControlPanel!$B$6)</f>
        <v>1075.3049999999998</v>
      </c>
      <c r="AD238">
        <f>T238*(1+ControlPanel!$B$7)</f>
        <v>11</v>
      </c>
      <c r="AE238" s="6">
        <f t="shared" si="54"/>
        <v>8191.1729900000009</v>
      </c>
      <c r="AF238">
        <f t="shared" si="55"/>
        <v>-3637.1820099999968</v>
      </c>
    </row>
    <row r="239" spans="1:32" x14ac:dyDescent="0.3">
      <c r="A239" t="s">
        <v>156</v>
      </c>
      <c r="B239" s="4">
        <v>45649</v>
      </c>
      <c r="C239" s="4" t="str">
        <f t="shared" si="44"/>
        <v>Dec-2024</v>
      </c>
      <c r="D239" t="str">
        <f t="shared" si="45"/>
        <v>Q4-2024</v>
      </c>
      <c r="E239" s="4">
        <v>45668</v>
      </c>
      <c r="F239" s="12">
        <f t="shared" si="42"/>
        <v>45668</v>
      </c>
      <c r="G239" s="13">
        <f t="shared" si="43"/>
        <v>19</v>
      </c>
      <c r="H239" t="s">
        <v>649</v>
      </c>
      <c r="I239" t="s">
        <v>656</v>
      </c>
      <c r="J239" t="s">
        <v>671</v>
      </c>
      <c r="K239" t="s">
        <v>702</v>
      </c>
      <c r="L239" t="s">
        <v>707</v>
      </c>
      <c r="M239" t="s">
        <v>723</v>
      </c>
      <c r="N239" t="s">
        <v>730</v>
      </c>
      <c r="O239" t="s">
        <v>875</v>
      </c>
      <c r="P239" s="6">
        <v>501.81</v>
      </c>
      <c r="Q239" s="6">
        <v>921.62</v>
      </c>
      <c r="R239" s="10">
        <v>0.01</v>
      </c>
      <c r="S239" s="10" t="b">
        <f t="shared" si="46"/>
        <v>0</v>
      </c>
      <c r="T239" s="8">
        <v>9</v>
      </c>
      <c r="U239">
        <f t="shared" si="47"/>
        <v>8211.6342000000004</v>
      </c>
      <c r="V239">
        <f t="shared" si="48"/>
        <v>4516.29</v>
      </c>
      <c r="W239">
        <f t="shared" si="49"/>
        <v>3695.3442000000005</v>
      </c>
      <c r="X239" s="10">
        <f t="shared" si="50"/>
        <v>0.45001325071202031</v>
      </c>
      <c r="Y239" t="str">
        <f t="shared" si="51"/>
        <v>Medium</v>
      </c>
      <c r="Z239" t="str">
        <f t="shared" si="52"/>
        <v>Not Met</v>
      </c>
      <c r="AA239" t="str">
        <f t="shared" si="53"/>
        <v>Low Discount</v>
      </c>
      <c r="AB239" s="10">
        <f>MIN(R239,ControlPanel!$B$5)</f>
        <v>0.01</v>
      </c>
      <c r="AC239">
        <f>P239*(1+ControlPanel!$B$6)</f>
        <v>526.90050000000008</v>
      </c>
      <c r="AD239">
        <f>T239*(1+ControlPanel!$B$7)</f>
        <v>9.9</v>
      </c>
      <c r="AE239" s="6">
        <f t="shared" si="54"/>
        <v>9032.7976200000012</v>
      </c>
      <c r="AF239">
        <f t="shared" si="55"/>
        <v>3816.4826700000003</v>
      </c>
    </row>
    <row r="240" spans="1:32" x14ac:dyDescent="0.3">
      <c r="A240" t="s">
        <v>279</v>
      </c>
      <c r="B240" s="4">
        <v>45902</v>
      </c>
      <c r="C240" s="4" t="str">
        <f t="shared" si="44"/>
        <v>Sep-2025</v>
      </c>
      <c r="D240" t="str">
        <f t="shared" si="45"/>
        <v>Q3-2025</v>
      </c>
      <c r="E240" s="4">
        <v>45911</v>
      </c>
      <c r="F240" s="12">
        <f t="shared" si="42"/>
        <v>45911</v>
      </c>
      <c r="G240" s="13">
        <f t="shared" si="43"/>
        <v>9</v>
      </c>
      <c r="H240" t="s">
        <v>648</v>
      </c>
      <c r="I240" t="s">
        <v>653</v>
      </c>
      <c r="J240" t="s">
        <v>667</v>
      </c>
      <c r="K240" t="s">
        <v>701</v>
      </c>
      <c r="L240" t="s">
        <v>710</v>
      </c>
      <c r="M240" t="s">
        <v>724</v>
      </c>
      <c r="N240" t="s">
        <v>728</v>
      </c>
      <c r="O240" t="s">
        <v>999</v>
      </c>
      <c r="P240" s="6">
        <v>1207.6300000000001</v>
      </c>
      <c r="Q240" s="6">
        <v>921.68</v>
      </c>
      <c r="R240" s="10">
        <v>0.19600000000000001</v>
      </c>
      <c r="S240" s="10" t="b">
        <f t="shared" si="46"/>
        <v>0</v>
      </c>
      <c r="T240" s="8">
        <v>17</v>
      </c>
      <c r="U240">
        <f t="shared" si="47"/>
        <v>12597.52224</v>
      </c>
      <c r="V240">
        <f t="shared" si="48"/>
        <v>20529.710000000003</v>
      </c>
      <c r="W240">
        <f t="shared" si="49"/>
        <v>-7932.1877600000025</v>
      </c>
      <c r="X240" s="10">
        <f t="shared" si="50"/>
        <v>-0.62966253274897988</v>
      </c>
      <c r="Y240" t="str">
        <f t="shared" si="51"/>
        <v>Medium</v>
      </c>
      <c r="Z240" t="str">
        <f t="shared" si="52"/>
        <v>Not Met</v>
      </c>
      <c r="AA240" t="str">
        <f t="shared" si="53"/>
        <v>Low Discount</v>
      </c>
      <c r="AB240" s="10">
        <f>MIN(R240,ControlPanel!$B$5)</f>
        <v>0.19600000000000001</v>
      </c>
      <c r="AC240">
        <f>P240*(1+ControlPanel!$B$6)</f>
        <v>1268.0115000000001</v>
      </c>
      <c r="AD240">
        <f>T240*(1+ControlPanel!$B$7)</f>
        <v>18.700000000000003</v>
      </c>
      <c r="AE240" s="6">
        <f t="shared" si="54"/>
        <v>13857.274464000002</v>
      </c>
      <c r="AF240">
        <f t="shared" si="55"/>
        <v>-9854.5405860000028</v>
      </c>
    </row>
    <row r="241" spans="1:32" x14ac:dyDescent="0.3">
      <c r="A241" t="s">
        <v>51</v>
      </c>
      <c r="B241" s="4">
        <v>45358</v>
      </c>
      <c r="C241" s="4" t="str">
        <f t="shared" si="44"/>
        <v>Mar-2024</v>
      </c>
      <c r="D241" t="str">
        <f t="shared" si="45"/>
        <v>Q1-2024</v>
      </c>
      <c r="E241" s="4">
        <v>45376</v>
      </c>
      <c r="F241" s="12">
        <f t="shared" si="42"/>
        <v>45376</v>
      </c>
      <c r="G241" s="13">
        <f t="shared" si="43"/>
        <v>18</v>
      </c>
      <c r="H241" t="s">
        <v>649</v>
      </c>
      <c r="I241" t="s">
        <v>656</v>
      </c>
      <c r="J241" t="s">
        <v>684</v>
      </c>
      <c r="K241" t="s">
        <v>701</v>
      </c>
      <c r="L241" t="s">
        <v>708</v>
      </c>
      <c r="M241" t="s">
        <v>717</v>
      </c>
      <c r="N241" t="s">
        <v>727</v>
      </c>
      <c r="O241" t="s">
        <v>770</v>
      </c>
      <c r="P241" s="6">
        <v>712.84</v>
      </c>
      <c r="Q241" s="6">
        <v>927.51</v>
      </c>
      <c r="R241" s="10">
        <v>0.24299999999999999</v>
      </c>
      <c r="S241" s="10" t="b">
        <f t="shared" si="46"/>
        <v>0</v>
      </c>
      <c r="T241" s="8">
        <v>27</v>
      </c>
      <c r="U241">
        <f t="shared" si="47"/>
        <v>18957.37689</v>
      </c>
      <c r="V241">
        <f t="shared" si="48"/>
        <v>19246.68</v>
      </c>
      <c r="W241">
        <f t="shared" si="49"/>
        <v>-289.30311000000074</v>
      </c>
      <c r="X241" s="10">
        <f t="shared" si="50"/>
        <v>-1.5260714163076427E-2</v>
      </c>
      <c r="Y241" t="str">
        <f t="shared" si="51"/>
        <v>Medium</v>
      </c>
      <c r="Z241" t="str">
        <f t="shared" si="52"/>
        <v>Not Met</v>
      </c>
      <c r="AA241" t="str">
        <f t="shared" si="53"/>
        <v>High Discount</v>
      </c>
      <c r="AB241" s="10">
        <f>MIN(R241,ControlPanel!$B$5)</f>
        <v>0.2</v>
      </c>
      <c r="AC241">
        <f>P241*(1+ControlPanel!$B$6)</f>
        <v>748.48200000000008</v>
      </c>
      <c r="AD241">
        <f>T241*(1+ControlPanel!$B$7)</f>
        <v>29.700000000000003</v>
      </c>
      <c r="AE241" s="6">
        <f t="shared" si="54"/>
        <v>22037.637600000002</v>
      </c>
      <c r="AF241">
        <f t="shared" si="55"/>
        <v>-192.27780000000348</v>
      </c>
    </row>
    <row r="242" spans="1:32" x14ac:dyDescent="0.3">
      <c r="A242" t="s">
        <v>258</v>
      </c>
      <c r="B242" s="4">
        <v>45035</v>
      </c>
      <c r="C242" s="4" t="str">
        <f t="shared" si="44"/>
        <v>Apr-2023</v>
      </c>
      <c r="D242" t="str">
        <f t="shared" si="45"/>
        <v>Q2-2023</v>
      </c>
      <c r="E242" s="4">
        <v>45044</v>
      </c>
      <c r="F242" s="12">
        <f t="shared" si="42"/>
        <v>45044</v>
      </c>
      <c r="G242" s="13">
        <f t="shared" si="43"/>
        <v>9</v>
      </c>
      <c r="H242" t="s">
        <v>648</v>
      </c>
      <c r="I242" t="s">
        <v>655</v>
      </c>
      <c r="J242" t="s">
        <v>692</v>
      </c>
      <c r="K242" t="s">
        <v>701</v>
      </c>
      <c r="L242" t="s">
        <v>710</v>
      </c>
      <c r="M242" t="s">
        <v>724</v>
      </c>
      <c r="N242" t="s">
        <v>730</v>
      </c>
      <c r="O242" t="s">
        <v>978</v>
      </c>
      <c r="P242" s="6">
        <v>1013.54</v>
      </c>
      <c r="Q242" s="6">
        <v>927.93</v>
      </c>
      <c r="R242" s="10">
        <v>0.17499999999999999</v>
      </c>
      <c r="S242" s="10" t="b">
        <f t="shared" si="46"/>
        <v>0</v>
      </c>
      <c r="T242" s="8">
        <v>16</v>
      </c>
      <c r="U242">
        <f t="shared" si="47"/>
        <v>12248.675999999999</v>
      </c>
      <c r="V242">
        <f t="shared" si="48"/>
        <v>16216.64</v>
      </c>
      <c r="W242">
        <f t="shared" si="49"/>
        <v>-3967.9639999999999</v>
      </c>
      <c r="X242" s="10">
        <f t="shared" si="50"/>
        <v>-0.32395044166406234</v>
      </c>
      <c r="Y242" t="str">
        <f t="shared" si="51"/>
        <v>Medium</v>
      </c>
      <c r="Z242" t="str">
        <f t="shared" si="52"/>
        <v>Not Met</v>
      </c>
      <c r="AA242" t="str">
        <f t="shared" si="53"/>
        <v>Low Discount</v>
      </c>
      <c r="AB242" s="10">
        <f>MIN(R242,ControlPanel!$B$5)</f>
        <v>0.17499999999999999</v>
      </c>
      <c r="AC242">
        <f>P242*(1+ControlPanel!$B$6)</f>
        <v>1064.2170000000001</v>
      </c>
      <c r="AD242">
        <f>T242*(1+ControlPanel!$B$7)</f>
        <v>17.600000000000001</v>
      </c>
      <c r="AE242" s="6">
        <f t="shared" si="54"/>
        <v>13473.543600000001</v>
      </c>
      <c r="AF242">
        <f t="shared" si="55"/>
        <v>-5256.6756000000023</v>
      </c>
    </row>
    <row r="243" spans="1:32" x14ac:dyDescent="0.3">
      <c r="A243" t="s">
        <v>339</v>
      </c>
      <c r="B243" s="4">
        <v>45053</v>
      </c>
      <c r="C243" s="4" t="str">
        <f t="shared" si="44"/>
        <v>May-2023</v>
      </c>
      <c r="D243" t="str">
        <f t="shared" si="45"/>
        <v>Q2-2023</v>
      </c>
      <c r="E243" s="4">
        <v>45075</v>
      </c>
      <c r="F243" s="12">
        <f t="shared" si="42"/>
        <v>45075</v>
      </c>
      <c r="G243" s="13">
        <f t="shared" si="43"/>
        <v>22</v>
      </c>
      <c r="H243" t="s">
        <v>646</v>
      </c>
      <c r="I243" t="s">
        <v>661</v>
      </c>
      <c r="J243" t="s">
        <v>687</v>
      </c>
      <c r="K243" t="s">
        <v>702</v>
      </c>
      <c r="L243" t="s">
        <v>710</v>
      </c>
      <c r="M243" t="s">
        <v>723</v>
      </c>
      <c r="N243" t="s">
        <v>733</v>
      </c>
      <c r="O243" t="s">
        <v>1059</v>
      </c>
      <c r="P243" s="6">
        <v>653.86</v>
      </c>
      <c r="Q243" s="6">
        <v>931.84</v>
      </c>
      <c r="R243" s="10">
        <v>0.121</v>
      </c>
      <c r="S243" s="10" t="b">
        <f t="shared" si="46"/>
        <v>0</v>
      </c>
      <c r="T243" s="8">
        <v>12</v>
      </c>
      <c r="U243">
        <f t="shared" si="47"/>
        <v>9829.0483199999999</v>
      </c>
      <c r="V243">
        <f t="shared" si="48"/>
        <v>7846.32</v>
      </c>
      <c r="W243">
        <f t="shared" si="49"/>
        <v>1982.7283200000002</v>
      </c>
      <c r="X243" s="10">
        <f t="shared" si="50"/>
        <v>0.20172129136506273</v>
      </c>
      <c r="Y243" t="str">
        <f t="shared" si="51"/>
        <v>Medium</v>
      </c>
      <c r="Z243" t="str">
        <f t="shared" si="52"/>
        <v>Not Met</v>
      </c>
      <c r="AA243" t="str">
        <f t="shared" si="53"/>
        <v>Low Discount</v>
      </c>
      <c r="AB243" s="10">
        <f>MIN(R243,ControlPanel!$B$5)</f>
        <v>0.121</v>
      </c>
      <c r="AC243">
        <f>P243*(1+ControlPanel!$B$6)</f>
        <v>686.553</v>
      </c>
      <c r="AD243">
        <f>T243*(1+ControlPanel!$B$7)</f>
        <v>13.200000000000001</v>
      </c>
      <c r="AE243" s="6">
        <f t="shared" si="54"/>
        <v>10811.953152</v>
      </c>
      <c r="AF243">
        <f t="shared" si="55"/>
        <v>1749.453551999999</v>
      </c>
    </row>
    <row r="244" spans="1:32" x14ac:dyDescent="0.3">
      <c r="A244" t="s">
        <v>245</v>
      </c>
      <c r="B244" s="4">
        <v>45771</v>
      </c>
      <c r="C244" s="4" t="str">
        <f t="shared" si="44"/>
        <v>Apr-2025</v>
      </c>
      <c r="D244" t="str">
        <f t="shared" si="45"/>
        <v>Q2-2025</v>
      </c>
      <c r="E244" s="4">
        <v>45783</v>
      </c>
      <c r="F244" s="12">
        <f t="shared" si="42"/>
        <v>45783</v>
      </c>
      <c r="G244" s="13">
        <f t="shared" si="43"/>
        <v>12</v>
      </c>
      <c r="H244" t="s">
        <v>648</v>
      </c>
      <c r="I244" t="s">
        <v>655</v>
      </c>
      <c r="J244" t="s">
        <v>672</v>
      </c>
      <c r="K244" t="s">
        <v>704</v>
      </c>
      <c r="L244" t="s">
        <v>708</v>
      </c>
      <c r="M244" t="s">
        <v>712</v>
      </c>
      <c r="N244" t="s">
        <v>730</v>
      </c>
      <c r="O244" t="s">
        <v>965</v>
      </c>
      <c r="P244" s="6">
        <v>394.13</v>
      </c>
      <c r="Q244" s="6">
        <v>932.29</v>
      </c>
      <c r="R244" s="10">
        <v>0.109</v>
      </c>
      <c r="S244" s="10" t="b">
        <f t="shared" si="46"/>
        <v>0</v>
      </c>
      <c r="T244" s="8">
        <v>7</v>
      </c>
      <c r="U244">
        <f t="shared" si="47"/>
        <v>5814.6927299999998</v>
      </c>
      <c r="V244">
        <f t="shared" si="48"/>
        <v>2758.91</v>
      </c>
      <c r="W244">
        <f t="shared" si="49"/>
        <v>3055.7827299999999</v>
      </c>
      <c r="X244" s="10">
        <f t="shared" si="50"/>
        <v>0.5255278089303268</v>
      </c>
      <c r="Y244" t="str">
        <f t="shared" si="51"/>
        <v>Medium</v>
      </c>
      <c r="Z244" t="str">
        <f t="shared" si="52"/>
        <v>Not Met</v>
      </c>
      <c r="AA244" t="str">
        <f t="shared" si="53"/>
        <v>Low Discount</v>
      </c>
      <c r="AB244" s="10">
        <f>MIN(R244,ControlPanel!$B$5)</f>
        <v>0.109</v>
      </c>
      <c r="AC244">
        <f>P244*(1+ControlPanel!$B$6)</f>
        <v>413.8365</v>
      </c>
      <c r="AD244">
        <f>T244*(1+ControlPanel!$B$7)</f>
        <v>7.7000000000000011</v>
      </c>
      <c r="AE244" s="6">
        <f t="shared" si="54"/>
        <v>6396.1620030000013</v>
      </c>
      <c r="AF244">
        <f t="shared" si="55"/>
        <v>3209.620953000001</v>
      </c>
    </row>
    <row r="245" spans="1:32" x14ac:dyDescent="0.3">
      <c r="A245" t="s">
        <v>233</v>
      </c>
      <c r="B245" s="4">
        <v>45554</v>
      </c>
      <c r="C245" s="4" t="str">
        <f t="shared" si="44"/>
        <v>Sep-2024</v>
      </c>
      <c r="D245" t="str">
        <f t="shared" si="45"/>
        <v>Q3-2024</v>
      </c>
      <c r="E245" s="4">
        <v>45579</v>
      </c>
      <c r="F245" s="12">
        <f t="shared" si="42"/>
        <v>45579</v>
      </c>
      <c r="G245" s="13">
        <f t="shared" si="43"/>
        <v>25</v>
      </c>
      <c r="H245" t="s">
        <v>648</v>
      </c>
      <c r="I245" t="s">
        <v>655</v>
      </c>
      <c r="J245" t="s">
        <v>692</v>
      </c>
      <c r="K245" t="s">
        <v>705</v>
      </c>
      <c r="L245" t="s">
        <v>707</v>
      </c>
      <c r="M245" t="s">
        <v>723</v>
      </c>
      <c r="N245" t="s">
        <v>728</v>
      </c>
      <c r="O245" t="s">
        <v>953</v>
      </c>
      <c r="P245" s="6">
        <v>386.96</v>
      </c>
      <c r="Q245" s="6">
        <v>937.46</v>
      </c>
      <c r="R245" s="10">
        <v>0.26600000000000001</v>
      </c>
      <c r="S245" s="10" t="b">
        <f t="shared" si="46"/>
        <v>0</v>
      </c>
      <c r="T245" s="8">
        <v>41</v>
      </c>
      <c r="U245">
        <f t="shared" si="47"/>
        <v>28211.92124</v>
      </c>
      <c r="V245">
        <f t="shared" si="48"/>
        <v>15865.359999999999</v>
      </c>
      <c r="W245">
        <f t="shared" si="49"/>
        <v>12346.561240000001</v>
      </c>
      <c r="X245" s="10">
        <f t="shared" si="50"/>
        <v>0.43763631462626335</v>
      </c>
      <c r="Y245" t="str">
        <f t="shared" si="51"/>
        <v>Medium</v>
      </c>
      <c r="Z245" t="str">
        <f t="shared" si="52"/>
        <v>Not Met</v>
      </c>
      <c r="AA245" t="str">
        <f t="shared" si="53"/>
        <v>High Discount</v>
      </c>
      <c r="AB245" s="10">
        <f>MIN(R245,ControlPanel!$B$5)</f>
        <v>0.2</v>
      </c>
      <c r="AC245">
        <f>P245*(1+ControlPanel!$B$6)</f>
        <v>406.30799999999999</v>
      </c>
      <c r="AD245">
        <f>T245*(1+ControlPanel!$B$7)</f>
        <v>45.1</v>
      </c>
      <c r="AE245" s="6">
        <f t="shared" si="54"/>
        <v>33823.556800000006</v>
      </c>
      <c r="AF245">
        <f t="shared" si="55"/>
        <v>15499.066000000006</v>
      </c>
    </row>
    <row r="246" spans="1:32" x14ac:dyDescent="0.3">
      <c r="A246" t="s">
        <v>605</v>
      </c>
      <c r="B246" s="4">
        <v>45899</v>
      </c>
      <c r="C246" s="4" t="str">
        <f t="shared" si="44"/>
        <v>Aug-2025</v>
      </c>
      <c r="D246" t="str">
        <f t="shared" si="45"/>
        <v>Q3-2025</v>
      </c>
      <c r="E246" s="4">
        <v>45922</v>
      </c>
      <c r="F246" s="12">
        <f t="shared" si="42"/>
        <v>45922</v>
      </c>
      <c r="G246" s="13">
        <f t="shared" si="43"/>
        <v>23</v>
      </c>
      <c r="H246" t="s">
        <v>649</v>
      </c>
      <c r="I246" t="s">
        <v>657</v>
      </c>
      <c r="J246" t="s">
        <v>673</v>
      </c>
      <c r="K246" t="s">
        <v>701</v>
      </c>
      <c r="L246" t="s">
        <v>711</v>
      </c>
      <c r="M246" t="s">
        <v>718</v>
      </c>
      <c r="N246" t="s">
        <v>727</v>
      </c>
      <c r="O246" t="s">
        <v>1323</v>
      </c>
      <c r="P246" s="6">
        <v>663.9</v>
      </c>
      <c r="Q246" s="6">
        <v>947.77</v>
      </c>
      <c r="R246" s="10">
        <v>0.17399999999999999</v>
      </c>
      <c r="S246" s="10" t="b">
        <f t="shared" si="46"/>
        <v>0</v>
      </c>
      <c r="T246" s="8">
        <v>15</v>
      </c>
      <c r="U246">
        <f t="shared" si="47"/>
        <v>11742.8703</v>
      </c>
      <c r="V246">
        <f t="shared" si="48"/>
        <v>9958.5</v>
      </c>
      <c r="W246">
        <f t="shared" si="49"/>
        <v>1784.3703000000005</v>
      </c>
      <c r="X246" s="10">
        <f t="shared" si="50"/>
        <v>0.1519535049280073</v>
      </c>
      <c r="Y246" t="str">
        <f t="shared" si="51"/>
        <v>Medium</v>
      </c>
      <c r="Z246" t="str">
        <f t="shared" si="52"/>
        <v>Not Met</v>
      </c>
      <c r="AA246" t="str">
        <f t="shared" si="53"/>
        <v>Low Discount</v>
      </c>
      <c r="AB246" s="10">
        <f>MIN(R246,ControlPanel!$B$5)</f>
        <v>0.17399999999999999</v>
      </c>
      <c r="AC246">
        <f>P246*(1+ControlPanel!$B$6)</f>
        <v>697.09500000000003</v>
      </c>
      <c r="AD246">
        <f>T246*(1+ControlPanel!$B$7)</f>
        <v>16.5</v>
      </c>
      <c r="AE246" s="6">
        <f t="shared" si="54"/>
        <v>12917.15733</v>
      </c>
      <c r="AF246">
        <f t="shared" si="55"/>
        <v>1415.089829999999</v>
      </c>
    </row>
    <row r="247" spans="1:32" x14ac:dyDescent="0.3">
      <c r="A247" t="s">
        <v>162</v>
      </c>
      <c r="B247" s="4">
        <v>45386</v>
      </c>
      <c r="C247" s="4" t="str">
        <f t="shared" si="44"/>
        <v>Apr-2024</v>
      </c>
      <c r="D247" t="str">
        <f t="shared" si="45"/>
        <v>Q2-2024</v>
      </c>
      <c r="E247" s="4">
        <v>45406</v>
      </c>
      <c r="F247" s="12">
        <f t="shared" si="42"/>
        <v>45406</v>
      </c>
      <c r="G247" s="13">
        <f t="shared" si="43"/>
        <v>20</v>
      </c>
      <c r="H247" t="s">
        <v>649</v>
      </c>
      <c r="I247" t="s">
        <v>656</v>
      </c>
      <c r="J247" t="s">
        <v>698</v>
      </c>
      <c r="K247" t="s">
        <v>703</v>
      </c>
      <c r="L247" t="s">
        <v>711</v>
      </c>
      <c r="M247" t="s">
        <v>719</v>
      </c>
      <c r="N247" t="s">
        <v>733</v>
      </c>
      <c r="O247" t="s">
        <v>881</v>
      </c>
      <c r="P247" s="6">
        <v>683.42</v>
      </c>
      <c r="Q247" s="6">
        <v>951.51</v>
      </c>
      <c r="R247" s="10">
        <v>0</v>
      </c>
      <c r="S247" s="10" t="b">
        <f t="shared" si="46"/>
        <v>0</v>
      </c>
      <c r="T247" s="8">
        <v>14</v>
      </c>
      <c r="U247">
        <f t="shared" si="47"/>
        <v>13321.14</v>
      </c>
      <c r="V247">
        <f t="shared" si="48"/>
        <v>9567.8799999999992</v>
      </c>
      <c r="W247">
        <f t="shared" si="49"/>
        <v>3753.26</v>
      </c>
      <c r="X247" s="10">
        <f t="shared" si="50"/>
        <v>0.28175216235247136</v>
      </c>
      <c r="Y247" t="str">
        <f t="shared" si="51"/>
        <v>Medium</v>
      </c>
      <c r="Z247" t="str">
        <f t="shared" si="52"/>
        <v>Not Met</v>
      </c>
      <c r="AA247" t="str">
        <f t="shared" si="53"/>
        <v>Low Discount</v>
      </c>
      <c r="AB247" s="10">
        <f>MIN(R247,ControlPanel!$B$5)</f>
        <v>0</v>
      </c>
      <c r="AC247">
        <f>P247*(1+ControlPanel!$B$6)</f>
        <v>717.59100000000001</v>
      </c>
      <c r="AD247">
        <f>T247*(1+ControlPanel!$B$7)</f>
        <v>15.400000000000002</v>
      </c>
      <c r="AE247" s="6">
        <f t="shared" si="54"/>
        <v>14653.254000000003</v>
      </c>
      <c r="AF247">
        <f t="shared" si="55"/>
        <v>3602.3526000000002</v>
      </c>
    </row>
    <row r="248" spans="1:32" x14ac:dyDescent="0.3">
      <c r="A248" t="s">
        <v>342</v>
      </c>
      <c r="B248" s="4">
        <v>45796</v>
      </c>
      <c r="C248" s="4" t="str">
        <f t="shared" si="44"/>
        <v>May-2025</v>
      </c>
      <c r="D248" t="str">
        <f t="shared" si="45"/>
        <v>Q2-2025</v>
      </c>
      <c r="E248" s="4">
        <v>45794</v>
      </c>
      <c r="F248" s="12">
        <f t="shared" si="42"/>
        <v>45810</v>
      </c>
      <c r="G248" s="13">
        <f t="shared" si="43"/>
        <v>14</v>
      </c>
      <c r="H248" t="s">
        <v>648</v>
      </c>
      <c r="I248" t="s">
        <v>655</v>
      </c>
      <c r="J248" t="s">
        <v>670</v>
      </c>
      <c r="K248" t="s">
        <v>705</v>
      </c>
      <c r="L248" t="s">
        <v>710</v>
      </c>
      <c r="M248" t="s">
        <v>716</v>
      </c>
      <c r="N248" t="s">
        <v>732</v>
      </c>
      <c r="O248" t="s">
        <v>1062</v>
      </c>
      <c r="P248" s="6">
        <v>383.77</v>
      </c>
      <c r="Q248" s="6">
        <v>952.56</v>
      </c>
      <c r="R248" s="10">
        <v>0</v>
      </c>
      <c r="S248" s="10" t="b">
        <f t="shared" si="46"/>
        <v>0</v>
      </c>
      <c r="T248" s="8">
        <v>10</v>
      </c>
      <c r="U248">
        <f t="shared" si="47"/>
        <v>9525.5999999999985</v>
      </c>
      <c r="V248">
        <f t="shared" si="48"/>
        <v>3837.7</v>
      </c>
      <c r="W248">
        <f t="shared" si="49"/>
        <v>5687.8999999999987</v>
      </c>
      <c r="X248" s="10">
        <f t="shared" si="50"/>
        <v>0.59711724195851179</v>
      </c>
      <c r="Y248" t="str">
        <f t="shared" si="51"/>
        <v>Medium</v>
      </c>
      <c r="Z248" t="str">
        <f t="shared" si="52"/>
        <v>Not Met</v>
      </c>
      <c r="AA248" t="str">
        <f t="shared" si="53"/>
        <v>Low Discount</v>
      </c>
      <c r="AB248" s="10">
        <f>MIN(R248,ControlPanel!$B$5)</f>
        <v>0</v>
      </c>
      <c r="AC248">
        <f>P248*(1+ControlPanel!$B$6)</f>
        <v>402.95850000000002</v>
      </c>
      <c r="AD248">
        <f>T248*(1+ControlPanel!$B$7)</f>
        <v>11</v>
      </c>
      <c r="AE248" s="6">
        <f t="shared" si="54"/>
        <v>10478.16</v>
      </c>
      <c r="AF248">
        <f t="shared" si="55"/>
        <v>6045.6165000000001</v>
      </c>
    </row>
    <row r="249" spans="1:32" x14ac:dyDescent="0.3">
      <c r="A249" t="s">
        <v>476</v>
      </c>
      <c r="B249" s="4">
        <v>45358</v>
      </c>
      <c r="C249" s="4" t="str">
        <f t="shared" si="44"/>
        <v>Mar-2024</v>
      </c>
      <c r="D249" t="str">
        <f t="shared" si="45"/>
        <v>Q1-2024</v>
      </c>
      <c r="E249" s="4">
        <v>45385</v>
      </c>
      <c r="F249" s="12">
        <f t="shared" si="42"/>
        <v>45385</v>
      </c>
      <c r="G249" s="13">
        <f t="shared" si="43"/>
        <v>27</v>
      </c>
      <c r="H249" t="s">
        <v>649</v>
      </c>
      <c r="I249" t="s">
        <v>656</v>
      </c>
      <c r="J249" t="s">
        <v>698</v>
      </c>
      <c r="K249" t="s">
        <v>701</v>
      </c>
      <c r="L249" t="s">
        <v>711</v>
      </c>
      <c r="M249" t="s">
        <v>724</v>
      </c>
      <c r="N249" t="s">
        <v>728</v>
      </c>
      <c r="O249" t="s">
        <v>1195</v>
      </c>
      <c r="P249" s="6">
        <v>738.16</v>
      </c>
      <c r="Q249" s="6">
        <v>956.49</v>
      </c>
      <c r="R249" s="10">
        <v>0.152</v>
      </c>
      <c r="S249" s="10" t="b">
        <f t="shared" si="46"/>
        <v>0</v>
      </c>
      <c r="T249" s="8">
        <v>5</v>
      </c>
      <c r="U249">
        <f t="shared" si="47"/>
        <v>4055.5176000000001</v>
      </c>
      <c r="V249">
        <f t="shared" si="48"/>
        <v>3690.7999999999997</v>
      </c>
      <c r="W249">
        <f t="shared" si="49"/>
        <v>364.7176000000004</v>
      </c>
      <c r="X249" s="10">
        <f t="shared" si="50"/>
        <v>8.9931208780847205E-2</v>
      </c>
      <c r="Y249" t="str">
        <f t="shared" si="51"/>
        <v>Medium</v>
      </c>
      <c r="Z249" t="str">
        <f t="shared" si="52"/>
        <v>Not Met</v>
      </c>
      <c r="AA249" t="str">
        <f t="shared" si="53"/>
        <v>Low Discount</v>
      </c>
      <c r="AB249" s="10">
        <f>MIN(R249,ControlPanel!$B$5)</f>
        <v>0.152</v>
      </c>
      <c r="AC249">
        <f>P249*(1+ControlPanel!$B$6)</f>
        <v>775.06799999999998</v>
      </c>
      <c r="AD249">
        <f>T249*(1+ControlPanel!$B$7)</f>
        <v>5.5</v>
      </c>
      <c r="AE249" s="6">
        <f t="shared" si="54"/>
        <v>4461.0693600000004</v>
      </c>
      <c r="AF249">
        <f t="shared" si="55"/>
        <v>198.19536000000062</v>
      </c>
    </row>
    <row r="250" spans="1:32" x14ac:dyDescent="0.3">
      <c r="A250" t="s">
        <v>567</v>
      </c>
      <c r="B250" s="4">
        <v>45704</v>
      </c>
      <c r="C250" s="4" t="str">
        <f t="shared" si="44"/>
        <v>Feb-2025</v>
      </c>
      <c r="D250" t="str">
        <f t="shared" si="45"/>
        <v>Q1-2025</v>
      </c>
      <c r="E250" s="4">
        <v>45733</v>
      </c>
      <c r="F250" s="12">
        <f t="shared" si="42"/>
        <v>45733</v>
      </c>
      <c r="G250" s="13">
        <f t="shared" si="43"/>
        <v>29</v>
      </c>
      <c r="H250" t="s">
        <v>649</v>
      </c>
      <c r="I250" t="s">
        <v>656</v>
      </c>
      <c r="J250" t="s">
        <v>684</v>
      </c>
      <c r="K250" t="s">
        <v>704</v>
      </c>
      <c r="L250" t="s">
        <v>707</v>
      </c>
      <c r="M250" t="s">
        <v>716</v>
      </c>
      <c r="N250" t="s">
        <v>733</v>
      </c>
      <c r="O250" t="s">
        <v>1285</v>
      </c>
      <c r="P250" s="6">
        <v>730.42</v>
      </c>
      <c r="Q250" s="6">
        <v>956.7</v>
      </c>
      <c r="R250" s="10">
        <v>4.2000000000000003E-2</v>
      </c>
      <c r="S250" s="10" t="b">
        <f t="shared" si="46"/>
        <v>0</v>
      </c>
      <c r="T250" s="8">
        <v>22</v>
      </c>
      <c r="U250">
        <f t="shared" si="47"/>
        <v>20163.409199999998</v>
      </c>
      <c r="V250">
        <f t="shared" si="48"/>
        <v>16069.24</v>
      </c>
      <c r="W250">
        <f t="shared" si="49"/>
        <v>4094.1691999999985</v>
      </c>
      <c r="X250" s="10">
        <f t="shared" si="50"/>
        <v>0.20304945256975684</v>
      </c>
      <c r="Y250" t="str">
        <f t="shared" si="51"/>
        <v>Medium</v>
      </c>
      <c r="Z250" t="str">
        <f t="shared" si="52"/>
        <v>Not Met</v>
      </c>
      <c r="AA250" t="str">
        <f t="shared" si="53"/>
        <v>Low Discount</v>
      </c>
      <c r="AB250" s="10">
        <f>MIN(R250,ControlPanel!$B$5)</f>
        <v>4.2000000000000003E-2</v>
      </c>
      <c r="AC250">
        <f>P250*(1+ControlPanel!$B$6)</f>
        <v>766.94100000000003</v>
      </c>
      <c r="AD250">
        <f>T250*(1+ControlPanel!$B$7)</f>
        <v>24.200000000000003</v>
      </c>
      <c r="AE250" s="6">
        <f t="shared" si="54"/>
        <v>22179.750120000001</v>
      </c>
      <c r="AF250">
        <f t="shared" si="55"/>
        <v>3619.7779199999968</v>
      </c>
    </row>
    <row r="251" spans="1:32" x14ac:dyDescent="0.3">
      <c r="A251" t="s">
        <v>618</v>
      </c>
      <c r="B251" s="4">
        <v>45026</v>
      </c>
      <c r="C251" s="4" t="str">
        <f t="shared" si="44"/>
        <v>Apr-2023</v>
      </c>
      <c r="D251" t="str">
        <f t="shared" si="45"/>
        <v>Q2-2023</v>
      </c>
      <c r="E251" s="4">
        <v>45041</v>
      </c>
      <c r="F251" s="12">
        <f t="shared" si="42"/>
        <v>45041</v>
      </c>
      <c r="G251" s="13">
        <f t="shared" si="43"/>
        <v>15</v>
      </c>
      <c r="H251" t="s">
        <v>649</v>
      </c>
      <c r="I251" t="s">
        <v>658</v>
      </c>
      <c r="J251" t="s">
        <v>683</v>
      </c>
      <c r="K251" t="s">
        <v>705</v>
      </c>
      <c r="L251" t="s">
        <v>707</v>
      </c>
      <c r="M251" t="s">
        <v>726</v>
      </c>
      <c r="N251" t="s">
        <v>728</v>
      </c>
      <c r="O251" t="s">
        <v>1336</v>
      </c>
      <c r="P251" s="6">
        <v>405.66</v>
      </c>
      <c r="Q251" s="6">
        <v>962.51</v>
      </c>
      <c r="R251" s="10">
        <v>0.19</v>
      </c>
      <c r="S251" s="10" t="b">
        <f t="shared" si="46"/>
        <v>0</v>
      </c>
      <c r="T251" s="8">
        <v>7</v>
      </c>
      <c r="U251">
        <f t="shared" si="47"/>
        <v>5457.4317000000001</v>
      </c>
      <c r="V251">
        <f t="shared" si="48"/>
        <v>2839.6200000000003</v>
      </c>
      <c r="W251">
        <f t="shared" si="49"/>
        <v>2617.8116999999997</v>
      </c>
      <c r="X251" s="10">
        <f t="shared" si="50"/>
        <v>0.47967832561239376</v>
      </c>
      <c r="Y251" t="str">
        <f t="shared" si="51"/>
        <v>Medium</v>
      </c>
      <c r="Z251" t="str">
        <f t="shared" si="52"/>
        <v>Not Met</v>
      </c>
      <c r="AA251" t="str">
        <f t="shared" si="53"/>
        <v>Low Discount</v>
      </c>
      <c r="AB251" s="10">
        <f>MIN(R251,ControlPanel!$B$5)</f>
        <v>0.19</v>
      </c>
      <c r="AC251">
        <f>P251*(1+ControlPanel!$B$6)</f>
        <v>425.94300000000004</v>
      </c>
      <c r="AD251">
        <f>T251*(1+ControlPanel!$B$7)</f>
        <v>7.7000000000000011</v>
      </c>
      <c r="AE251" s="6">
        <f t="shared" si="54"/>
        <v>6003.1748700000007</v>
      </c>
      <c r="AF251">
        <f t="shared" si="55"/>
        <v>2723.4137700000001</v>
      </c>
    </row>
    <row r="252" spans="1:32" x14ac:dyDescent="0.3">
      <c r="A252" t="s">
        <v>514</v>
      </c>
      <c r="B252" s="4">
        <v>45048</v>
      </c>
      <c r="C252" s="4" t="str">
        <f t="shared" si="44"/>
        <v>May-2023</v>
      </c>
      <c r="D252" t="str">
        <f t="shared" si="45"/>
        <v>Q2-2023</v>
      </c>
      <c r="E252" s="4">
        <v>45062</v>
      </c>
      <c r="F252" s="12">
        <f t="shared" si="42"/>
        <v>45062</v>
      </c>
      <c r="G252" s="13">
        <f t="shared" si="43"/>
        <v>14</v>
      </c>
      <c r="H252" t="s">
        <v>647</v>
      </c>
      <c r="I252" t="s">
        <v>654</v>
      </c>
      <c r="J252" t="s">
        <v>668</v>
      </c>
      <c r="K252" t="s">
        <v>703</v>
      </c>
      <c r="L252" t="s">
        <v>707</v>
      </c>
      <c r="M252" t="s">
        <v>716</v>
      </c>
      <c r="N252" t="s">
        <v>732</v>
      </c>
      <c r="O252" t="s">
        <v>1233</v>
      </c>
      <c r="P252" s="6">
        <v>475.37</v>
      </c>
      <c r="Q252" s="6">
        <v>963.73</v>
      </c>
      <c r="R252" s="10">
        <v>4.1000000000000002E-2</v>
      </c>
      <c r="S252" s="10" t="b">
        <f t="shared" si="46"/>
        <v>0</v>
      </c>
      <c r="T252" s="8">
        <v>22</v>
      </c>
      <c r="U252">
        <f t="shared" si="47"/>
        <v>20332.775540000002</v>
      </c>
      <c r="V252">
        <f t="shared" si="48"/>
        <v>10458.14</v>
      </c>
      <c r="W252">
        <f t="shared" si="49"/>
        <v>9874.6355400000029</v>
      </c>
      <c r="X252" s="10">
        <f t="shared" si="50"/>
        <v>0.48565113604750892</v>
      </c>
      <c r="Y252" t="str">
        <f t="shared" si="51"/>
        <v>Medium</v>
      </c>
      <c r="Z252" t="str">
        <f t="shared" si="52"/>
        <v>Not Met</v>
      </c>
      <c r="AA252" t="str">
        <f t="shared" si="53"/>
        <v>Low Discount</v>
      </c>
      <c r="AB252" s="10">
        <f>MIN(R252,ControlPanel!$B$5)</f>
        <v>4.1000000000000002E-2</v>
      </c>
      <c r="AC252">
        <f>P252*(1+ControlPanel!$B$6)</f>
        <v>499.13850000000002</v>
      </c>
      <c r="AD252">
        <f>T252*(1+ControlPanel!$B$7)</f>
        <v>24.200000000000003</v>
      </c>
      <c r="AE252" s="6">
        <f t="shared" si="54"/>
        <v>22366.053094000003</v>
      </c>
      <c r="AF252">
        <f t="shared" si="55"/>
        <v>10286.901394</v>
      </c>
    </row>
    <row r="253" spans="1:32" x14ac:dyDescent="0.3">
      <c r="A253" t="s">
        <v>205</v>
      </c>
      <c r="B253" s="4">
        <v>45146</v>
      </c>
      <c r="C253" s="4" t="str">
        <f t="shared" si="44"/>
        <v>Aug-2023</v>
      </c>
      <c r="D253" t="str">
        <f t="shared" si="45"/>
        <v>Q3-2023</v>
      </c>
      <c r="E253" s="4">
        <v>45160</v>
      </c>
      <c r="F253" s="12">
        <f t="shared" si="42"/>
        <v>45160</v>
      </c>
      <c r="G253" s="13">
        <f t="shared" si="43"/>
        <v>14</v>
      </c>
      <c r="H253" t="s">
        <v>649</v>
      </c>
      <c r="I253" t="s">
        <v>658</v>
      </c>
      <c r="J253" t="s">
        <v>674</v>
      </c>
      <c r="K253" t="s">
        <v>703</v>
      </c>
      <c r="L253" t="s">
        <v>711</v>
      </c>
      <c r="M253" t="s">
        <v>725</v>
      </c>
      <c r="N253" t="s">
        <v>732</v>
      </c>
      <c r="O253" t="s">
        <v>925</v>
      </c>
      <c r="P253" s="6">
        <v>446.69</v>
      </c>
      <c r="Q253" s="6">
        <v>967.25</v>
      </c>
      <c r="R253" s="10">
        <v>9.4E-2</v>
      </c>
      <c r="S253" s="10" t="b">
        <f t="shared" si="46"/>
        <v>0</v>
      </c>
      <c r="T253" s="8">
        <v>10</v>
      </c>
      <c r="U253">
        <f t="shared" si="47"/>
        <v>8763.2849999999999</v>
      </c>
      <c r="V253">
        <f t="shared" si="48"/>
        <v>4466.8999999999996</v>
      </c>
      <c r="W253">
        <f t="shared" si="49"/>
        <v>4296.3850000000002</v>
      </c>
      <c r="X253" s="10">
        <f t="shared" si="50"/>
        <v>0.49027105702941309</v>
      </c>
      <c r="Y253" t="str">
        <f t="shared" si="51"/>
        <v>Medium</v>
      </c>
      <c r="Z253" t="str">
        <f t="shared" si="52"/>
        <v>Not Met</v>
      </c>
      <c r="AA253" t="str">
        <f t="shared" si="53"/>
        <v>Low Discount</v>
      </c>
      <c r="AB253" s="10">
        <f>MIN(R253,ControlPanel!$B$5)</f>
        <v>9.4E-2</v>
      </c>
      <c r="AC253">
        <f>P253*(1+ControlPanel!$B$6)</f>
        <v>469.02449999999999</v>
      </c>
      <c r="AD253">
        <f>T253*(1+ControlPanel!$B$7)</f>
        <v>11</v>
      </c>
      <c r="AE253" s="6">
        <f t="shared" si="54"/>
        <v>9639.6135000000013</v>
      </c>
      <c r="AF253">
        <f t="shared" si="55"/>
        <v>4480.344000000001</v>
      </c>
    </row>
    <row r="254" spans="1:32" x14ac:dyDescent="0.3">
      <c r="A254" t="s">
        <v>108</v>
      </c>
      <c r="B254" s="4">
        <v>45569</v>
      </c>
      <c r="C254" s="4" t="str">
        <f t="shared" si="44"/>
        <v>Oct-2024</v>
      </c>
      <c r="D254" t="str">
        <f t="shared" si="45"/>
        <v>Q4-2024</v>
      </c>
      <c r="E254" s="4">
        <v>45598</v>
      </c>
      <c r="F254" s="12">
        <f t="shared" si="42"/>
        <v>45598</v>
      </c>
      <c r="G254" s="13">
        <f t="shared" si="43"/>
        <v>29</v>
      </c>
      <c r="H254" t="s">
        <v>646</v>
      </c>
      <c r="I254" t="s">
        <v>651</v>
      </c>
      <c r="J254" t="s">
        <v>669</v>
      </c>
      <c r="K254" t="s">
        <v>701</v>
      </c>
      <c r="L254" t="s">
        <v>710</v>
      </c>
      <c r="M254" t="s">
        <v>721</v>
      </c>
      <c r="N254" t="s">
        <v>733</v>
      </c>
      <c r="O254" t="s">
        <v>827</v>
      </c>
      <c r="P254" s="6">
        <v>412.09</v>
      </c>
      <c r="Q254" s="6">
        <v>968.94</v>
      </c>
      <c r="R254" s="10">
        <v>9.9000000000000005E-2</v>
      </c>
      <c r="S254" s="10" t="b">
        <f t="shared" si="46"/>
        <v>0</v>
      </c>
      <c r="T254" s="8">
        <v>23</v>
      </c>
      <c r="U254">
        <f t="shared" si="47"/>
        <v>20079.34362</v>
      </c>
      <c r="V254">
        <f t="shared" si="48"/>
        <v>9478.07</v>
      </c>
      <c r="W254">
        <f t="shared" si="49"/>
        <v>10601.27362</v>
      </c>
      <c r="X254" s="10">
        <f t="shared" si="50"/>
        <v>0.52796913189137407</v>
      </c>
      <c r="Y254" t="str">
        <f t="shared" si="51"/>
        <v>Medium</v>
      </c>
      <c r="Z254" t="str">
        <f t="shared" si="52"/>
        <v>Not Met</v>
      </c>
      <c r="AA254" t="str">
        <f t="shared" si="53"/>
        <v>Low Discount</v>
      </c>
      <c r="AB254" s="10">
        <f>MIN(R254,ControlPanel!$B$5)</f>
        <v>9.9000000000000005E-2</v>
      </c>
      <c r="AC254">
        <f>P254*(1+ControlPanel!$B$6)</f>
        <v>432.69450000000001</v>
      </c>
      <c r="AD254">
        <f>T254*(1+ControlPanel!$B$7)</f>
        <v>25.3</v>
      </c>
      <c r="AE254" s="6">
        <f t="shared" si="54"/>
        <v>22087.277982</v>
      </c>
      <c r="AF254">
        <f t="shared" si="55"/>
        <v>11140.107131999999</v>
      </c>
    </row>
    <row r="255" spans="1:32" x14ac:dyDescent="0.3">
      <c r="A255" t="s">
        <v>519</v>
      </c>
      <c r="B255" s="4">
        <v>45387</v>
      </c>
      <c r="C255" s="4" t="str">
        <f t="shared" si="44"/>
        <v>Apr-2024</v>
      </c>
      <c r="D255" t="str">
        <f t="shared" si="45"/>
        <v>Q2-2024</v>
      </c>
      <c r="E255" s="4">
        <v>45391</v>
      </c>
      <c r="F255" s="12">
        <f t="shared" si="42"/>
        <v>45391</v>
      </c>
      <c r="G255" s="13">
        <f t="shared" si="43"/>
        <v>4</v>
      </c>
      <c r="H255" t="s">
        <v>646</v>
      </c>
      <c r="I255" t="s">
        <v>651</v>
      </c>
      <c r="J255" t="s">
        <v>665</v>
      </c>
      <c r="K255" t="s">
        <v>703</v>
      </c>
      <c r="L255" t="s">
        <v>711</v>
      </c>
      <c r="M255" t="s">
        <v>723</v>
      </c>
      <c r="N255" t="s">
        <v>727</v>
      </c>
      <c r="O255" t="s">
        <v>1238</v>
      </c>
      <c r="P255" s="6">
        <v>395.07</v>
      </c>
      <c r="Q255" s="6">
        <v>970.27</v>
      </c>
      <c r="R255" s="10">
        <v>0.123</v>
      </c>
      <c r="S255" s="10" t="b">
        <f t="shared" si="46"/>
        <v>0</v>
      </c>
      <c r="T255" s="8">
        <v>38</v>
      </c>
      <c r="U255">
        <f t="shared" si="47"/>
        <v>32335.21802</v>
      </c>
      <c r="V255">
        <f t="shared" si="48"/>
        <v>15012.66</v>
      </c>
      <c r="W255">
        <f t="shared" si="49"/>
        <v>17322.55802</v>
      </c>
      <c r="X255" s="10">
        <f t="shared" si="50"/>
        <v>0.53571799049833657</v>
      </c>
      <c r="Y255" t="str">
        <f t="shared" si="51"/>
        <v>Medium</v>
      </c>
      <c r="Z255" t="str">
        <f t="shared" si="52"/>
        <v>Met</v>
      </c>
      <c r="AA255" t="str">
        <f t="shared" si="53"/>
        <v>Low Discount</v>
      </c>
      <c r="AB255" s="10">
        <f>MIN(R255,ControlPanel!$B$5)</f>
        <v>0.123</v>
      </c>
      <c r="AC255">
        <f>P255*(1+ControlPanel!$B$6)</f>
        <v>414.82350000000002</v>
      </c>
      <c r="AD255">
        <f>T255*(1+ControlPanel!$B$7)</f>
        <v>41.800000000000004</v>
      </c>
      <c r="AE255" s="6">
        <f t="shared" si="54"/>
        <v>35568.739822000003</v>
      </c>
      <c r="AF255">
        <f t="shared" si="55"/>
        <v>18229.117522</v>
      </c>
    </row>
    <row r="256" spans="1:32" x14ac:dyDescent="0.3">
      <c r="A256" t="s">
        <v>402</v>
      </c>
      <c r="B256" s="4">
        <v>45199</v>
      </c>
      <c r="C256" s="4" t="str">
        <f t="shared" si="44"/>
        <v>Sep-2023</v>
      </c>
      <c r="D256" t="str">
        <f t="shared" si="45"/>
        <v>Q3-2023</v>
      </c>
      <c r="E256" s="4">
        <v>45202</v>
      </c>
      <c r="F256" s="12">
        <f t="shared" si="42"/>
        <v>45202</v>
      </c>
      <c r="G256" s="13">
        <f t="shared" si="43"/>
        <v>3</v>
      </c>
      <c r="H256" t="s">
        <v>647</v>
      </c>
      <c r="I256" t="s">
        <v>659</v>
      </c>
      <c r="J256" t="s">
        <v>699</v>
      </c>
      <c r="K256" t="s">
        <v>703</v>
      </c>
      <c r="L256" t="s">
        <v>707</v>
      </c>
      <c r="M256" t="s">
        <v>713</v>
      </c>
      <c r="N256" t="s">
        <v>731</v>
      </c>
      <c r="O256" t="s">
        <v>1121</v>
      </c>
      <c r="P256" s="6">
        <v>1019.36</v>
      </c>
      <c r="Q256" s="6">
        <v>972.91</v>
      </c>
      <c r="R256" s="10">
        <v>0.14699999999999999</v>
      </c>
      <c r="S256" s="10" t="b">
        <f t="shared" si="46"/>
        <v>0</v>
      </c>
      <c r="T256" s="8">
        <v>17</v>
      </c>
      <c r="U256">
        <f t="shared" si="47"/>
        <v>14108.167909999998</v>
      </c>
      <c r="V256">
        <f t="shared" si="48"/>
        <v>17329.12</v>
      </c>
      <c r="W256">
        <f t="shared" si="49"/>
        <v>-3220.9520900000007</v>
      </c>
      <c r="X256" s="10">
        <f t="shared" si="50"/>
        <v>-0.22830406545678836</v>
      </c>
      <c r="Y256" t="str">
        <f t="shared" si="51"/>
        <v>Medium</v>
      </c>
      <c r="Z256" t="str">
        <f t="shared" si="52"/>
        <v>Met</v>
      </c>
      <c r="AA256" t="str">
        <f t="shared" si="53"/>
        <v>Low Discount</v>
      </c>
      <c r="AB256" s="10">
        <f>MIN(R256,ControlPanel!$B$5)</f>
        <v>0.14699999999999999</v>
      </c>
      <c r="AC256">
        <f>P256*(1+ControlPanel!$B$6)</f>
        <v>1070.328</v>
      </c>
      <c r="AD256">
        <f>T256*(1+ControlPanel!$B$7)</f>
        <v>18.700000000000003</v>
      </c>
      <c r="AE256" s="6">
        <f t="shared" si="54"/>
        <v>15518.984701000001</v>
      </c>
      <c r="AF256">
        <f t="shared" si="55"/>
        <v>-4496.1488989999998</v>
      </c>
    </row>
    <row r="257" spans="1:32" x14ac:dyDescent="0.3">
      <c r="A257" t="s">
        <v>216</v>
      </c>
      <c r="B257" s="4">
        <v>45153</v>
      </c>
      <c r="C257" s="4" t="str">
        <f t="shared" si="44"/>
        <v>Aug-2023</v>
      </c>
      <c r="D257" t="str">
        <f t="shared" si="45"/>
        <v>Q3-2023</v>
      </c>
      <c r="E257" s="4">
        <v>45176</v>
      </c>
      <c r="F257" s="12">
        <f t="shared" si="42"/>
        <v>45176</v>
      </c>
      <c r="G257" s="13">
        <f t="shared" si="43"/>
        <v>23</v>
      </c>
      <c r="H257" t="s">
        <v>648</v>
      </c>
      <c r="I257" t="s">
        <v>660</v>
      </c>
      <c r="J257" t="s">
        <v>700</v>
      </c>
      <c r="K257" t="s">
        <v>706</v>
      </c>
      <c r="L257" t="s">
        <v>708</v>
      </c>
      <c r="M257" t="s">
        <v>723</v>
      </c>
      <c r="N257" t="s">
        <v>730</v>
      </c>
      <c r="O257" t="s">
        <v>936</v>
      </c>
      <c r="P257" s="6">
        <v>590.33000000000004</v>
      </c>
      <c r="Q257" s="6">
        <v>973.04</v>
      </c>
      <c r="R257" s="10">
        <v>0</v>
      </c>
      <c r="S257" s="10" t="b">
        <f t="shared" si="46"/>
        <v>0</v>
      </c>
      <c r="T257" s="8">
        <v>26</v>
      </c>
      <c r="U257">
        <f t="shared" si="47"/>
        <v>25299.040000000001</v>
      </c>
      <c r="V257">
        <f t="shared" si="48"/>
        <v>15348.580000000002</v>
      </c>
      <c r="W257">
        <f t="shared" si="49"/>
        <v>9950.4599999999991</v>
      </c>
      <c r="X257" s="10">
        <f t="shared" si="50"/>
        <v>0.39331373838691108</v>
      </c>
      <c r="Y257" t="str">
        <f t="shared" si="51"/>
        <v>Medium</v>
      </c>
      <c r="Z257" t="str">
        <f t="shared" si="52"/>
        <v>Not Met</v>
      </c>
      <c r="AA257" t="str">
        <f t="shared" si="53"/>
        <v>Low Discount</v>
      </c>
      <c r="AB257" s="10">
        <f>MIN(R257,ControlPanel!$B$5)</f>
        <v>0</v>
      </c>
      <c r="AC257">
        <f>P257*(1+ControlPanel!$B$6)</f>
        <v>619.84650000000011</v>
      </c>
      <c r="AD257">
        <f>T257*(1+ControlPanel!$B$7)</f>
        <v>28.6</v>
      </c>
      <c r="AE257" s="6">
        <f t="shared" si="54"/>
        <v>27828.944</v>
      </c>
      <c r="AF257">
        <f t="shared" si="55"/>
        <v>10101.334099999996</v>
      </c>
    </row>
    <row r="258" spans="1:32" x14ac:dyDescent="0.3">
      <c r="A258" t="s">
        <v>530</v>
      </c>
      <c r="B258" s="4">
        <v>45199</v>
      </c>
      <c r="C258" s="4" t="str">
        <f t="shared" si="44"/>
        <v>Sep-2023</v>
      </c>
      <c r="D258" t="str">
        <f t="shared" si="45"/>
        <v>Q3-2023</v>
      </c>
      <c r="E258" s="4">
        <v>45229</v>
      </c>
      <c r="F258" s="12">
        <f t="shared" ref="F258:F321" si="56">IF(B258&gt;E258,B258+14,E258)</f>
        <v>45229</v>
      </c>
      <c r="G258" s="13">
        <f t="shared" ref="G258:G321" si="57">F258-B258</f>
        <v>30</v>
      </c>
      <c r="H258" t="s">
        <v>647</v>
      </c>
      <c r="I258" t="s">
        <v>652</v>
      </c>
      <c r="J258" t="s">
        <v>689</v>
      </c>
      <c r="K258" t="s">
        <v>706</v>
      </c>
      <c r="L258" t="s">
        <v>708</v>
      </c>
      <c r="M258" t="s">
        <v>726</v>
      </c>
      <c r="N258" t="s">
        <v>728</v>
      </c>
      <c r="O258" t="s">
        <v>1249</v>
      </c>
      <c r="P258" s="6">
        <v>649.13</v>
      </c>
      <c r="Q258" s="6">
        <v>975.43</v>
      </c>
      <c r="R258" s="10">
        <v>0.157</v>
      </c>
      <c r="S258" s="10" t="b">
        <f t="shared" si="46"/>
        <v>0</v>
      </c>
      <c r="T258" s="8">
        <v>27</v>
      </c>
      <c r="U258">
        <f t="shared" si="47"/>
        <v>22201.762229999997</v>
      </c>
      <c r="V258">
        <f t="shared" si="48"/>
        <v>17526.509999999998</v>
      </c>
      <c r="W258">
        <f t="shared" si="49"/>
        <v>4675.2522299999982</v>
      </c>
      <c r="X258" s="10">
        <f t="shared" si="50"/>
        <v>0.21058023149543473</v>
      </c>
      <c r="Y258" t="str">
        <f t="shared" si="51"/>
        <v>Medium</v>
      </c>
      <c r="Z258" t="str">
        <f t="shared" si="52"/>
        <v>Not Met</v>
      </c>
      <c r="AA258" t="str">
        <f t="shared" si="53"/>
        <v>Low Discount</v>
      </c>
      <c r="AB258" s="10">
        <f>MIN(R258,ControlPanel!$B$5)</f>
        <v>0.157</v>
      </c>
      <c r="AC258">
        <f>P258*(1+ControlPanel!$B$6)</f>
        <v>681.5865</v>
      </c>
      <c r="AD258">
        <f>T258*(1+ControlPanel!$B$7)</f>
        <v>29.700000000000003</v>
      </c>
      <c r="AE258" s="6">
        <f t="shared" si="54"/>
        <v>24421.938452999999</v>
      </c>
      <c r="AF258">
        <f t="shared" si="55"/>
        <v>4178.8194029999977</v>
      </c>
    </row>
    <row r="259" spans="1:32" x14ac:dyDescent="0.3">
      <c r="A259" t="s">
        <v>511</v>
      </c>
      <c r="B259" s="4">
        <v>45544</v>
      </c>
      <c r="C259" s="4" t="str">
        <f t="shared" ref="C259:C322" si="58">TEXT(B259,"MMM-YYYY")</f>
        <v>Sep-2024</v>
      </c>
      <c r="D259" t="str">
        <f t="shared" ref="D259:D322" si="59">"Q" &amp; ROUNDUP(MONTH(B259)/3,0) &amp; "-" &amp; YEAR(B259)</f>
        <v>Q3-2024</v>
      </c>
      <c r="E259" s="4">
        <v>45548</v>
      </c>
      <c r="F259" s="12">
        <f t="shared" si="56"/>
        <v>45548</v>
      </c>
      <c r="G259" s="13">
        <f t="shared" si="57"/>
        <v>4</v>
      </c>
      <c r="H259" t="s">
        <v>649</v>
      </c>
      <c r="I259" t="s">
        <v>658</v>
      </c>
      <c r="J259" t="s">
        <v>683</v>
      </c>
      <c r="K259" t="s">
        <v>704</v>
      </c>
      <c r="L259" t="s">
        <v>709</v>
      </c>
      <c r="M259" t="s">
        <v>721</v>
      </c>
      <c r="N259" t="s">
        <v>729</v>
      </c>
      <c r="O259" t="s">
        <v>1230</v>
      </c>
      <c r="P259" s="6">
        <v>1133.08</v>
      </c>
      <c r="Q259" s="6">
        <v>976.17</v>
      </c>
      <c r="R259" s="10">
        <v>4.2000000000000003E-2</v>
      </c>
      <c r="S259" s="10" t="b">
        <f t="shared" ref="S259:S322" si="60">IF(R259&gt;30,TRUE)</f>
        <v>0</v>
      </c>
      <c r="T259" s="8">
        <v>27</v>
      </c>
      <c r="U259">
        <f t="shared" ref="U259:U322" si="61">(Q259*(100%-R259))*T259</f>
        <v>25249.613219999999</v>
      </c>
      <c r="V259">
        <f t="shared" ref="V259:V322" si="62">P259*T259</f>
        <v>30593.159999999996</v>
      </c>
      <c r="W259">
        <f t="shared" ref="W259:W322" si="63">U259-V259</f>
        <v>-5343.5467799999969</v>
      </c>
      <c r="X259" s="10">
        <f t="shared" ref="X259:X322" si="64">IF(U259=0,0,W259/U259)</f>
        <v>-0.21162885678452373</v>
      </c>
      <c r="Y259" t="str">
        <f t="shared" ref="Y259:Y322" si="65">IF(Q259&lt;=_xlfn.PERCENTILE.INC($Q$2:$Q$610,0.33),"Low",IF(Q259&lt;=_xlfn.PERCENTILE.INC($Q$2:$Q$610,0.67),"Medium","High"))</f>
        <v>Medium</v>
      </c>
      <c r="Z259" t="str">
        <f t="shared" ref="Z259:Z322" si="66">IF(G259&lt;=7,"Met","Not Met")</f>
        <v>Met</v>
      </c>
      <c r="AA259" t="str">
        <f t="shared" ref="AA259:AA322" si="67">IF(R259&gt;20%,"High Discount","Low Discount")</f>
        <v>Low Discount</v>
      </c>
      <c r="AB259" s="10">
        <f>MIN(R259,ControlPanel!$B$5)</f>
        <v>4.2000000000000003E-2</v>
      </c>
      <c r="AC259">
        <f>P259*(1+ControlPanel!$B$6)</f>
        <v>1189.7339999999999</v>
      </c>
      <c r="AD259">
        <f>T259*(1+ControlPanel!$B$7)</f>
        <v>29.700000000000003</v>
      </c>
      <c r="AE259" s="6">
        <f t="shared" ref="AE259:AE322" si="68">(Q259*(100%-AB259)*AD259)</f>
        <v>27774.574542000002</v>
      </c>
      <c r="AF259">
        <f t="shared" ref="AF259:AF322" si="69">AE259-(AC259*AD259)</f>
        <v>-7560.5252580000015</v>
      </c>
    </row>
    <row r="260" spans="1:32" x14ac:dyDescent="0.3">
      <c r="A260" t="s">
        <v>70</v>
      </c>
      <c r="B260" s="4">
        <v>45753</v>
      </c>
      <c r="C260" s="4" t="str">
        <f t="shared" si="58"/>
        <v>Apr-2025</v>
      </c>
      <c r="D260" t="str">
        <f t="shared" si="59"/>
        <v>Q2-2025</v>
      </c>
      <c r="E260" s="4">
        <v>45777</v>
      </c>
      <c r="F260" s="12">
        <f t="shared" si="56"/>
        <v>45777</v>
      </c>
      <c r="G260" s="13">
        <f t="shared" si="57"/>
        <v>24</v>
      </c>
      <c r="H260" t="s">
        <v>648</v>
      </c>
      <c r="I260" t="s">
        <v>655</v>
      </c>
      <c r="J260" t="s">
        <v>672</v>
      </c>
      <c r="K260" t="s">
        <v>702</v>
      </c>
      <c r="L260" t="s">
        <v>708</v>
      </c>
      <c r="M260" t="s">
        <v>723</v>
      </c>
      <c r="N260" t="s">
        <v>732</v>
      </c>
      <c r="O260" t="s">
        <v>789</v>
      </c>
      <c r="P260" s="6">
        <v>855.78</v>
      </c>
      <c r="Q260" s="6">
        <v>977.38</v>
      </c>
      <c r="R260" s="10">
        <v>0.14699999999999999</v>
      </c>
      <c r="S260" s="10" t="b">
        <f t="shared" si="60"/>
        <v>0</v>
      </c>
      <c r="T260" s="8">
        <v>38</v>
      </c>
      <c r="U260">
        <f t="shared" si="61"/>
        <v>31680.795320000001</v>
      </c>
      <c r="V260">
        <f t="shared" si="62"/>
        <v>32519.64</v>
      </c>
      <c r="W260">
        <f t="shared" si="63"/>
        <v>-838.84467999999833</v>
      </c>
      <c r="X260" s="10">
        <f t="shared" si="64"/>
        <v>-2.6478018355506307E-2</v>
      </c>
      <c r="Y260" t="str">
        <f t="shared" si="65"/>
        <v>Medium</v>
      </c>
      <c r="Z260" t="str">
        <f t="shared" si="66"/>
        <v>Not Met</v>
      </c>
      <c r="AA260" t="str">
        <f t="shared" si="67"/>
        <v>Low Discount</v>
      </c>
      <c r="AB260" s="10">
        <f>MIN(R260,ControlPanel!$B$5)</f>
        <v>0.14699999999999999</v>
      </c>
      <c r="AC260">
        <f>P260*(1+ControlPanel!$B$6)</f>
        <v>898.56899999999996</v>
      </c>
      <c r="AD260">
        <f>T260*(1+ControlPanel!$B$7)</f>
        <v>41.800000000000004</v>
      </c>
      <c r="AE260" s="6">
        <f t="shared" si="68"/>
        <v>34848.874852000008</v>
      </c>
      <c r="AF260">
        <f t="shared" si="69"/>
        <v>-2711.3093479999952</v>
      </c>
    </row>
    <row r="261" spans="1:32" x14ac:dyDescent="0.3">
      <c r="A261" t="s">
        <v>640</v>
      </c>
      <c r="B261" s="4">
        <v>45282</v>
      </c>
      <c r="C261" s="4" t="str">
        <f t="shared" si="58"/>
        <v>Dec-2023</v>
      </c>
      <c r="D261" t="str">
        <f t="shared" si="59"/>
        <v>Q4-2023</v>
      </c>
      <c r="E261" s="4">
        <v>45307</v>
      </c>
      <c r="F261" s="12">
        <f t="shared" si="56"/>
        <v>45307</v>
      </c>
      <c r="G261" s="13">
        <f t="shared" si="57"/>
        <v>25</v>
      </c>
      <c r="H261" t="s">
        <v>647</v>
      </c>
      <c r="I261" t="s">
        <v>654</v>
      </c>
      <c r="J261" t="s">
        <v>696</v>
      </c>
      <c r="K261" t="s">
        <v>705</v>
      </c>
      <c r="L261" t="s">
        <v>707</v>
      </c>
      <c r="M261" t="s">
        <v>720</v>
      </c>
      <c r="N261" t="s">
        <v>727</v>
      </c>
      <c r="O261" t="s">
        <v>1358</v>
      </c>
      <c r="P261" s="6">
        <v>1346.81</v>
      </c>
      <c r="Q261" s="6">
        <v>978.09</v>
      </c>
      <c r="R261" s="10">
        <v>0.159</v>
      </c>
      <c r="S261" s="10" t="b">
        <f t="shared" si="60"/>
        <v>0</v>
      </c>
      <c r="T261" s="8">
        <v>17</v>
      </c>
      <c r="U261">
        <f t="shared" si="61"/>
        <v>13983.752729999998</v>
      </c>
      <c r="V261">
        <f t="shared" si="62"/>
        <v>22895.77</v>
      </c>
      <c r="W261">
        <f t="shared" si="63"/>
        <v>-8912.0172700000021</v>
      </c>
      <c r="X261" s="10">
        <f t="shared" si="64"/>
        <v>-0.6373122753293996</v>
      </c>
      <c r="Y261" t="str">
        <f t="shared" si="65"/>
        <v>Medium</v>
      </c>
      <c r="Z261" t="str">
        <f t="shared" si="66"/>
        <v>Not Met</v>
      </c>
      <c r="AA261" t="str">
        <f t="shared" si="67"/>
        <v>Low Discount</v>
      </c>
      <c r="AB261" s="10">
        <f>MIN(R261,ControlPanel!$B$5)</f>
        <v>0.159</v>
      </c>
      <c r="AC261">
        <f>P261*(1+ControlPanel!$B$6)</f>
        <v>1414.1505</v>
      </c>
      <c r="AD261">
        <f>T261*(1+ControlPanel!$B$7)</f>
        <v>18.700000000000003</v>
      </c>
      <c r="AE261" s="6">
        <f t="shared" si="68"/>
        <v>15382.128003000002</v>
      </c>
      <c r="AF261">
        <f t="shared" si="69"/>
        <v>-11062.486347000002</v>
      </c>
    </row>
    <row r="262" spans="1:32" x14ac:dyDescent="0.3">
      <c r="A262" t="s">
        <v>536</v>
      </c>
      <c r="B262" s="4">
        <v>45482</v>
      </c>
      <c r="C262" s="4" t="str">
        <f t="shared" si="58"/>
        <v>Jul-2024</v>
      </c>
      <c r="D262" t="str">
        <f t="shared" si="59"/>
        <v>Q3-2024</v>
      </c>
      <c r="E262" s="4">
        <v>45485</v>
      </c>
      <c r="F262" s="12">
        <f t="shared" si="56"/>
        <v>45485</v>
      </c>
      <c r="G262" s="13">
        <f t="shared" si="57"/>
        <v>3</v>
      </c>
      <c r="H262" t="s">
        <v>647</v>
      </c>
      <c r="I262" t="s">
        <v>659</v>
      </c>
      <c r="J262" t="s">
        <v>685</v>
      </c>
      <c r="K262" t="s">
        <v>705</v>
      </c>
      <c r="L262" t="s">
        <v>707</v>
      </c>
      <c r="M262" t="s">
        <v>726</v>
      </c>
      <c r="N262" t="s">
        <v>733</v>
      </c>
      <c r="O262" t="s">
        <v>1255</v>
      </c>
      <c r="P262" s="6">
        <v>748.39</v>
      </c>
      <c r="Q262" s="6">
        <v>979.42</v>
      </c>
      <c r="R262" s="10">
        <v>0</v>
      </c>
      <c r="S262" s="10" t="b">
        <f t="shared" si="60"/>
        <v>0</v>
      </c>
      <c r="T262" s="8">
        <v>23</v>
      </c>
      <c r="U262">
        <f t="shared" si="61"/>
        <v>22526.66</v>
      </c>
      <c r="V262">
        <f t="shared" si="62"/>
        <v>17212.97</v>
      </c>
      <c r="W262">
        <f t="shared" si="63"/>
        <v>5313.6899999999987</v>
      </c>
      <c r="X262" s="10">
        <f t="shared" si="64"/>
        <v>0.23588450307324738</v>
      </c>
      <c r="Y262" t="str">
        <f t="shared" si="65"/>
        <v>Medium</v>
      </c>
      <c r="Z262" t="str">
        <f t="shared" si="66"/>
        <v>Met</v>
      </c>
      <c r="AA262" t="str">
        <f t="shared" si="67"/>
        <v>Low Discount</v>
      </c>
      <c r="AB262" s="10">
        <f>MIN(R262,ControlPanel!$B$5)</f>
        <v>0</v>
      </c>
      <c r="AC262">
        <f>P262*(1+ControlPanel!$B$6)</f>
        <v>785.80950000000007</v>
      </c>
      <c r="AD262">
        <f>T262*(1+ControlPanel!$B$7)</f>
        <v>25.3</v>
      </c>
      <c r="AE262" s="6">
        <f t="shared" si="68"/>
        <v>24779.326000000001</v>
      </c>
      <c r="AF262">
        <f t="shared" si="69"/>
        <v>4898.3456499999993</v>
      </c>
    </row>
    <row r="263" spans="1:32" x14ac:dyDescent="0.3">
      <c r="A263" t="s">
        <v>317</v>
      </c>
      <c r="B263" s="4">
        <v>45830</v>
      </c>
      <c r="C263" s="4" t="str">
        <f t="shared" si="58"/>
        <v>Jun-2025</v>
      </c>
      <c r="D263" t="str">
        <f t="shared" si="59"/>
        <v>Q2-2025</v>
      </c>
      <c r="E263" s="4">
        <v>45846</v>
      </c>
      <c r="F263" s="12">
        <f t="shared" si="56"/>
        <v>45846</v>
      </c>
      <c r="G263" s="13">
        <f t="shared" si="57"/>
        <v>16</v>
      </c>
      <c r="H263" t="s">
        <v>649</v>
      </c>
      <c r="I263" t="s">
        <v>658</v>
      </c>
      <c r="J263" t="s">
        <v>683</v>
      </c>
      <c r="K263" t="s">
        <v>702</v>
      </c>
      <c r="L263" t="s">
        <v>711</v>
      </c>
      <c r="M263" t="s">
        <v>720</v>
      </c>
      <c r="N263" t="s">
        <v>730</v>
      </c>
      <c r="O263" t="s">
        <v>1037</v>
      </c>
      <c r="P263" s="6">
        <v>892.73</v>
      </c>
      <c r="Q263" s="6">
        <v>979.84</v>
      </c>
      <c r="R263" s="10">
        <v>0.17399999999999999</v>
      </c>
      <c r="S263" s="10" t="b">
        <f t="shared" si="60"/>
        <v>0</v>
      </c>
      <c r="T263" s="8">
        <v>10</v>
      </c>
      <c r="U263">
        <f t="shared" si="61"/>
        <v>8093.4784000000018</v>
      </c>
      <c r="V263">
        <f t="shared" si="62"/>
        <v>8927.2999999999993</v>
      </c>
      <c r="W263">
        <f t="shared" si="63"/>
        <v>-833.82159999999749</v>
      </c>
      <c r="X263" s="10">
        <f t="shared" si="64"/>
        <v>-0.10302388649112813</v>
      </c>
      <c r="Y263" t="str">
        <f t="shared" si="65"/>
        <v>Medium</v>
      </c>
      <c r="Z263" t="str">
        <f t="shared" si="66"/>
        <v>Not Met</v>
      </c>
      <c r="AA263" t="str">
        <f t="shared" si="67"/>
        <v>Low Discount</v>
      </c>
      <c r="AB263" s="10">
        <f>MIN(R263,ControlPanel!$B$5)</f>
        <v>0.17399999999999999</v>
      </c>
      <c r="AC263">
        <f>P263*(1+ControlPanel!$B$6)</f>
        <v>937.36650000000009</v>
      </c>
      <c r="AD263">
        <f>T263*(1+ControlPanel!$B$7)</f>
        <v>11</v>
      </c>
      <c r="AE263" s="6">
        <f t="shared" si="68"/>
        <v>8902.8262400000021</v>
      </c>
      <c r="AF263">
        <f t="shared" si="69"/>
        <v>-1408.2052599999988</v>
      </c>
    </row>
    <row r="264" spans="1:32" x14ac:dyDescent="0.3">
      <c r="A264" t="s">
        <v>447</v>
      </c>
      <c r="B264" s="4">
        <v>45636</v>
      </c>
      <c r="C264" s="4" t="str">
        <f t="shared" si="58"/>
        <v>Dec-2024</v>
      </c>
      <c r="D264" t="str">
        <f t="shared" si="59"/>
        <v>Q4-2024</v>
      </c>
      <c r="E264" s="4">
        <v>45645</v>
      </c>
      <c r="F264" s="12">
        <f t="shared" si="56"/>
        <v>45645</v>
      </c>
      <c r="G264" s="13">
        <f t="shared" si="57"/>
        <v>9</v>
      </c>
      <c r="H264" t="s">
        <v>646</v>
      </c>
      <c r="I264" t="s">
        <v>651</v>
      </c>
      <c r="J264" t="s">
        <v>665</v>
      </c>
      <c r="K264" t="s">
        <v>701</v>
      </c>
      <c r="L264" t="s">
        <v>707</v>
      </c>
      <c r="M264" t="s">
        <v>719</v>
      </c>
      <c r="N264" t="s">
        <v>732</v>
      </c>
      <c r="O264" t="s">
        <v>1166</v>
      </c>
      <c r="P264" s="6">
        <v>488.68</v>
      </c>
      <c r="Q264" s="6">
        <v>984.36</v>
      </c>
      <c r="R264" s="10">
        <v>5.8999999999999997E-2</v>
      </c>
      <c r="S264" s="10" t="b">
        <f t="shared" si="60"/>
        <v>0</v>
      </c>
      <c r="T264" s="8">
        <v>14</v>
      </c>
      <c r="U264">
        <f t="shared" si="61"/>
        <v>12967.958640000001</v>
      </c>
      <c r="V264">
        <f t="shared" si="62"/>
        <v>6841.52</v>
      </c>
      <c r="W264">
        <f t="shared" si="63"/>
        <v>6126.4386400000003</v>
      </c>
      <c r="X264" s="10">
        <f t="shared" si="64"/>
        <v>0.47242891576649876</v>
      </c>
      <c r="Y264" t="str">
        <f t="shared" si="65"/>
        <v>Medium</v>
      </c>
      <c r="Z264" t="str">
        <f t="shared" si="66"/>
        <v>Not Met</v>
      </c>
      <c r="AA264" t="str">
        <f t="shared" si="67"/>
        <v>Low Discount</v>
      </c>
      <c r="AB264" s="10">
        <f>MIN(R264,ControlPanel!$B$5)</f>
        <v>5.8999999999999997E-2</v>
      </c>
      <c r="AC264">
        <f>P264*(1+ControlPanel!$B$6)</f>
        <v>513.11400000000003</v>
      </c>
      <c r="AD264">
        <f>T264*(1+ControlPanel!$B$7)</f>
        <v>15.400000000000002</v>
      </c>
      <c r="AE264" s="6">
        <f t="shared" si="68"/>
        <v>14264.754504000002</v>
      </c>
      <c r="AF264">
        <f t="shared" si="69"/>
        <v>6362.7989040000002</v>
      </c>
    </row>
    <row r="265" spans="1:32" x14ac:dyDescent="0.3">
      <c r="A265" t="s">
        <v>529</v>
      </c>
      <c r="B265" s="4">
        <v>45874</v>
      </c>
      <c r="C265" s="4" t="str">
        <f t="shared" si="58"/>
        <v>Aug-2025</v>
      </c>
      <c r="D265" t="str">
        <f t="shared" si="59"/>
        <v>Q3-2025</v>
      </c>
      <c r="E265" s="4">
        <v>45897</v>
      </c>
      <c r="F265" s="12">
        <f t="shared" si="56"/>
        <v>45897</v>
      </c>
      <c r="G265" s="13">
        <f t="shared" si="57"/>
        <v>23</v>
      </c>
      <c r="H265" t="s">
        <v>647</v>
      </c>
      <c r="I265" t="s">
        <v>654</v>
      </c>
      <c r="J265" t="s">
        <v>691</v>
      </c>
      <c r="K265" t="s">
        <v>703</v>
      </c>
      <c r="L265" t="s">
        <v>710</v>
      </c>
      <c r="M265" t="s">
        <v>725</v>
      </c>
      <c r="N265" t="s">
        <v>731</v>
      </c>
      <c r="O265" t="s">
        <v>1248</v>
      </c>
      <c r="P265" s="6">
        <v>638.54</v>
      </c>
      <c r="Q265" s="6">
        <v>987.24</v>
      </c>
      <c r="R265" s="10">
        <v>0</v>
      </c>
      <c r="S265" s="10" t="b">
        <f t="shared" si="60"/>
        <v>0</v>
      </c>
      <c r="T265" s="8">
        <v>11</v>
      </c>
      <c r="U265">
        <f t="shared" si="61"/>
        <v>10859.64</v>
      </c>
      <c r="V265">
        <f t="shared" si="62"/>
        <v>7023.94</v>
      </c>
      <c r="W265">
        <f t="shared" si="63"/>
        <v>3835.7</v>
      </c>
      <c r="X265" s="10">
        <f t="shared" si="64"/>
        <v>0.35320692030306716</v>
      </c>
      <c r="Y265" t="str">
        <f t="shared" si="65"/>
        <v>Medium</v>
      </c>
      <c r="Z265" t="str">
        <f t="shared" si="66"/>
        <v>Not Met</v>
      </c>
      <c r="AA265" t="str">
        <f t="shared" si="67"/>
        <v>Low Discount</v>
      </c>
      <c r="AB265" s="10">
        <f>MIN(R265,ControlPanel!$B$5)</f>
        <v>0</v>
      </c>
      <c r="AC265">
        <f>P265*(1+ControlPanel!$B$6)</f>
        <v>670.46699999999998</v>
      </c>
      <c r="AD265">
        <f>T265*(1+ControlPanel!$B$7)</f>
        <v>12.100000000000001</v>
      </c>
      <c r="AE265" s="6">
        <f t="shared" si="68"/>
        <v>11945.604000000001</v>
      </c>
      <c r="AF265">
        <f t="shared" si="69"/>
        <v>3832.9533000000001</v>
      </c>
    </row>
    <row r="266" spans="1:32" x14ac:dyDescent="0.3">
      <c r="A266" t="s">
        <v>303</v>
      </c>
      <c r="B266" s="4">
        <v>45125</v>
      </c>
      <c r="C266" s="4" t="str">
        <f t="shared" si="58"/>
        <v>Jul-2023</v>
      </c>
      <c r="D266" t="str">
        <f t="shared" si="59"/>
        <v>Q3-2023</v>
      </c>
      <c r="E266" s="4">
        <v>45148</v>
      </c>
      <c r="F266" s="12">
        <f t="shared" si="56"/>
        <v>45148</v>
      </c>
      <c r="G266" s="13">
        <f t="shared" si="57"/>
        <v>23</v>
      </c>
      <c r="H266" t="s">
        <v>646</v>
      </c>
      <c r="I266" t="s">
        <v>661</v>
      </c>
      <c r="J266" t="s">
        <v>682</v>
      </c>
      <c r="K266" t="s">
        <v>705</v>
      </c>
      <c r="L266" t="s">
        <v>707</v>
      </c>
      <c r="M266" t="s">
        <v>716</v>
      </c>
      <c r="N266" t="s">
        <v>727</v>
      </c>
      <c r="O266" t="s">
        <v>1023</v>
      </c>
      <c r="P266" s="6">
        <v>1271.56</v>
      </c>
      <c r="Q266" s="6">
        <v>995.47</v>
      </c>
      <c r="R266" s="10">
        <v>0.192</v>
      </c>
      <c r="S266" s="10" t="b">
        <f t="shared" si="60"/>
        <v>0</v>
      </c>
      <c r="T266" s="8">
        <v>13</v>
      </c>
      <c r="U266">
        <f t="shared" si="61"/>
        <v>10456.416880000001</v>
      </c>
      <c r="V266">
        <f t="shared" si="62"/>
        <v>16530.28</v>
      </c>
      <c r="W266">
        <f t="shared" si="63"/>
        <v>-6073.8631199999982</v>
      </c>
      <c r="X266" s="10">
        <f t="shared" si="64"/>
        <v>-0.58087423155607754</v>
      </c>
      <c r="Y266" t="str">
        <f t="shared" si="65"/>
        <v>Medium</v>
      </c>
      <c r="Z266" t="str">
        <f t="shared" si="66"/>
        <v>Not Met</v>
      </c>
      <c r="AA266" t="str">
        <f t="shared" si="67"/>
        <v>Low Discount</v>
      </c>
      <c r="AB266" s="10">
        <f>MIN(R266,ControlPanel!$B$5)</f>
        <v>0.192</v>
      </c>
      <c r="AC266">
        <f>P266*(1+ControlPanel!$B$6)</f>
        <v>1335.1379999999999</v>
      </c>
      <c r="AD266">
        <f>T266*(1+ControlPanel!$B$7)</f>
        <v>14.3</v>
      </c>
      <c r="AE266" s="6">
        <f t="shared" si="68"/>
        <v>11502.058568000002</v>
      </c>
      <c r="AF266">
        <f t="shared" si="69"/>
        <v>-7590.4148319999967</v>
      </c>
    </row>
    <row r="267" spans="1:32" x14ac:dyDescent="0.3">
      <c r="A267" t="s">
        <v>59</v>
      </c>
      <c r="B267" s="4">
        <v>45432</v>
      </c>
      <c r="C267" s="4" t="str">
        <f t="shared" si="58"/>
        <v>May-2024</v>
      </c>
      <c r="D267" t="str">
        <f t="shared" si="59"/>
        <v>Q2-2024</v>
      </c>
      <c r="E267" s="4">
        <v>45445</v>
      </c>
      <c r="F267" s="12">
        <f t="shared" si="56"/>
        <v>45445</v>
      </c>
      <c r="G267" s="13">
        <f t="shared" si="57"/>
        <v>13</v>
      </c>
      <c r="H267" t="s">
        <v>648</v>
      </c>
      <c r="I267" t="s">
        <v>653</v>
      </c>
      <c r="J267" t="s">
        <v>688</v>
      </c>
      <c r="K267" t="s">
        <v>706</v>
      </c>
      <c r="L267" t="s">
        <v>709</v>
      </c>
      <c r="M267" t="s">
        <v>723</v>
      </c>
      <c r="N267" t="s">
        <v>727</v>
      </c>
      <c r="O267" t="s">
        <v>778</v>
      </c>
      <c r="P267" s="6">
        <v>675.43</v>
      </c>
      <c r="Q267" s="6">
        <v>996.36</v>
      </c>
      <c r="R267" s="10">
        <v>0.182</v>
      </c>
      <c r="S267" s="10" t="b">
        <f t="shared" si="60"/>
        <v>0</v>
      </c>
      <c r="T267" s="8">
        <v>22</v>
      </c>
      <c r="U267">
        <f t="shared" si="61"/>
        <v>17930.494560000003</v>
      </c>
      <c r="V267">
        <f t="shared" si="62"/>
        <v>14859.46</v>
      </c>
      <c r="W267">
        <f t="shared" si="63"/>
        <v>3071.0345600000037</v>
      </c>
      <c r="X267" s="10">
        <f t="shared" si="64"/>
        <v>0.17127439233332575</v>
      </c>
      <c r="Y267" t="str">
        <f t="shared" si="65"/>
        <v>Medium</v>
      </c>
      <c r="Z267" t="str">
        <f t="shared" si="66"/>
        <v>Not Met</v>
      </c>
      <c r="AA267" t="str">
        <f t="shared" si="67"/>
        <v>Low Discount</v>
      </c>
      <c r="AB267" s="10">
        <f>MIN(R267,ControlPanel!$B$5)</f>
        <v>0.182</v>
      </c>
      <c r="AC267">
        <f>P267*(1+ControlPanel!$B$6)</f>
        <v>709.20150000000001</v>
      </c>
      <c r="AD267">
        <f>T267*(1+ControlPanel!$B$7)</f>
        <v>24.200000000000003</v>
      </c>
      <c r="AE267" s="6">
        <f t="shared" si="68"/>
        <v>19723.544016000003</v>
      </c>
      <c r="AF267">
        <f t="shared" si="69"/>
        <v>2560.8677160000007</v>
      </c>
    </row>
    <row r="268" spans="1:32" x14ac:dyDescent="0.3">
      <c r="A268" t="s">
        <v>585</v>
      </c>
      <c r="B268" s="4">
        <v>45078</v>
      </c>
      <c r="C268" s="4" t="str">
        <f t="shared" si="58"/>
        <v>Jun-2023</v>
      </c>
      <c r="D268" t="str">
        <f t="shared" si="59"/>
        <v>Q2-2023</v>
      </c>
      <c r="E268" s="4">
        <v>45078</v>
      </c>
      <c r="F268" s="12">
        <f t="shared" si="56"/>
        <v>45078</v>
      </c>
      <c r="G268" s="13">
        <f t="shared" si="57"/>
        <v>0</v>
      </c>
      <c r="H268" t="s">
        <v>647</v>
      </c>
      <c r="I268" t="s">
        <v>654</v>
      </c>
      <c r="J268" t="s">
        <v>668</v>
      </c>
      <c r="K268" t="s">
        <v>701</v>
      </c>
      <c r="L268" t="s">
        <v>707</v>
      </c>
      <c r="M268" t="s">
        <v>718</v>
      </c>
      <c r="N268" t="s">
        <v>733</v>
      </c>
      <c r="O268" t="s">
        <v>1303</v>
      </c>
      <c r="P268" s="6">
        <v>669.37</v>
      </c>
      <c r="Q268" s="6">
        <v>997.2</v>
      </c>
      <c r="R268" s="10">
        <v>8.2000000000000003E-2</v>
      </c>
      <c r="S268" s="10" t="b">
        <f t="shared" si="60"/>
        <v>0</v>
      </c>
      <c r="T268" s="8">
        <v>5</v>
      </c>
      <c r="U268">
        <f t="shared" si="61"/>
        <v>4577.1480000000001</v>
      </c>
      <c r="V268">
        <f t="shared" si="62"/>
        <v>3346.85</v>
      </c>
      <c r="W268">
        <f t="shared" si="63"/>
        <v>1230.2980000000002</v>
      </c>
      <c r="X268" s="10">
        <f t="shared" si="64"/>
        <v>0.26879139586484863</v>
      </c>
      <c r="Y268" t="str">
        <f t="shared" si="65"/>
        <v>Medium</v>
      </c>
      <c r="Z268" t="str">
        <f t="shared" si="66"/>
        <v>Met</v>
      </c>
      <c r="AA268" t="str">
        <f t="shared" si="67"/>
        <v>Low Discount</v>
      </c>
      <c r="AB268" s="10">
        <f>MIN(R268,ControlPanel!$B$5)</f>
        <v>8.2000000000000003E-2</v>
      </c>
      <c r="AC268">
        <f>P268*(1+ControlPanel!$B$6)</f>
        <v>702.83850000000007</v>
      </c>
      <c r="AD268">
        <f>T268*(1+ControlPanel!$B$7)</f>
        <v>5.5</v>
      </c>
      <c r="AE268" s="6">
        <f t="shared" si="68"/>
        <v>5034.8627999999999</v>
      </c>
      <c r="AF268">
        <f t="shared" si="69"/>
        <v>1169.2510499999994</v>
      </c>
    </row>
    <row r="269" spans="1:32" x14ac:dyDescent="0.3">
      <c r="A269" t="s">
        <v>159</v>
      </c>
      <c r="B269" s="4">
        <v>45112</v>
      </c>
      <c r="C269" s="4" t="str">
        <f t="shared" si="58"/>
        <v>Jul-2023</v>
      </c>
      <c r="D269" t="str">
        <f t="shared" si="59"/>
        <v>Q3-2023</v>
      </c>
      <c r="E269" s="4">
        <v>45121</v>
      </c>
      <c r="F269" s="12">
        <f t="shared" si="56"/>
        <v>45121</v>
      </c>
      <c r="G269" s="13">
        <f t="shared" si="57"/>
        <v>9</v>
      </c>
      <c r="H269" t="s">
        <v>648</v>
      </c>
      <c r="I269" t="s">
        <v>655</v>
      </c>
      <c r="J269" t="s">
        <v>672</v>
      </c>
      <c r="K269" t="s">
        <v>706</v>
      </c>
      <c r="L269" t="s">
        <v>711</v>
      </c>
      <c r="M269" t="s">
        <v>717</v>
      </c>
      <c r="N269" t="s">
        <v>729</v>
      </c>
      <c r="O269" t="s">
        <v>878</v>
      </c>
      <c r="P269" s="6">
        <v>578.85</v>
      </c>
      <c r="Q269" s="6">
        <v>998.76</v>
      </c>
      <c r="R269" s="10">
        <v>8.2000000000000003E-2</v>
      </c>
      <c r="S269" s="10" t="b">
        <f t="shared" si="60"/>
        <v>0</v>
      </c>
      <c r="T269" s="8">
        <v>28</v>
      </c>
      <c r="U269">
        <f t="shared" si="61"/>
        <v>25672.127039999999</v>
      </c>
      <c r="V269">
        <f t="shared" si="62"/>
        <v>16207.800000000001</v>
      </c>
      <c r="W269">
        <f t="shared" si="63"/>
        <v>9464.3270399999983</v>
      </c>
      <c r="X269" s="10">
        <f t="shared" si="64"/>
        <v>0.36866158480960831</v>
      </c>
      <c r="Y269" t="str">
        <f t="shared" si="65"/>
        <v>Medium</v>
      </c>
      <c r="Z269" t="str">
        <f t="shared" si="66"/>
        <v>Not Met</v>
      </c>
      <c r="AA269" t="str">
        <f t="shared" si="67"/>
        <v>Low Discount</v>
      </c>
      <c r="AB269" s="10">
        <f>MIN(R269,ControlPanel!$B$5)</f>
        <v>8.2000000000000003E-2</v>
      </c>
      <c r="AC269">
        <f>P269*(1+ControlPanel!$B$6)</f>
        <v>607.79250000000002</v>
      </c>
      <c r="AD269">
        <f>T269*(1+ControlPanel!$B$7)</f>
        <v>30.800000000000004</v>
      </c>
      <c r="AE269" s="6">
        <f t="shared" si="68"/>
        <v>28239.339744000004</v>
      </c>
      <c r="AF269">
        <f t="shared" si="69"/>
        <v>9519.3307440000026</v>
      </c>
    </row>
    <row r="270" spans="1:32" x14ac:dyDescent="0.3">
      <c r="A270" t="s">
        <v>483</v>
      </c>
      <c r="B270" s="4">
        <v>45739</v>
      </c>
      <c r="C270" s="4" t="str">
        <f t="shared" si="58"/>
        <v>Mar-2025</v>
      </c>
      <c r="D270" t="str">
        <f t="shared" si="59"/>
        <v>Q1-2025</v>
      </c>
      <c r="E270" s="4">
        <v>45749</v>
      </c>
      <c r="F270" s="12">
        <f t="shared" si="56"/>
        <v>45749</v>
      </c>
      <c r="G270" s="13">
        <f t="shared" si="57"/>
        <v>10</v>
      </c>
      <c r="H270" t="s">
        <v>649</v>
      </c>
      <c r="I270" t="s">
        <v>656</v>
      </c>
      <c r="J270" t="s">
        <v>671</v>
      </c>
      <c r="K270" t="s">
        <v>706</v>
      </c>
      <c r="L270" t="s">
        <v>708</v>
      </c>
      <c r="M270" t="s">
        <v>718</v>
      </c>
      <c r="N270" t="s">
        <v>728</v>
      </c>
      <c r="O270" t="s">
        <v>1202</v>
      </c>
      <c r="P270" s="6">
        <v>663.61</v>
      </c>
      <c r="Q270" s="6">
        <v>1002.11</v>
      </c>
      <c r="R270" s="10">
        <v>4.5999999999999999E-2</v>
      </c>
      <c r="S270" s="10" t="b">
        <f t="shared" si="60"/>
        <v>0</v>
      </c>
      <c r="T270" s="8">
        <v>17</v>
      </c>
      <c r="U270">
        <f t="shared" si="61"/>
        <v>16252.21998</v>
      </c>
      <c r="V270">
        <f t="shared" si="62"/>
        <v>11281.37</v>
      </c>
      <c r="W270">
        <f t="shared" si="63"/>
        <v>4970.8499799999991</v>
      </c>
      <c r="X270" s="10">
        <f t="shared" si="64"/>
        <v>0.30585667595670823</v>
      </c>
      <c r="Y270" t="str">
        <f t="shared" si="65"/>
        <v>Medium</v>
      </c>
      <c r="Z270" t="str">
        <f t="shared" si="66"/>
        <v>Not Met</v>
      </c>
      <c r="AA270" t="str">
        <f t="shared" si="67"/>
        <v>Low Discount</v>
      </c>
      <c r="AB270" s="10">
        <f>MIN(R270,ControlPanel!$B$5)</f>
        <v>4.5999999999999999E-2</v>
      </c>
      <c r="AC270">
        <f>P270*(1+ControlPanel!$B$6)</f>
        <v>696.79050000000007</v>
      </c>
      <c r="AD270">
        <f>T270*(1+ControlPanel!$B$7)</f>
        <v>18.700000000000003</v>
      </c>
      <c r="AE270" s="6">
        <f t="shared" si="68"/>
        <v>17877.441978000003</v>
      </c>
      <c r="AF270">
        <f t="shared" si="69"/>
        <v>4847.4596279999987</v>
      </c>
    </row>
    <row r="271" spans="1:32" x14ac:dyDescent="0.3">
      <c r="A271" t="s">
        <v>144</v>
      </c>
      <c r="B271" s="4">
        <v>44948</v>
      </c>
      <c r="C271" s="4" t="str">
        <f t="shared" si="58"/>
        <v>Jan-2023</v>
      </c>
      <c r="D271" t="str">
        <f t="shared" si="59"/>
        <v>Q1-2023</v>
      </c>
      <c r="E271" s="4">
        <v>44956</v>
      </c>
      <c r="F271" s="12">
        <f t="shared" si="56"/>
        <v>44956</v>
      </c>
      <c r="G271" s="13">
        <f t="shared" si="57"/>
        <v>8</v>
      </c>
      <c r="H271" t="s">
        <v>648</v>
      </c>
      <c r="I271" t="s">
        <v>660</v>
      </c>
      <c r="J271" t="s">
        <v>686</v>
      </c>
      <c r="K271" t="s">
        <v>705</v>
      </c>
      <c r="L271" t="s">
        <v>708</v>
      </c>
      <c r="M271" t="s">
        <v>720</v>
      </c>
      <c r="N271" t="s">
        <v>729</v>
      </c>
      <c r="O271" t="s">
        <v>863</v>
      </c>
      <c r="P271" s="6">
        <v>413.52</v>
      </c>
      <c r="Q271" s="6">
        <v>1004.34</v>
      </c>
      <c r="R271" s="10">
        <v>0.111</v>
      </c>
      <c r="S271" s="10" t="b">
        <f t="shared" si="60"/>
        <v>0</v>
      </c>
      <c r="T271" s="8">
        <v>18</v>
      </c>
      <c r="U271">
        <f t="shared" si="61"/>
        <v>16071.448680000001</v>
      </c>
      <c r="V271">
        <f t="shared" si="62"/>
        <v>7443.36</v>
      </c>
      <c r="W271">
        <f t="shared" si="63"/>
        <v>8628.0886800000007</v>
      </c>
      <c r="X271" s="10">
        <f t="shared" si="64"/>
        <v>0.53685817948304582</v>
      </c>
      <c r="Y271" t="str">
        <f t="shared" si="65"/>
        <v>Medium</v>
      </c>
      <c r="Z271" t="str">
        <f t="shared" si="66"/>
        <v>Not Met</v>
      </c>
      <c r="AA271" t="str">
        <f t="shared" si="67"/>
        <v>Low Discount</v>
      </c>
      <c r="AB271" s="10">
        <f>MIN(R271,ControlPanel!$B$5)</f>
        <v>0.111</v>
      </c>
      <c r="AC271">
        <f>P271*(1+ControlPanel!$B$6)</f>
        <v>434.19600000000003</v>
      </c>
      <c r="AD271">
        <f>T271*(1+ControlPanel!$B$7)</f>
        <v>19.8</v>
      </c>
      <c r="AE271" s="6">
        <f t="shared" si="68"/>
        <v>17678.593548000001</v>
      </c>
      <c r="AF271">
        <f t="shared" si="69"/>
        <v>9081.5127479999992</v>
      </c>
    </row>
    <row r="272" spans="1:32" x14ac:dyDescent="0.3">
      <c r="A272" t="s">
        <v>262</v>
      </c>
      <c r="B272" s="4">
        <v>45604</v>
      </c>
      <c r="C272" s="4" t="str">
        <f t="shared" si="58"/>
        <v>Nov-2024</v>
      </c>
      <c r="D272" t="str">
        <f t="shared" si="59"/>
        <v>Q4-2024</v>
      </c>
      <c r="E272" s="4">
        <v>45604</v>
      </c>
      <c r="F272" s="12">
        <f t="shared" si="56"/>
        <v>45604</v>
      </c>
      <c r="G272" s="13">
        <f t="shared" si="57"/>
        <v>0</v>
      </c>
      <c r="H272" t="s">
        <v>646</v>
      </c>
      <c r="I272" t="s">
        <v>650</v>
      </c>
      <c r="J272" t="s">
        <v>678</v>
      </c>
      <c r="K272" t="s">
        <v>706</v>
      </c>
      <c r="L272" t="s">
        <v>709</v>
      </c>
      <c r="M272" t="s">
        <v>724</v>
      </c>
      <c r="N272" t="s">
        <v>729</v>
      </c>
      <c r="O272" t="s">
        <v>982</v>
      </c>
      <c r="P272" s="6">
        <v>803.28</v>
      </c>
      <c r="Q272" s="6">
        <v>1009</v>
      </c>
      <c r="R272" s="10">
        <v>0.11</v>
      </c>
      <c r="S272" s="10" t="b">
        <f t="shared" si="60"/>
        <v>0</v>
      </c>
      <c r="T272" s="8">
        <v>4</v>
      </c>
      <c r="U272">
        <f t="shared" si="61"/>
        <v>3592.04</v>
      </c>
      <c r="V272">
        <f t="shared" si="62"/>
        <v>3213.12</v>
      </c>
      <c r="W272">
        <f t="shared" si="63"/>
        <v>378.92000000000007</v>
      </c>
      <c r="X272" s="10">
        <f t="shared" si="64"/>
        <v>0.10548880302001093</v>
      </c>
      <c r="Y272" t="str">
        <f t="shared" si="65"/>
        <v>Medium</v>
      </c>
      <c r="Z272" t="str">
        <f t="shared" si="66"/>
        <v>Met</v>
      </c>
      <c r="AA272" t="str">
        <f t="shared" si="67"/>
        <v>Low Discount</v>
      </c>
      <c r="AB272" s="10">
        <f>MIN(R272,ControlPanel!$B$5)</f>
        <v>0.11</v>
      </c>
      <c r="AC272">
        <f>P272*(1+ControlPanel!$B$6)</f>
        <v>843.44399999999996</v>
      </c>
      <c r="AD272">
        <f>T272*(1+ControlPanel!$B$7)</f>
        <v>4.4000000000000004</v>
      </c>
      <c r="AE272" s="6">
        <f t="shared" si="68"/>
        <v>3951.2440000000001</v>
      </c>
      <c r="AF272">
        <f t="shared" si="69"/>
        <v>240.09040000000005</v>
      </c>
    </row>
    <row r="273" spans="1:32" x14ac:dyDescent="0.3">
      <c r="A273" t="s">
        <v>633</v>
      </c>
      <c r="B273" s="4">
        <v>45578</v>
      </c>
      <c r="C273" s="4" t="str">
        <f t="shared" si="58"/>
        <v>Oct-2024</v>
      </c>
      <c r="D273" t="str">
        <f t="shared" si="59"/>
        <v>Q4-2024</v>
      </c>
      <c r="E273" s="4">
        <v>45589</v>
      </c>
      <c r="F273" s="12">
        <f t="shared" si="56"/>
        <v>45589</v>
      </c>
      <c r="G273" s="13">
        <f t="shared" si="57"/>
        <v>11</v>
      </c>
      <c r="H273" t="s">
        <v>649</v>
      </c>
      <c r="I273" t="s">
        <v>657</v>
      </c>
      <c r="J273" t="s">
        <v>690</v>
      </c>
      <c r="K273" t="s">
        <v>702</v>
      </c>
      <c r="L273" t="s">
        <v>710</v>
      </c>
      <c r="M273" t="s">
        <v>721</v>
      </c>
      <c r="N273" t="s">
        <v>727</v>
      </c>
      <c r="O273" t="s">
        <v>1351</v>
      </c>
      <c r="P273" s="6">
        <v>816.7</v>
      </c>
      <c r="Q273" s="6">
        <v>1010.75</v>
      </c>
      <c r="R273" s="10">
        <v>4.7E-2</v>
      </c>
      <c r="S273" s="10" t="b">
        <f t="shared" si="60"/>
        <v>0</v>
      </c>
      <c r="T273" s="8">
        <v>43</v>
      </c>
      <c r="U273">
        <f t="shared" si="61"/>
        <v>41419.524249999995</v>
      </c>
      <c r="V273">
        <f t="shared" si="62"/>
        <v>35118.1</v>
      </c>
      <c r="W273">
        <f t="shared" si="63"/>
        <v>6301.4242499999964</v>
      </c>
      <c r="X273" s="10">
        <f t="shared" si="64"/>
        <v>0.15213656757537472</v>
      </c>
      <c r="Y273" t="str">
        <f t="shared" si="65"/>
        <v>Medium</v>
      </c>
      <c r="Z273" t="str">
        <f t="shared" si="66"/>
        <v>Not Met</v>
      </c>
      <c r="AA273" t="str">
        <f t="shared" si="67"/>
        <v>Low Discount</v>
      </c>
      <c r="AB273" s="10">
        <f>MIN(R273,ControlPanel!$B$5)</f>
        <v>4.7E-2</v>
      </c>
      <c r="AC273">
        <f>P273*(1+ControlPanel!$B$6)</f>
        <v>857.53500000000008</v>
      </c>
      <c r="AD273">
        <f>T273*(1+ControlPanel!$B$7)</f>
        <v>47.300000000000004</v>
      </c>
      <c r="AE273" s="6">
        <f t="shared" si="68"/>
        <v>45561.476675000005</v>
      </c>
      <c r="AF273">
        <f t="shared" si="69"/>
        <v>5000.0711749999973</v>
      </c>
    </row>
    <row r="274" spans="1:32" x14ac:dyDescent="0.3">
      <c r="A274" t="s">
        <v>264</v>
      </c>
      <c r="B274" s="4">
        <v>45537</v>
      </c>
      <c r="C274" s="4" t="str">
        <f t="shared" si="58"/>
        <v>Sep-2024</v>
      </c>
      <c r="D274" t="str">
        <f t="shared" si="59"/>
        <v>Q3-2024</v>
      </c>
      <c r="E274" s="4">
        <v>45543</v>
      </c>
      <c r="F274" s="12">
        <f t="shared" si="56"/>
        <v>45543</v>
      </c>
      <c r="G274" s="13">
        <f t="shared" si="57"/>
        <v>6</v>
      </c>
      <c r="H274" t="s">
        <v>648</v>
      </c>
      <c r="I274" t="s">
        <v>660</v>
      </c>
      <c r="J274" t="s">
        <v>697</v>
      </c>
      <c r="K274" t="s">
        <v>704</v>
      </c>
      <c r="L274" t="s">
        <v>711</v>
      </c>
      <c r="M274" t="s">
        <v>722</v>
      </c>
      <c r="N274" t="s">
        <v>727</v>
      </c>
      <c r="O274" t="s">
        <v>984</v>
      </c>
      <c r="P274" s="6">
        <v>462.94</v>
      </c>
      <c r="Q274" s="6">
        <v>1015.7</v>
      </c>
      <c r="R274" s="10">
        <v>0.14299999999999999</v>
      </c>
      <c r="S274" s="10" t="b">
        <f t="shared" si="60"/>
        <v>0</v>
      </c>
      <c r="T274" s="8">
        <v>14</v>
      </c>
      <c r="U274">
        <f t="shared" si="61"/>
        <v>12186.368600000002</v>
      </c>
      <c r="V274">
        <f t="shared" si="62"/>
        <v>6481.16</v>
      </c>
      <c r="W274">
        <f t="shared" si="63"/>
        <v>5705.2086000000018</v>
      </c>
      <c r="X274" s="10">
        <f t="shared" si="64"/>
        <v>0.46816314090483041</v>
      </c>
      <c r="Y274" t="str">
        <f t="shared" si="65"/>
        <v>Medium</v>
      </c>
      <c r="Z274" t="str">
        <f t="shared" si="66"/>
        <v>Met</v>
      </c>
      <c r="AA274" t="str">
        <f t="shared" si="67"/>
        <v>Low Discount</v>
      </c>
      <c r="AB274" s="10">
        <f>MIN(R274,ControlPanel!$B$5)</f>
        <v>0.14299999999999999</v>
      </c>
      <c r="AC274">
        <f>P274*(1+ControlPanel!$B$6)</f>
        <v>486.08700000000005</v>
      </c>
      <c r="AD274">
        <f>T274*(1+ControlPanel!$B$7)</f>
        <v>15.400000000000002</v>
      </c>
      <c r="AE274" s="6">
        <f t="shared" si="68"/>
        <v>13405.005460000002</v>
      </c>
      <c r="AF274">
        <f t="shared" si="69"/>
        <v>5919.26566</v>
      </c>
    </row>
    <row r="275" spans="1:32" x14ac:dyDescent="0.3">
      <c r="A275" t="s">
        <v>125</v>
      </c>
      <c r="B275" s="4">
        <v>45452</v>
      </c>
      <c r="C275" s="4" t="str">
        <f t="shared" si="58"/>
        <v>Jun-2024</v>
      </c>
      <c r="D275" t="str">
        <f t="shared" si="59"/>
        <v>Q2-2024</v>
      </c>
      <c r="E275" s="4">
        <v>45480</v>
      </c>
      <c r="F275" s="12">
        <f t="shared" si="56"/>
        <v>45480</v>
      </c>
      <c r="G275" s="13">
        <f t="shared" si="57"/>
        <v>28</v>
      </c>
      <c r="H275" t="s">
        <v>647</v>
      </c>
      <c r="I275" t="s">
        <v>659</v>
      </c>
      <c r="J275" t="s">
        <v>676</v>
      </c>
      <c r="K275" t="s">
        <v>701</v>
      </c>
      <c r="L275" t="s">
        <v>708</v>
      </c>
      <c r="M275" t="s">
        <v>713</v>
      </c>
      <c r="N275" t="s">
        <v>727</v>
      </c>
      <c r="O275" t="s">
        <v>844</v>
      </c>
      <c r="P275" s="6">
        <v>550.22</v>
      </c>
      <c r="Q275" s="6">
        <v>1025.05</v>
      </c>
      <c r="R275" s="10">
        <v>0</v>
      </c>
      <c r="S275" s="10" t="b">
        <f t="shared" si="60"/>
        <v>0</v>
      </c>
      <c r="T275" s="8">
        <v>27</v>
      </c>
      <c r="U275">
        <f t="shared" si="61"/>
        <v>27676.35</v>
      </c>
      <c r="V275">
        <f t="shared" si="62"/>
        <v>14855.94</v>
      </c>
      <c r="W275">
        <f t="shared" si="63"/>
        <v>12820.409999999998</v>
      </c>
      <c r="X275" s="10">
        <f t="shared" si="64"/>
        <v>0.46322618408858102</v>
      </c>
      <c r="Y275" t="str">
        <f t="shared" si="65"/>
        <v>Medium</v>
      </c>
      <c r="Z275" t="str">
        <f t="shared" si="66"/>
        <v>Not Met</v>
      </c>
      <c r="AA275" t="str">
        <f t="shared" si="67"/>
        <v>Low Discount</v>
      </c>
      <c r="AB275" s="10">
        <f>MIN(R275,ControlPanel!$B$5)</f>
        <v>0</v>
      </c>
      <c r="AC275">
        <f>P275*(1+ControlPanel!$B$6)</f>
        <v>577.73100000000011</v>
      </c>
      <c r="AD275">
        <f>T275*(1+ControlPanel!$B$7)</f>
        <v>29.700000000000003</v>
      </c>
      <c r="AE275" s="6">
        <f t="shared" si="68"/>
        <v>30443.985000000001</v>
      </c>
      <c r="AF275">
        <f t="shared" si="69"/>
        <v>13285.374299999996</v>
      </c>
    </row>
    <row r="276" spans="1:32" x14ac:dyDescent="0.3">
      <c r="A276" t="s">
        <v>145</v>
      </c>
      <c r="B276" s="4">
        <v>45700</v>
      </c>
      <c r="C276" s="4" t="str">
        <f t="shared" si="58"/>
        <v>Feb-2025</v>
      </c>
      <c r="D276" t="str">
        <f t="shared" si="59"/>
        <v>Q1-2025</v>
      </c>
      <c r="E276" s="4">
        <v>45716</v>
      </c>
      <c r="F276" s="12">
        <f t="shared" si="56"/>
        <v>45716</v>
      </c>
      <c r="G276" s="13">
        <f t="shared" si="57"/>
        <v>16</v>
      </c>
      <c r="H276" t="s">
        <v>648</v>
      </c>
      <c r="I276" t="s">
        <v>655</v>
      </c>
      <c r="J276" t="s">
        <v>670</v>
      </c>
      <c r="K276" t="s">
        <v>703</v>
      </c>
      <c r="L276" t="s">
        <v>711</v>
      </c>
      <c r="M276" t="s">
        <v>717</v>
      </c>
      <c r="N276" t="s">
        <v>732</v>
      </c>
      <c r="O276" t="s">
        <v>864</v>
      </c>
      <c r="P276" s="6">
        <v>414.95</v>
      </c>
      <c r="Q276" s="6">
        <v>1027.73</v>
      </c>
      <c r="R276" s="10">
        <v>6.3E-2</v>
      </c>
      <c r="S276" s="10" t="b">
        <f t="shared" si="60"/>
        <v>0</v>
      </c>
      <c r="T276" s="8">
        <v>8</v>
      </c>
      <c r="U276">
        <f t="shared" si="61"/>
        <v>7703.8640800000003</v>
      </c>
      <c r="V276">
        <f t="shared" si="62"/>
        <v>3319.6</v>
      </c>
      <c r="W276">
        <f t="shared" si="63"/>
        <v>4384.2640800000008</v>
      </c>
      <c r="X276" s="10">
        <f t="shared" si="64"/>
        <v>0.56909935513815568</v>
      </c>
      <c r="Y276" t="str">
        <f t="shared" si="65"/>
        <v>Medium</v>
      </c>
      <c r="Z276" t="str">
        <f t="shared" si="66"/>
        <v>Not Met</v>
      </c>
      <c r="AA276" t="str">
        <f t="shared" si="67"/>
        <v>Low Discount</v>
      </c>
      <c r="AB276" s="10">
        <f>MIN(R276,ControlPanel!$B$5)</f>
        <v>6.3E-2</v>
      </c>
      <c r="AC276">
        <f>P276*(1+ControlPanel!$B$6)</f>
        <v>435.69749999999999</v>
      </c>
      <c r="AD276">
        <f>T276*(1+ControlPanel!$B$7)</f>
        <v>8.8000000000000007</v>
      </c>
      <c r="AE276" s="6">
        <f t="shared" si="68"/>
        <v>8474.2504880000015</v>
      </c>
      <c r="AF276">
        <f t="shared" si="69"/>
        <v>4640.1124880000007</v>
      </c>
    </row>
    <row r="277" spans="1:32" x14ac:dyDescent="0.3">
      <c r="A277" t="s">
        <v>458</v>
      </c>
      <c r="B277" s="4">
        <v>45560</v>
      </c>
      <c r="C277" s="4" t="str">
        <f t="shared" si="58"/>
        <v>Sep-2024</v>
      </c>
      <c r="D277" t="str">
        <f t="shared" si="59"/>
        <v>Q3-2024</v>
      </c>
      <c r="E277" s="4">
        <v>45568</v>
      </c>
      <c r="F277" s="12">
        <f t="shared" si="56"/>
        <v>45568</v>
      </c>
      <c r="G277" s="13">
        <f t="shared" si="57"/>
        <v>8</v>
      </c>
      <c r="H277" t="s">
        <v>648</v>
      </c>
      <c r="I277" t="s">
        <v>653</v>
      </c>
      <c r="J277" t="s">
        <v>667</v>
      </c>
      <c r="K277" t="s">
        <v>704</v>
      </c>
      <c r="L277" t="s">
        <v>708</v>
      </c>
      <c r="M277" t="s">
        <v>718</v>
      </c>
      <c r="N277" t="s">
        <v>728</v>
      </c>
      <c r="O277" t="s">
        <v>1177</v>
      </c>
      <c r="P277" s="6">
        <v>558.19000000000005</v>
      </c>
      <c r="Q277" s="6">
        <v>1031.6400000000001</v>
      </c>
      <c r="R277" s="10">
        <v>0</v>
      </c>
      <c r="S277" s="10" t="b">
        <f t="shared" si="60"/>
        <v>0</v>
      </c>
      <c r="T277" s="8">
        <v>21</v>
      </c>
      <c r="U277">
        <f t="shared" si="61"/>
        <v>21664.440000000002</v>
      </c>
      <c r="V277">
        <f t="shared" si="62"/>
        <v>11721.990000000002</v>
      </c>
      <c r="W277">
        <f t="shared" si="63"/>
        <v>9942.4500000000007</v>
      </c>
      <c r="X277" s="10">
        <f t="shared" si="64"/>
        <v>0.45892947152107322</v>
      </c>
      <c r="Y277" t="str">
        <f t="shared" si="65"/>
        <v>Medium</v>
      </c>
      <c r="Z277" t="str">
        <f t="shared" si="66"/>
        <v>Not Met</v>
      </c>
      <c r="AA277" t="str">
        <f t="shared" si="67"/>
        <v>Low Discount</v>
      </c>
      <c r="AB277" s="10">
        <f>MIN(R277,ControlPanel!$B$5)</f>
        <v>0</v>
      </c>
      <c r="AC277">
        <f>P277*(1+ControlPanel!$B$6)</f>
        <v>586.09950000000003</v>
      </c>
      <c r="AD277">
        <f>T277*(1+ControlPanel!$B$7)</f>
        <v>23.1</v>
      </c>
      <c r="AE277" s="6">
        <f t="shared" si="68"/>
        <v>23830.884000000005</v>
      </c>
      <c r="AF277">
        <f t="shared" si="69"/>
        <v>10291.985550000003</v>
      </c>
    </row>
    <row r="278" spans="1:32" x14ac:dyDescent="0.3">
      <c r="A278" t="s">
        <v>392</v>
      </c>
      <c r="B278" s="4">
        <v>45664</v>
      </c>
      <c r="C278" s="4" t="str">
        <f t="shared" si="58"/>
        <v>Jan-2025</v>
      </c>
      <c r="D278" t="str">
        <f t="shared" si="59"/>
        <v>Q1-2025</v>
      </c>
      <c r="E278" s="4">
        <v>45677</v>
      </c>
      <c r="F278" s="12">
        <f t="shared" si="56"/>
        <v>45677</v>
      </c>
      <c r="G278" s="13">
        <f t="shared" si="57"/>
        <v>13</v>
      </c>
      <c r="H278" t="s">
        <v>646</v>
      </c>
      <c r="I278" t="s">
        <v>661</v>
      </c>
      <c r="J278" t="s">
        <v>695</v>
      </c>
      <c r="K278" t="s">
        <v>701</v>
      </c>
      <c r="L278" t="s">
        <v>711</v>
      </c>
      <c r="M278" t="s">
        <v>723</v>
      </c>
      <c r="N278" t="s">
        <v>729</v>
      </c>
      <c r="O278" t="s">
        <v>1112</v>
      </c>
      <c r="P278" s="6">
        <v>432.13</v>
      </c>
      <c r="Q278" s="6">
        <v>1034.6600000000001</v>
      </c>
      <c r="R278" s="10">
        <v>9.1999999999999998E-2</v>
      </c>
      <c r="S278" s="10" t="b">
        <f t="shared" si="60"/>
        <v>0</v>
      </c>
      <c r="T278" s="8">
        <v>7</v>
      </c>
      <c r="U278">
        <f t="shared" si="61"/>
        <v>6576.298960000001</v>
      </c>
      <c r="V278">
        <f t="shared" si="62"/>
        <v>3024.91</v>
      </c>
      <c r="W278">
        <f t="shared" si="63"/>
        <v>3551.3889600000011</v>
      </c>
      <c r="X278" s="10">
        <f t="shared" si="64"/>
        <v>0.54002851476204794</v>
      </c>
      <c r="Y278" t="str">
        <f t="shared" si="65"/>
        <v>Medium</v>
      </c>
      <c r="Z278" t="str">
        <f t="shared" si="66"/>
        <v>Not Met</v>
      </c>
      <c r="AA278" t="str">
        <f t="shared" si="67"/>
        <v>Low Discount</v>
      </c>
      <c r="AB278" s="10">
        <f>MIN(R278,ControlPanel!$B$5)</f>
        <v>9.1999999999999998E-2</v>
      </c>
      <c r="AC278">
        <f>P278*(1+ControlPanel!$B$6)</f>
        <v>453.73650000000004</v>
      </c>
      <c r="AD278">
        <f>T278*(1+ControlPanel!$B$7)</f>
        <v>7.7000000000000011</v>
      </c>
      <c r="AE278" s="6">
        <f t="shared" si="68"/>
        <v>7233.9288560000014</v>
      </c>
      <c r="AF278">
        <f t="shared" si="69"/>
        <v>3740.1578060000006</v>
      </c>
    </row>
    <row r="279" spans="1:32" x14ac:dyDescent="0.3">
      <c r="A279" t="s">
        <v>31</v>
      </c>
      <c r="B279" s="4">
        <v>45636</v>
      </c>
      <c r="C279" s="4" t="str">
        <f t="shared" si="58"/>
        <v>Dec-2024</v>
      </c>
      <c r="D279" t="str">
        <f t="shared" si="59"/>
        <v>Q4-2024</v>
      </c>
      <c r="E279" s="4">
        <v>45665</v>
      </c>
      <c r="F279" s="12">
        <f t="shared" si="56"/>
        <v>45665</v>
      </c>
      <c r="G279" s="13">
        <f t="shared" si="57"/>
        <v>29</v>
      </c>
      <c r="H279" t="s">
        <v>649</v>
      </c>
      <c r="I279" t="s">
        <v>657</v>
      </c>
      <c r="J279" t="s">
        <v>673</v>
      </c>
      <c r="K279" t="s">
        <v>705</v>
      </c>
      <c r="L279" t="s">
        <v>707</v>
      </c>
      <c r="M279" t="s">
        <v>723</v>
      </c>
      <c r="N279" t="s">
        <v>728</v>
      </c>
      <c r="O279" t="s">
        <v>750</v>
      </c>
      <c r="P279" s="6">
        <v>891.08</v>
      </c>
      <c r="Q279" s="6">
        <v>1040.0999999999999</v>
      </c>
      <c r="R279" s="10">
        <v>0.109</v>
      </c>
      <c r="S279" s="10" t="b">
        <f t="shared" si="60"/>
        <v>0</v>
      </c>
      <c r="T279" s="8">
        <v>28</v>
      </c>
      <c r="U279">
        <f t="shared" si="61"/>
        <v>25948.414799999999</v>
      </c>
      <c r="V279">
        <f t="shared" si="62"/>
        <v>24950.240000000002</v>
      </c>
      <c r="W279">
        <f t="shared" si="63"/>
        <v>998.17479999999705</v>
      </c>
      <c r="X279" s="10">
        <f t="shared" si="64"/>
        <v>3.8467660074556737E-2</v>
      </c>
      <c r="Y279" t="str">
        <f t="shared" si="65"/>
        <v>Medium</v>
      </c>
      <c r="Z279" t="str">
        <f t="shared" si="66"/>
        <v>Not Met</v>
      </c>
      <c r="AA279" t="str">
        <f t="shared" si="67"/>
        <v>Low Discount</v>
      </c>
      <c r="AB279" s="10">
        <f>MIN(R279,ControlPanel!$B$5)</f>
        <v>0.109</v>
      </c>
      <c r="AC279">
        <f>P279*(1+ControlPanel!$B$6)</f>
        <v>935.63400000000013</v>
      </c>
      <c r="AD279">
        <f>T279*(1+ControlPanel!$B$7)</f>
        <v>30.800000000000004</v>
      </c>
      <c r="AE279" s="6">
        <f t="shared" si="68"/>
        <v>28543.256280000001</v>
      </c>
      <c r="AF279">
        <f t="shared" si="69"/>
        <v>-274.2709200000063</v>
      </c>
    </row>
    <row r="280" spans="1:32" x14ac:dyDescent="0.3">
      <c r="A280" t="s">
        <v>463</v>
      </c>
      <c r="B280" s="4">
        <v>45454</v>
      </c>
      <c r="C280" s="4" t="str">
        <f t="shared" si="58"/>
        <v>Jun-2024</v>
      </c>
      <c r="D280" t="str">
        <f t="shared" si="59"/>
        <v>Q2-2024</v>
      </c>
      <c r="E280" s="4">
        <v>45482</v>
      </c>
      <c r="F280" s="12">
        <f t="shared" si="56"/>
        <v>45482</v>
      </c>
      <c r="G280" s="13">
        <f t="shared" si="57"/>
        <v>28</v>
      </c>
      <c r="H280" t="s">
        <v>646</v>
      </c>
      <c r="I280" t="s">
        <v>651</v>
      </c>
      <c r="J280" t="s">
        <v>663</v>
      </c>
      <c r="K280" t="s">
        <v>701</v>
      </c>
      <c r="L280" t="s">
        <v>709</v>
      </c>
      <c r="M280" t="s">
        <v>714</v>
      </c>
      <c r="N280" t="s">
        <v>730</v>
      </c>
      <c r="O280" t="s">
        <v>1182</v>
      </c>
      <c r="P280" s="6">
        <v>895.54</v>
      </c>
      <c r="Q280" s="6">
        <v>1045</v>
      </c>
      <c r="R280" s="10">
        <v>0.216</v>
      </c>
      <c r="S280" s="10" t="b">
        <f t="shared" si="60"/>
        <v>0</v>
      </c>
      <c r="T280" s="8">
        <v>15</v>
      </c>
      <c r="U280">
        <f t="shared" si="61"/>
        <v>12289.2</v>
      </c>
      <c r="V280">
        <f t="shared" si="62"/>
        <v>13433.099999999999</v>
      </c>
      <c r="W280">
        <f t="shared" si="63"/>
        <v>-1143.8999999999978</v>
      </c>
      <c r="X280" s="10">
        <f t="shared" si="64"/>
        <v>-9.3081730299775234E-2</v>
      </c>
      <c r="Y280" t="str">
        <f t="shared" si="65"/>
        <v>Medium</v>
      </c>
      <c r="Z280" t="str">
        <f t="shared" si="66"/>
        <v>Not Met</v>
      </c>
      <c r="AA280" t="str">
        <f t="shared" si="67"/>
        <v>High Discount</v>
      </c>
      <c r="AB280" s="10">
        <f>MIN(R280,ControlPanel!$B$5)</f>
        <v>0.2</v>
      </c>
      <c r="AC280">
        <f>P280*(1+ControlPanel!$B$6)</f>
        <v>940.31700000000001</v>
      </c>
      <c r="AD280">
        <f>T280*(1+ControlPanel!$B$7)</f>
        <v>16.5</v>
      </c>
      <c r="AE280" s="6">
        <f t="shared" si="68"/>
        <v>13794</v>
      </c>
      <c r="AF280">
        <f t="shared" si="69"/>
        <v>-1721.2304999999997</v>
      </c>
    </row>
    <row r="281" spans="1:32" x14ac:dyDescent="0.3">
      <c r="A281" t="s">
        <v>560</v>
      </c>
      <c r="B281" s="4">
        <v>45355</v>
      </c>
      <c r="C281" s="4" t="str">
        <f t="shared" si="58"/>
        <v>Mar-2024</v>
      </c>
      <c r="D281" t="str">
        <f t="shared" si="59"/>
        <v>Q1-2024</v>
      </c>
      <c r="E281" s="4">
        <v>45367</v>
      </c>
      <c r="F281" s="12">
        <f t="shared" si="56"/>
        <v>45367</v>
      </c>
      <c r="G281" s="13">
        <f t="shared" si="57"/>
        <v>12</v>
      </c>
      <c r="H281" t="s">
        <v>646</v>
      </c>
      <c r="I281" t="s">
        <v>661</v>
      </c>
      <c r="J281" t="s">
        <v>682</v>
      </c>
      <c r="K281" t="s">
        <v>706</v>
      </c>
      <c r="L281" t="s">
        <v>710</v>
      </c>
      <c r="M281" t="s">
        <v>724</v>
      </c>
      <c r="N281" t="s">
        <v>732</v>
      </c>
      <c r="O281" t="s">
        <v>1278</v>
      </c>
      <c r="P281" s="6">
        <v>441.08</v>
      </c>
      <c r="Q281" s="6">
        <v>1054.29</v>
      </c>
      <c r="R281" s="10">
        <v>0.23699999999999999</v>
      </c>
      <c r="S281" s="10" t="b">
        <f t="shared" si="60"/>
        <v>0</v>
      </c>
      <c r="T281" s="8">
        <v>6</v>
      </c>
      <c r="U281">
        <f t="shared" si="61"/>
        <v>4826.5396199999996</v>
      </c>
      <c r="V281">
        <f t="shared" si="62"/>
        <v>2646.48</v>
      </c>
      <c r="W281">
        <f t="shared" si="63"/>
        <v>2180.0596199999995</v>
      </c>
      <c r="X281" s="10">
        <f t="shared" si="64"/>
        <v>0.45168169985932899</v>
      </c>
      <c r="Y281" t="str">
        <f t="shared" si="65"/>
        <v>Medium</v>
      </c>
      <c r="Z281" t="str">
        <f t="shared" si="66"/>
        <v>Not Met</v>
      </c>
      <c r="AA281" t="str">
        <f t="shared" si="67"/>
        <v>High Discount</v>
      </c>
      <c r="AB281" s="10">
        <f>MIN(R281,ControlPanel!$B$5)</f>
        <v>0.2</v>
      </c>
      <c r="AC281">
        <f>P281*(1+ControlPanel!$B$6)</f>
        <v>463.13400000000001</v>
      </c>
      <c r="AD281">
        <f>T281*(1+ControlPanel!$B$7)</f>
        <v>6.6000000000000005</v>
      </c>
      <c r="AE281" s="6">
        <f t="shared" si="68"/>
        <v>5566.6512000000002</v>
      </c>
      <c r="AF281">
        <f t="shared" si="69"/>
        <v>2509.9667999999997</v>
      </c>
    </row>
    <row r="282" spans="1:32" x14ac:dyDescent="0.3">
      <c r="A282" t="s">
        <v>544</v>
      </c>
      <c r="B282" s="4">
        <v>45316</v>
      </c>
      <c r="C282" s="4" t="str">
        <f t="shared" si="58"/>
        <v>Jan-2024</v>
      </c>
      <c r="D282" t="str">
        <f t="shared" si="59"/>
        <v>Q1-2024</v>
      </c>
      <c r="E282" s="4">
        <v>45330</v>
      </c>
      <c r="F282" s="12">
        <f t="shared" si="56"/>
        <v>45330</v>
      </c>
      <c r="G282" s="13">
        <f t="shared" si="57"/>
        <v>14</v>
      </c>
      <c r="H282" t="s">
        <v>647</v>
      </c>
      <c r="I282" t="s">
        <v>652</v>
      </c>
      <c r="J282" t="s">
        <v>666</v>
      </c>
      <c r="K282" t="s">
        <v>704</v>
      </c>
      <c r="L282" t="s">
        <v>709</v>
      </c>
      <c r="M282" t="s">
        <v>714</v>
      </c>
      <c r="N282" t="s">
        <v>729</v>
      </c>
      <c r="O282" t="s">
        <v>1263</v>
      </c>
      <c r="P282" s="6">
        <v>937.16</v>
      </c>
      <c r="Q282" s="6">
        <v>1069.77</v>
      </c>
      <c r="R282" s="10">
        <v>3.7999999999999999E-2</v>
      </c>
      <c r="S282" s="10" t="b">
        <f t="shared" si="60"/>
        <v>0</v>
      </c>
      <c r="T282" s="8">
        <v>9</v>
      </c>
      <c r="U282">
        <f t="shared" si="61"/>
        <v>9262.068659999999</v>
      </c>
      <c r="V282">
        <f t="shared" si="62"/>
        <v>8434.44</v>
      </c>
      <c r="W282">
        <f t="shared" si="63"/>
        <v>827.62865999999849</v>
      </c>
      <c r="X282" s="10">
        <f t="shared" si="64"/>
        <v>8.9356783066645781E-2</v>
      </c>
      <c r="Y282" t="str">
        <f t="shared" si="65"/>
        <v>Medium</v>
      </c>
      <c r="Z282" t="str">
        <f t="shared" si="66"/>
        <v>Not Met</v>
      </c>
      <c r="AA282" t="str">
        <f t="shared" si="67"/>
        <v>Low Discount</v>
      </c>
      <c r="AB282" s="10">
        <f>MIN(R282,ControlPanel!$B$5)</f>
        <v>3.7999999999999999E-2</v>
      </c>
      <c r="AC282">
        <f>P282*(1+ControlPanel!$B$6)</f>
        <v>984.01800000000003</v>
      </c>
      <c r="AD282">
        <f>T282*(1+ControlPanel!$B$7)</f>
        <v>9.9</v>
      </c>
      <c r="AE282" s="6">
        <f t="shared" si="68"/>
        <v>10188.275525999999</v>
      </c>
      <c r="AF282">
        <f t="shared" si="69"/>
        <v>446.49732599999879</v>
      </c>
    </row>
    <row r="283" spans="1:32" x14ac:dyDescent="0.3">
      <c r="A283" t="s">
        <v>527</v>
      </c>
      <c r="B283" s="4">
        <v>45078</v>
      </c>
      <c r="C283" s="4" t="str">
        <f t="shared" si="58"/>
        <v>Jun-2023</v>
      </c>
      <c r="D283" t="str">
        <f t="shared" si="59"/>
        <v>Q2-2023</v>
      </c>
      <c r="E283" s="4">
        <v>45085</v>
      </c>
      <c r="F283" s="12">
        <f t="shared" si="56"/>
        <v>45085</v>
      </c>
      <c r="G283" s="13">
        <f t="shared" si="57"/>
        <v>7</v>
      </c>
      <c r="H283" t="s">
        <v>649</v>
      </c>
      <c r="I283" t="s">
        <v>656</v>
      </c>
      <c r="J283" t="s">
        <v>698</v>
      </c>
      <c r="K283" t="s">
        <v>704</v>
      </c>
      <c r="L283" t="s">
        <v>708</v>
      </c>
      <c r="M283" t="s">
        <v>720</v>
      </c>
      <c r="N283" t="s">
        <v>730</v>
      </c>
      <c r="O283" t="s">
        <v>1246</v>
      </c>
      <c r="P283" s="6">
        <v>804.17</v>
      </c>
      <c r="Q283" s="6">
        <v>1072.29</v>
      </c>
      <c r="R283" s="10">
        <v>3.2000000000000001E-2</v>
      </c>
      <c r="S283" s="10" t="b">
        <f t="shared" si="60"/>
        <v>0</v>
      </c>
      <c r="T283" s="8">
        <v>5</v>
      </c>
      <c r="U283">
        <f t="shared" si="61"/>
        <v>5189.8835999999992</v>
      </c>
      <c r="V283">
        <f t="shared" si="62"/>
        <v>4020.85</v>
      </c>
      <c r="W283">
        <f t="shared" si="63"/>
        <v>1169.0335999999993</v>
      </c>
      <c r="X283" s="10">
        <f t="shared" si="64"/>
        <v>0.22525237367558676</v>
      </c>
      <c r="Y283" t="str">
        <f t="shared" si="65"/>
        <v>Medium</v>
      </c>
      <c r="Z283" t="str">
        <f t="shared" si="66"/>
        <v>Met</v>
      </c>
      <c r="AA283" t="str">
        <f t="shared" si="67"/>
        <v>Low Discount</v>
      </c>
      <c r="AB283" s="10">
        <f>MIN(R283,ControlPanel!$B$5)</f>
        <v>3.2000000000000001E-2</v>
      </c>
      <c r="AC283">
        <f>P283*(1+ControlPanel!$B$6)</f>
        <v>844.37850000000003</v>
      </c>
      <c r="AD283">
        <f>T283*(1+ControlPanel!$B$7)</f>
        <v>5.5</v>
      </c>
      <c r="AE283" s="6">
        <f t="shared" si="68"/>
        <v>5708.8719599999995</v>
      </c>
      <c r="AF283">
        <f t="shared" si="69"/>
        <v>1064.7902099999992</v>
      </c>
    </row>
    <row r="284" spans="1:32" x14ac:dyDescent="0.3">
      <c r="A284" t="s">
        <v>308</v>
      </c>
      <c r="B284" s="4">
        <v>45758</v>
      </c>
      <c r="C284" s="4" t="str">
        <f t="shared" si="58"/>
        <v>Apr-2025</v>
      </c>
      <c r="D284" t="str">
        <f t="shared" si="59"/>
        <v>Q2-2025</v>
      </c>
      <c r="E284" s="4">
        <v>45781</v>
      </c>
      <c r="F284" s="12">
        <f t="shared" si="56"/>
        <v>45781</v>
      </c>
      <c r="G284" s="13">
        <f t="shared" si="57"/>
        <v>23</v>
      </c>
      <c r="H284" t="s">
        <v>647</v>
      </c>
      <c r="I284" t="s">
        <v>652</v>
      </c>
      <c r="J284" t="s">
        <v>666</v>
      </c>
      <c r="K284" t="s">
        <v>705</v>
      </c>
      <c r="L284" t="s">
        <v>708</v>
      </c>
      <c r="M284" t="s">
        <v>724</v>
      </c>
      <c r="N284" t="s">
        <v>727</v>
      </c>
      <c r="O284" t="s">
        <v>1028</v>
      </c>
      <c r="P284" s="6">
        <v>786.2</v>
      </c>
      <c r="Q284" s="6">
        <v>1075.3</v>
      </c>
      <c r="R284" s="10">
        <v>0.08</v>
      </c>
      <c r="S284" s="10" t="b">
        <f t="shared" si="60"/>
        <v>0</v>
      </c>
      <c r="T284" s="8">
        <v>9</v>
      </c>
      <c r="U284">
        <f t="shared" si="61"/>
        <v>8903.4840000000004</v>
      </c>
      <c r="V284">
        <f t="shared" si="62"/>
        <v>7075.8</v>
      </c>
      <c r="W284">
        <f t="shared" si="63"/>
        <v>1827.6840000000002</v>
      </c>
      <c r="X284" s="10">
        <f t="shared" si="64"/>
        <v>0.20527739478163831</v>
      </c>
      <c r="Y284" t="str">
        <f t="shared" si="65"/>
        <v>Medium</v>
      </c>
      <c r="Z284" t="str">
        <f t="shared" si="66"/>
        <v>Not Met</v>
      </c>
      <c r="AA284" t="str">
        <f t="shared" si="67"/>
        <v>Low Discount</v>
      </c>
      <c r="AB284" s="10">
        <f>MIN(R284,ControlPanel!$B$5)</f>
        <v>0.08</v>
      </c>
      <c r="AC284">
        <f>P284*(1+ControlPanel!$B$6)</f>
        <v>825.5100000000001</v>
      </c>
      <c r="AD284">
        <f>T284*(1+ControlPanel!$B$7)</f>
        <v>9.9</v>
      </c>
      <c r="AE284" s="6">
        <f t="shared" si="68"/>
        <v>9793.8323999999993</v>
      </c>
      <c r="AF284">
        <f t="shared" si="69"/>
        <v>1621.2833999999984</v>
      </c>
    </row>
    <row r="285" spans="1:32" x14ac:dyDescent="0.3">
      <c r="A285" t="s">
        <v>632</v>
      </c>
      <c r="B285" s="4">
        <v>45849</v>
      </c>
      <c r="C285" s="4" t="str">
        <f t="shared" si="58"/>
        <v>Jul-2025</v>
      </c>
      <c r="D285" t="str">
        <f t="shared" si="59"/>
        <v>Q3-2025</v>
      </c>
      <c r="E285" s="4">
        <v>45854</v>
      </c>
      <c r="F285" s="12">
        <f t="shared" si="56"/>
        <v>45854</v>
      </c>
      <c r="G285" s="13">
        <f t="shared" si="57"/>
        <v>5</v>
      </c>
      <c r="H285" t="s">
        <v>649</v>
      </c>
      <c r="I285" t="s">
        <v>658</v>
      </c>
      <c r="J285" t="s">
        <v>683</v>
      </c>
      <c r="K285" t="s">
        <v>706</v>
      </c>
      <c r="L285" t="s">
        <v>708</v>
      </c>
      <c r="M285" t="s">
        <v>723</v>
      </c>
      <c r="N285" t="s">
        <v>728</v>
      </c>
      <c r="O285" t="s">
        <v>1350</v>
      </c>
      <c r="P285" s="6">
        <v>930.03</v>
      </c>
      <c r="Q285" s="6">
        <v>1086.68</v>
      </c>
      <c r="R285" s="10">
        <v>0.109</v>
      </c>
      <c r="S285" s="10" t="b">
        <f t="shared" si="60"/>
        <v>0</v>
      </c>
      <c r="T285" s="8">
        <v>26</v>
      </c>
      <c r="U285">
        <f t="shared" si="61"/>
        <v>25174.028880000002</v>
      </c>
      <c r="V285">
        <f t="shared" si="62"/>
        <v>24180.78</v>
      </c>
      <c r="W285">
        <f t="shared" si="63"/>
        <v>993.24888000000283</v>
      </c>
      <c r="X285" s="10">
        <f t="shared" si="64"/>
        <v>3.9455300728168656E-2</v>
      </c>
      <c r="Y285" t="str">
        <f t="shared" si="65"/>
        <v>Medium</v>
      </c>
      <c r="Z285" t="str">
        <f t="shared" si="66"/>
        <v>Met</v>
      </c>
      <c r="AA285" t="str">
        <f t="shared" si="67"/>
        <v>Low Discount</v>
      </c>
      <c r="AB285" s="10">
        <f>MIN(R285,ControlPanel!$B$5)</f>
        <v>0.109</v>
      </c>
      <c r="AC285">
        <f>P285*(1+ControlPanel!$B$6)</f>
        <v>976.53150000000005</v>
      </c>
      <c r="AD285">
        <f>T285*(1+ControlPanel!$B$7)</f>
        <v>28.6</v>
      </c>
      <c r="AE285" s="6">
        <f t="shared" si="68"/>
        <v>27691.431768000002</v>
      </c>
      <c r="AF285">
        <f t="shared" si="69"/>
        <v>-237.36913199999981</v>
      </c>
    </row>
    <row r="286" spans="1:32" x14ac:dyDescent="0.3">
      <c r="A286" t="s">
        <v>238</v>
      </c>
      <c r="B286" s="4">
        <v>45035</v>
      </c>
      <c r="C286" s="4" t="str">
        <f t="shared" si="58"/>
        <v>Apr-2023</v>
      </c>
      <c r="D286" t="str">
        <f t="shared" si="59"/>
        <v>Q2-2023</v>
      </c>
      <c r="E286" s="4">
        <v>45053</v>
      </c>
      <c r="F286" s="12">
        <f t="shared" si="56"/>
        <v>45053</v>
      </c>
      <c r="G286" s="13">
        <f t="shared" si="57"/>
        <v>18</v>
      </c>
      <c r="H286" t="s">
        <v>649</v>
      </c>
      <c r="I286" t="s">
        <v>658</v>
      </c>
      <c r="J286" t="s">
        <v>674</v>
      </c>
      <c r="K286" t="s">
        <v>706</v>
      </c>
      <c r="L286" t="s">
        <v>707</v>
      </c>
      <c r="M286" t="s">
        <v>725</v>
      </c>
      <c r="N286" t="s">
        <v>731</v>
      </c>
      <c r="O286" t="s">
        <v>958</v>
      </c>
      <c r="P286" s="6">
        <v>1089.1500000000001</v>
      </c>
      <c r="Q286" s="6">
        <v>1088.2</v>
      </c>
      <c r="R286" s="10">
        <v>5.0999999999999997E-2</v>
      </c>
      <c r="S286" s="10" t="b">
        <f t="shared" si="60"/>
        <v>0</v>
      </c>
      <c r="T286" s="8">
        <v>15</v>
      </c>
      <c r="U286">
        <f t="shared" si="61"/>
        <v>15490.527</v>
      </c>
      <c r="V286">
        <f t="shared" si="62"/>
        <v>16337.250000000002</v>
      </c>
      <c r="W286">
        <f t="shared" si="63"/>
        <v>-846.72300000000178</v>
      </c>
      <c r="X286" s="10">
        <f t="shared" si="64"/>
        <v>-5.4660696824582002E-2</v>
      </c>
      <c r="Y286" t="str">
        <f t="shared" si="65"/>
        <v>Medium</v>
      </c>
      <c r="Z286" t="str">
        <f t="shared" si="66"/>
        <v>Not Met</v>
      </c>
      <c r="AA286" t="str">
        <f t="shared" si="67"/>
        <v>Low Discount</v>
      </c>
      <c r="AB286" s="10">
        <f>MIN(R286,ControlPanel!$B$5)</f>
        <v>5.0999999999999997E-2</v>
      </c>
      <c r="AC286">
        <f>P286*(1+ControlPanel!$B$6)</f>
        <v>1143.6075000000001</v>
      </c>
      <c r="AD286">
        <f>T286*(1+ControlPanel!$B$7)</f>
        <v>16.5</v>
      </c>
      <c r="AE286" s="6">
        <f t="shared" si="68"/>
        <v>17039.579700000002</v>
      </c>
      <c r="AF286">
        <f t="shared" si="69"/>
        <v>-1829.9440499999982</v>
      </c>
    </row>
    <row r="287" spans="1:32" x14ac:dyDescent="0.3">
      <c r="A287" t="s">
        <v>109</v>
      </c>
      <c r="B287" s="4">
        <v>45910</v>
      </c>
      <c r="C287" s="4" t="str">
        <f t="shared" si="58"/>
        <v>Sep-2025</v>
      </c>
      <c r="D287" t="str">
        <f t="shared" si="59"/>
        <v>Q3-2025</v>
      </c>
      <c r="E287" s="4">
        <v>45930</v>
      </c>
      <c r="F287" s="12">
        <f t="shared" si="56"/>
        <v>45930</v>
      </c>
      <c r="G287" s="13">
        <f t="shared" si="57"/>
        <v>20</v>
      </c>
      <c r="H287" t="s">
        <v>646</v>
      </c>
      <c r="I287" t="s">
        <v>650</v>
      </c>
      <c r="J287" t="s">
        <v>675</v>
      </c>
      <c r="K287" t="s">
        <v>701</v>
      </c>
      <c r="L287" t="s">
        <v>711</v>
      </c>
      <c r="M287" t="s">
        <v>716</v>
      </c>
      <c r="N287" t="s">
        <v>730</v>
      </c>
      <c r="O287" t="s">
        <v>828</v>
      </c>
      <c r="P287" s="6">
        <v>1009.48</v>
      </c>
      <c r="Q287" s="6">
        <v>1088.81</v>
      </c>
      <c r="R287" s="10">
        <v>0.16</v>
      </c>
      <c r="S287" s="10" t="b">
        <f t="shared" si="60"/>
        <v>0</v>
      </c>
      <c r="T287" s="8">
        <v>6</v>
      </c>
      <c r="U287">
        <f t="shared" si="61"/>
        <v>5487.6023999999998</v>
      </c>
      <c r="V287">
        <f t="shared" si="62"/>
        <v>6056.88</v>
      </c>
      <c r="W287">
        <f t="shared" si="63"/>
        <v>-569.27760000000035</v>
      </c>
      <c r="X287" s="10">
        <f t="shared" si="64"/>
        <v>-0.10373885688219693</v>
      </c>
      <c r="Y287" t="str">
        <f t="shared" si="65"/>
        <v>Medium</v>
      </c>
      <c r="Z287" t="str">
        <f t="shared" si="66"/>
        <v>Not Met</v>
      </c>
      <c r="AA287" t="str">
        <f t="shared" si="67"/>
        <v>Low Discount</v>
      </c>
      <c r="AB287" s="10">
        <f>MIN(R287,ControlPanel!$B$5)</f>
        <v>0.16</v>
      </c>
      <c r="AC287">
        <f>P287*(1+ControlPanel!$B$6)</f>
        <v>1059.954</v>
      </c>
      <c r="AD287">
        <f>T287*(1+ControlPanel!$B$7)</f>
        <v>6.6000000000000005</v>
      </c>
      <c r="AE287" s="6">
        <f t="shared" si="68"/>
        <v>6036.3626400000003</v>
      </c>
      <c r="AF287">
        <f t="shared" si="69"/>
        <v>-959.33375999999953</v>
      </c>
    </row>
    <row r="288" spans="1:32" x14ac:dyDescent="0.3">
      <c r="A288" t="s">
        <v>365</v>
      </c>
      <c r="B288" s="4">
        <v>45262</v>
      </c>
      <c r="C288" s="4" t="str">
        <f t="shared" si="58"/>
        <v>Dec-2023</v>
      </c>
      <c r="D288" t="str">
        <f t="shared" si="59"/>
        <v>Q4-2023</v>
      </c>
      <c r="E288" s="4">
        <v>45276</v>
      </c>
      <c r="F288" s="12">
        <f t="shared" si="56"/>
        <v>45276</v>
      </c>
      <c r="G288" s="13">
        <f t="shared" si="57"/>
        <v>14</v>
      </c>
      <c r="H288" t="s">
        <v>649</v>
      </c>
      <c r="I288" t="s">
        <v>656</v>
      </c>
      <c r="J288" t="s">
        <v>698</v>
      </c>
      <c r="K288" t="s">
        <v>702</v>
      </c>
      <c r="L288" t="s">
        <v>711</v>
      </c>
      <c r="M288" t="s">
        <v>725</v>
      </c>
      <c r="N288" t="s">
        <v>732</v>
      </c>
      <c r="O288" t="s">
        <v>1085</v>
      </c>
      <c r="P288" s="6">
        <v>879.08</v>
      </c>
      <c r="Q288" s="6">
        <v>1093.3900000000001</v>
      </c>
      <c r="R288" s="10">
        <v>0.113</v>
      </c>
      <c r="S288" s="10" t="b">
        <f t="shared" si="60"/>
        <v>0</v>
      </c>
      <c r="T288" s="8">
        <v>17</v>
      </c>
      <c r="U288">
        <f t="shared" si="61"/>
        <v>16487.22781</v>
      </c>
      <c r="V288">
        <f t="shared" si="62"/>
        <v>14944.36</v>
      </c>
      <c r="W288">
        <f t="shared" si="63"/>
        <v>1542.8678099999997</v>
      </c>
      <c r="X288" s="10">
        <f t="shared" si="64"/>
        <v>9.3579577341935186E-2</v>
      </c>
      <c r="Y288" t="str">
        <f t="shared" si="65"/>
        <v>Medium</v>
      </c>
      <c r="Z288" t="str">
        <f t="shared" si="66"/>
        <v>Not Met</v>
      </c>
      <c r="AA288" t="str">
        <f t="shared" si="67"/>
        <v>Low Discount</v>
      </c>
      <c r="AB288" s="10">
        <f>MIN(R288,ControlPanel!$B$5)</f>
        <v>0.113</v>
      </c>
      <c r="AC288">
        <f>P288*(1+ControlPanel!$B$6)</f>
        <v>923.03400000000011</v>
      </c>
      <c r="AD288">
        <f>T288*(1+ControlPanel!$B$7)</f>
        <v>18.700000000000003</v>
      </c>
      <c r="AE288" s="6">
        <f t="shared" si="68"/>
        <v>18135.950591000004</v>
      </c>
      <c r="AF288">
        <f t="shared" si="69"/>
        <v>875.21479099999851</v>
      </c>
    </row>
    <row r="289" spans="1:32" x14ac:dyDescent="0.3">
      <c r="A289" t="s">
        <v>297</v>
      </c>
      <c r="B289" s="4">
        <v>45794</v>
      </c>
      <c r="C289" s="4" t="str">
        <f t="shared" si="58"/>
        <v>May-2025</v>
      </c>
      <c r="D289" t="str">
        <f t="shared" si="59"/>
        <v>Q2-2025</v>
      </c>
      <c r="E289" s="4">
        <v>45805</v>
      </c>
      <c r="F289" s="12">
        <f t="shared" si="56"/>
        <v>45805</v>
      </c>
      <c r="G289" s="13">
        <f t="shared" si="57"/>
        <v>11</v>
      </c>
      <c r="H289" t="s">
        <v>647</v>
      </c>
      <c r="I289" t="s">
        <v>654</v>
      </c>
      <c r="J289" t="s">
        <v>668</v>
      </c>
      <c r="K289" t="s">
        <v>701</v>
      </c>
      <c r="L289" t="s">
        <v>710</v>
      </c>
      <c r="M289" t="s">
        <v>717</v>
      </c>
      <c r="N289" t="s">
        <v>731</v>
      </c>
      <c r="O289" t="s">
        <v>1017</v>
      </c>
      <c r="P289" s="6">
        <v>623.4</v>
      </c>
      <c r="Q289" s="6">
        <v>1100.0899999999999</v>
      </c>
      <c r="R289" s="10">
        <v>0.114</v>
      </c>
      <c r="S289" s="10" t="b">
        <f t="shared" si="60"/>
        <v>0</v>
      </c>
      <c r="T289" s="8">
        <v>12</v>
      </c>
      <c r="U289">
        <f t="shared" si="61"/>
        <v>11696.156879999999</v>
      </c>
      <c r="V289">
        <f t="shared" si="62"/>
        <v>7480.7999999999993</v>
      </c>
      <c r="W289">
        <f t="shared" si="63"/>
        <v>4215.3568799999994</v>
      </c>
      <c r="X289" s="10">
        <f t="shared" si="64"/>
        <v>0.36040529579490388</v>
      </c>
      <c r="Y289" t="str">
        <f t="shared" si="65"/>
        <v>Medium</v>
      </c>
      <c r="Z289" t="str">
        <f t="shared" si="66"/>
        <v>Not Met</v>
      </c>
      <c r="AA289" t="str">
        <f t="shared" si="67"/>
        <v>Low Discount</v>
      </c>
      <c r="AB289" s="10">
        <f>MIN(R289,ControlPanel!$B$5)</f>
        <v>0.114</v>
      </c>
      <c r="AC289">
        <f>P289*(1+ControlPanel!$B$6)</f>
        <v>654.57000000000005</v>
      </c>
      <c r="AD289">
        <f>T289*(1+ControlPanel!$B$7)</f>
        <v>13.200000000000001</v>
      </c>
      <c r="AE289" s="6">
        <f t="shared" si="68"/>
        <v>12865.772568</v>
      </c>
      <c r="AF289">
        <f t="shared" si="69"/>
        <v>4225.4485679999998</v>
      </c>
    </row>
    <row r="290" spans="1:32" x14ac:dyDescent="0.3">
      <c r="A290" t="s">
        <v>563</v>
      </c>
      <c r="B290" s="4">
        <v>45486</v>
      </c>
      <c r="C290" s="4" t="str">
        <f t="shared" si="58"/>
        <v>Jul-2024</v>
      </c>
      <c r="D290" t="str">
        <f t="shared" si="59"/>
        <v>Q3-2024</v>
      </c>
      <c r="E290" s="4">
        <v>45507</v>
      </c>
      <c r="F290" s="12">
        <f t="shared" si="56"/>
        <v>45507</v>
      </c>
      <c r="G290" s="13">
        <f t="shared" si="57"/>
        <v>21</v>
      </c>
      <c r="H290" t="s">
        <v>648</v>
      </c>
      <c r="I290" t="s">
        <v>655</v>
      </c>
      <c r="J290" t="s">
        <v>692</v>
      </c>
      <c r="K290" t="s">
        <v>701</v>
      </c>
      <c r="L290" t="s">
        <v>709</v>
      </c>
      <c r="M290" t="s">
        <v>724</v>
      </c>
      <c r="N290" t="s">
        <v>732</v>
      </c>
      <c r="O290" t="s">
        <v>1281</v>
      </c>
      <c r="P290" s="6">
        <v>702.98</v>
      </c>
      <c r="Q290" s="6">
        <v>1104.8</v>
      </c>
      <c r="R290" s="10">
        <v>0.17499999999999999</v>
      </c>
      <c r="S290" s="10" t="b">
        <f t="shared" si="60"/>
        <v>0</v>
      </c>
      <c r="T290" s="8">
        <v>12</v>
      </c>
      <c r="U290">
        <f t="shared" si="61"/>
        <v>10937.519999999999</v>
      </c>
      <c r="V290">
        <f t="shared" si="62"/>
        <v>8435.76</v>
      </c>
      <c r="W290">
        <f t="shared" si="63"/>
        <v>2501.7599999999984</v>
      </c>
      <c r="X290" s="10">
        <f t="shared" si="64"/>
        <v>0.22873192460448061</v>
      </c>
      <c r="Y290" t="str">
        <f t="shared" si="65"/>
        <v>Medium</v>
      </c>
      <c r="Z290" t="str">
        <f t="shared" si="66"/>
        <v>Not Met</v>
      </c>
      <c r="AA290" t="str">
        <f t="shared" si="67"/>
        <v>Low Discount</v>
      </c>
      <c r="AB290" s="10">
        <f>MIN(R290,ControlPanel!$B$5)</f>
        <v>0.17499999999999999</v>
      </c>
      <c r="AC290">
        <f>P290*(1+ControlPanel!$B$6)</f>
        <v>738.12900000000002</v>
      </c>
      <c r="AD290">
        <f>T290*(1+ControlPanel!$B$7)</f>
        <v>13.200000000000001</v>
      </c>
      <c r="AE290" s="6">
        <f t="shared" si="68"/>
        <v>12031.272000000001</v>
      </c>
      <c r="AF290">
        <f t="shared" si="69"/>
        <v>2287.9691999999995</v>
      </c>
    </row>
    <row r="291" spans="1:32" x14ac:dyDescent="0.3">
      <c r="A291" t="s">
        <v>90</v>
      </c>
      <c r="B291" s="4">
        <v>45187</v>
      </c>
      <c r="C291" s="4" t="str">
        <f t="shared" si="58"/>
        <v>Sep-2023</v>
      </c>
      <c r="D291" t="str">
        <f t="shared" si="59"/>
        <v>Q3-2023</v>
      </c>
      <c r="E291" s="4">
        <v>45207</v>
      </c>
      <c r="F291" s="12">
        <f t="shared" si="56"/>
        <v>45207</v>
      </c>
      <c r="G291" s="13">
        <f t="shared" si="57"/>
        <v>20</v>
      </c>
      <c r="H291" t="s">
        <v>647</v>
      </c>
      <c r="I291" t="s">
        <v>654</v>
      </c>
      <c r="J291" t="s">
        <v>680</v>
      </c>
      <c r="K291" t="s">
        <v>705</v>
      </c>
      <c r="L291" t="s">
        <v>711</v>
      </c>
      <c r="M291" t="s">
        <v>717</v>
      </c>
      <c r="N291" t="s">
        <v>727</v>
      </c>
      <c r="O291" t="s">
        <v>809</v>
      </c>
      <c r="P291" s="6">
        <v>825.64</v>
      </c>
      <c r="Q291" s="6">
        <v>1108.43</v>
      </c>
      <c r="R291" s="10">
        <v>0.114</v>
      </c>
      <c r="S291" s="10" t="b">
        <f t="shared" si="60"/>
        <v>0</v>
      </c>
      <c r="T291" s="8">
        <v>7</v>
      </c>
      <c r="U291">
        <f t="shared" si="61"/>
        <v>6874.4828600000001</v>
      </c>
      <c r="V291">
        <f t="shared" si="62"/>
        <v>5779.48</v>
      </c>
      <c r="W291">
        <f t="shared" si="63"/>
        <v>1095.0028600000005</v>
      </c>
      <c r="X291" s="10">
        <f t="shared" si="64"/>
        <v>0.15928512475773349</v>
      </c>
      <c r="Y291" t="str">
        <f t="shared" si="65"/>
        <v>Medium</v>
      </c>
      <c r="Z291" t="str">
        <f t="shared" si="66"/>
        <v>Not Met</v>
      </c>
      <c r="AA291" t="str">
        <f t="shared" si="67"/>
        <v>Low Discount</v>
      </c>
      <c r="AB291" s="10">
        <f>MIN(R291,ControlPanel!$B$5)</f>
        <v>0.114</v>
      </c>
      <c r="AC291">
        <f>P291*(1+ControlPanel!$B$6)</f>
        <v>866.92200000000003</v>
      </c>
      <c r="AD291">
        <f>T291*(1+ControlPanel!$B$7)</f>
        <v>7.7000000000000011</v>
      </c>
      <c r="AE291" s="6">
        <f t="shared" si="68"/>
        <v>7561.9311460000008</v>
      </c>
      <c r="AF291">
        <f t="shared" si="69"/>
        <v>886.63174600000002</v>
      </c>
    </row>
    <row r="292" spans="1:32" x14ac:dyDescent="0.3">
      <c r="A292" t="s">
        <v>103</v>
      </c>
      <c r="B292" s="4">
        <v>45312</v>
      </c>
      <c r="C292" s="4" t="str">
        <f t="shared" si="58"/>
        <v>Jan-2024</v>
      </c>
      <c r="D292" t="str">
        <f t="shared" si="59"/>
        <v>Q1-2024</v>
      </c>
      <c r="E292" s="4">
        <v>45316</v>
      </c>
      <c r="F292" s="12">
        <f t="shared" si="56"/>
        <v>45316</v>
      </c>
      <c r="G292" s="13">
        <f t="shared" si="57"/>
        <v>4</v>
      </c>
      <c r="H292" t="s">
        <v>647</v>
      </c>
      <c r="I292" t="s">
        <v>654</v>
      </c>
      <c r="J292" t="s">
        <v>680</v>
      </c>
      <c r="K292" t="s">
        <v>704</v>
      </c>
      <c r="L292" t="s">
        <v>711</v>
      </c>
      <c r="M292" t="s">
        <v>712</v>
      </c>
      <c r="N292" t="s">
        <v>732</v>
      </c>
      <c r="O292" t="s">
        <v>822</v>
      </c>
      <c r="P292" s="6">
        <v>523.70000000000005</v>
      </c>
      <c r="Q292" s="6">
        <v>1109.92</v>
      </c>
      <c r="R292" s="10">
        <v>0.03</v>
      </c>
      <c r="S292" s="10" t="b">
        <f t="shared" si="60"/>
        <v>0</v>
      </c>
      <c r="T292" s="8">
        <v>11</v>
      </c>
      <c r="U292">
        <f t="shared" si="61"/>
        <v>11842.8464</v>
      </c>
      <c r="V292">
        <f t="shared" si="62"/>
        <v>5760.7000000000007</v>
      </c>
      <c r="W292">
        <f t="shared" si="63"/>
        <v>6082.1463999999996</v>
      </c>
      <c r="X292" s="10">
        <f t="shared" si="64"/>
        <v>0.51357133197302973</v>
      </c>
      <c r="Y292" t="str">
        <f t="shared" si="65"/>
        <v>Medium</v>
      </c>
      <c r="Z292" t="str">
        <f t="shared" si="66"/>
        <v>Met</v>
      </c>
      <c r="AA292" t="str">
        <f t="shared" si="67"/>
        <v>Low Discount</v>
      </c>
      <c r="AB292" s="10">
        <f>MIN(R292,ControlPanel!$B$5)</f>
        <v>0.03</v>
      </c>
      <c r="AC292">
        <f>P292*(1+ControlPanel!$B$6)</f>
        <v>549.8850000000001</v>
      </c>
      <c r="AD292">
        <f>T292*(1+ControlPanel!$B$7)</f>
        <v>12.100000000000001</v>
      </c>
      <c r="AE292" s="6">
        <f t="shared" si="68"/>
        <v>13027.131040000002</v>
      </c>
      <c r="AF292">
        <f t="shared" si="69"/>
        <v>6373.5225399999999</v>
      </c>
    </row>
    <row r="293" spans="1:32" x14ac:dyDescent="0.3">
      <c r="A293" t="s">
        <v>592</v>
      </c>
      <c r="B293" s="4">
        <v>45092</v>
      </c>
      <c r="C293" s="4" t="str">
        <f t="shared" si="58"/>
        <v>Jun-2023</v>
      </c>
      <c r="D293" t="str">
        <f t="shared" si="59"/>
        <v>Q2-2023</v>
      </c>
      <c r="E293" s="4">
        <v>45119</v>
      </c>
      <c r="F293" s="12">
        <f t="shared" si="56"/>
        <v>45119</v>
      </c>
      <c r="G293" s="13">
        <f t="shared" si="57"/>
        <v>27</v>
      </c>
      <c r="H293" t="s">
        <v>649</v>
      </c>
      <c r="I293" t="s">
        <v>658</v>
      </c>
      <c r="J293" t="s">
        <v>693</v>
      </c>
      <c r="K293" t="s">
        <v>704</v>
      </c>
      <c r="L293" t="s">
        <v>711</v>
      </c>
      <c r="M293" t="s">
        <v>714</v>
      </c>
      <c r="N293" t="s">
        <v>733</v>
      </c>
      <c r="O293" t="s">
        <v>1310</v>
      </c>
      <c r="P293" s="6">
        <v>751.28</v>
      </c>
      <c r="Q293" s="6">
        <v>1111.8800000000001</v>
      </c>
      <c r="R293" s="10">
        <v>0.13500000000000001</v>
      </c>
      <c r="S293" s="10" t="b">
        <f t="shared" si="60"/>
        <v>0</v>
      </c>
      <c r="T293" s="8">
        <v>7</v>
      </c>
      <c r="U293">
        <f t="shared" si="61"/>
        <v>6732.4334000000008</v>
      </c>
      <c r="V293">
        <f t="shared" si="62"/>
        <v>5258.96</v>
      </c>
      <c r="W293">
        <f t="shared" si="63"/>
        <v>1473.4734000000008</v>
      </c>
      <c r="X293" s="10">
        <f t="shared" si="64"/>
        <v>0.21886193482433863</v>
      </c>
      <c r="Y293" t="str">
        <f t="shared" si="65"/>
        <v>Medium</v>
      </c>
      <c r="Z293" t="str">
        <f t="shared" si="66"/>
        <v>Not Met</v>
      </c>
      <c r="AA293" t="str">
        <f t="shared" si="67"/>
        <v>Low Discount</v>
      </c>
      <c r="AB293" s="10">
        <f>MIN(R293,ControlPanel!$B$5)</f>
        <v>0.13500000000000001</v>
      </c>
      <c r="AC293">
        <f>P293*(1+ControlPanel!$B$6)</f>
        <v>788.84400000000005</v>
      </c>
      <c r="AD293">
        <f>T293*(1+ControlPanel!$B$7)</f>
        <v>7.7000000000000011</v>
      </c>
      <c r="AE293" s="6">
        <f t="shared" si="68"/>
        <v>7405.6767400000017</v>
      </c>
      <c r="AF293">
        <f t="shared" si="69"/>
        <v>1331.5779400000001</v>
      </c>
    </row>
    <row r="294" spans="1:32" x14ac:dyDescent="0.3">
      <c r="A294" t="s">
        <v>598</v>
      </c>
      <c r="B294" s="4">
        <v>45507</v>
      </c>
      <c r="C294" s="4" t="str">
        <f t="shared" si="58"/>
        <v>Aug-2024</v>
      </c>
      <c r="D294" t="str">
        <f t="shared" si="59"/>
        <v>Q3-2024</v>
      </c>
      <c r="E294" s="4">
        <v>45513</v>
      </c>
      <c r="F294" s="12">
        <f t="shared" si="56"/>
        <v>45513</v>
      </c>
      <c r="G294" s="13">
        <f t="shared" si="57"/>
        <v>6</v>
      </c>
      <c r="H294" t="s">
        <v>646</v>
      </c>
      <c r="I294" t="s">
        <v>650</v>
      </c>
      <c r="J294" t="s">
        <v>675</v>
      </c>
      <c r="K294" t="s">
        <v>704</v>
      </c>
      <c r="L294" t="s">
        <v>709</v>
      </c>
      <c r="M294" t="s">
        <v>722</v>
      </c>
      <c r="N294" t="s">
        <v>731</v>
      </c>
      <c r="O294" t="s">
        <v>1316</v>
      </c>
      <c r="P294" s="6">
        <v>643.21</v>
      </c>
      <c r="Q294" s="6">
        <v>1112.81</v>
      </c>
      <c r="R294" s="10">
        <v>0.14099999999999999</v>
      </c>
      <c r="S294" s="10" t="b">
        <f t="shared" si="60"/>
        <v>0</v>
      </c>
      <c r="T294" s="8">
        <v>4</v>
      </c>
      <c r="U294">
        <f t="shared" si="61"/>
        <v>3823.6151599999998</v>
      </c>
      <c r="V294">
        <f t="shared" si="62"/>
        <v>2572.84</v>
      </c>
      <c r="W294">
        <f t="shared" si="63"/>
        <v>1250.7751599999997</v>
      </c>
      <c r="X294" s="10">
        <f t="shared" si="64"/>
        <v>0.32711847496702562</v>
      </c>
      <c r="Y294" t="str">
        <f t="shared" si="65"/>
        <v>Medium</v>
      </c>
      <c r="Z294" t="str">
        <f t="shared" si="66"/>
        <v>Met</v>
      </c>
      <c r="AA294" t="str">
        <f t="shared" si="67"/>
        <v>Low Discount</v>
      </c>
      <c r="AB294" s="10">
        <f>MIN(R294,ControlPanel!$B$5)</f>
        <v>0.14099999999999999</v>
      </c>
      <c r="AC294">
        <f>P294*(1+ControlPanel!$B$6)</f>
        <v>675.37050000000011</v>
      </c>
      <c r="AD294">
        <f>T294*(1+ControlPanel!$B$7)</f>
        <v>4.4000000000000004</v>
      </c>
      <c r="AE294" s="6">
        <f t="shared" si="68"/>
        <v>4205.9766760000002</v>
      </c>
      <c r="AF294">
        <f t="shared" si="69"/>
        <v>1234.3464759999997</v>
      </c>
    </row>
    <row r="295" spans="1:32" x14ac:dyDescent="0.3">
      <c r="A295" t="s">
        <v>395</v>
      </c>
      <c r="B295" s="4">
        <v>45876</v>
      </c>
      <c r="C295" s="4" t="str">
        <f t="shared" si="58"/>
        <v>Aug-2025</v>
      </c>
      <c r="D295" t="str">
        <f t="shared" si="59"/>
        <v>Q3-2025</v>
      </c>
      <c r="E295" s="4">
        <v>45906</v>
      </c>
      <c r="F295" s="12">
        <f t="shared" si="56"/>
        <v>45906</v>
      </c>
      <c r="G295" s="13">
        <f t="shared" si="57"/>
        <v>30</v>
      </c>
      <c r="H295" t="s">
        <v>648</v>
      </c>
      <c r="I295" t="s">
        <v>653</v>
      </c>
      <c r="J295" t="s">
        <v>681</v>
      </c>
      <c r="K295" t="s">
        <v>702</v>
      </c>
      <c r="L295" t="s">
        <v>711</v>
      </c>
      <c r="M295" t="s">
        <v>724</v>
      </c>
      <c r="N295" t="s">
        <v>729</v>
      </c>
      <c r="O295" t="s">
        <v>1114</v>
      </c>
      <c r="P295" s="6">
        <v>833.73</v>
      </c>
      <c r="Q295" s="6">
        <v>1116.5999999999999</v>
      </c>
      <c r="R295" s="10">
        <v>0.17599999999999999</v>
      </c>
      <c r="S295" s="10" t="b">
        <f t="shared" si="60"/>
        <v>0</v>
      </c>
      <c r="T295" s="8">
        <v>14</v>
      </c>
      <c r="U295">
        <f t="shared" si="61"/>
        <v>12881.097599999999</v>
      </c>
      <c r="V295">
        <f t="shared" si="62"/>
        <v>11672.220000000001</v>
      </c>
      <c r="W295">
        <f t="shared" si="63"/>
        <v>1208.877599999998</v>
      </c>
      <c r="X295" s="10">
        <f t="shared" si="64"/>
        <v>9.3848958958279924E-2</v>
      </c>
      <c r="Y295" t="str">
        <f t="shared" si="65"/>
        <v>Medium</v>
      </c>
      <c r="Z295" t="str">
        <f t="shared" si="66"/>
        <v>Not Met</v>
      </c>
      <c r="AA295" t="str">
        <f t="shared" si="67"/>
        <v>Low Discount</v>
      </c>
      <c r="AB295" s="10">
        <f>MIN(R295,ControlPanel!$B$5)</f>
        <v>0.17599999999999999</v>
      </c>
      <c r="AC295">
        <f>P295*(1+ControlPanel!$B$6)</f>
        <v>875.41650000000004</v>
      </c>
      <c r="AD295">
        <f>T295*(1+ControlPanel!$B$7)</f>
        <v>15.400000000000002</v>
      </c>
      <c r="AE295" s="6">
        <f t="shared" si="68"/>
        <v>14169.207360000002</v>
      </c>
      <c r="AF295">
        <f t="shared" si="69"/>
        <v>687.79326000000037</v>
      </c>
    </row>
    <row r="296" spans="1:32" x14ac:dyDescent="0.3">
      <c r="A296" t="s">
        <v>377</v>
      </c>
      <c r="B296" s="4">
        <v>45360</v>
      </c>
      <c r="C296" s="4" t="str">
        <f t="shared" si="58"/>
        <v>Mar-2024</v>
      </c>
      <c r="D296" t="str">
        <f t="shared" si="59"/>
        <v>Q1-2024</v>
      </c>
      <c r="E296" s="4">
        <v>45377</v>
      </c>
      <c r="F296" s="12">
        <f t="shared" si="56"/>
        <v>45377</v>
      </c>
      <c r="G296" s="13">
        <f t="shared" si="57"/>
        <v>17</v>
      </c>
      <c r="H296" t="s">
        <v>647</v>
      </c>
      <c r="I296" t="s">
        <v>659</v>
      </c>
      <c r="J296" t="s">
        <v>676</v>
      </c>
      <c r="K296" t="s">
        <v>706</v>
      </c>
      <c r="L296" t="s">
        <v>708</v>
      </c>
      <c r="M296" t="s">
        <v>723</v>
      </c>
      <c r="N296" t="s">
        <v>732</v>
      </c>
      <c r="O296" t="s">
        <v>1097</v>
      </c>
      <c r="P296" s="6">
        <v>1029.67</v>
      </c>
      <c r="Q296" s="6">
        <v>1118.43</v>
      </c>
      <c r="R296" s="10">
        <v>0.27200000000000002</v>
      </c>
      <c r="S296" s="10" t="b">
        <f t="shared" si="60"/>
        <v>0</v>
      </c>
      <c r="T296" s="8">
        <v>9</v>
      </c>
      <c r="U296">
        <f t="shared" si="61"/>
        <v>7327.9533599999995</v>
      </c>
      <c r="V296">
        <f t="shared" si="62"/>
        <v>9267.0300000000007</v>
      </c>
      <c r="W296">
        <f t="shared" si="63"/>
        <v>-1939.0766400000011</v>
      </c>
      <c r="X296" s="10">
        <f t="shared" si="64"/>
        <v>-0.26461367106736078</v>
      </c>
      <c r="Y296" t="str">
        <f t="shared" si="65"/>
        <v>Medium</v>
      </c>
      <c r="Z296" t="str">
        <f t="shared" si="66"/>
        <v>Not Met</v>
      </c>
      <c r="AA296" t="str">
        <f t="shared" si="67"/>
        <v>High Discount</v>
      </c>
      <c r="AB296" s="10">
        <f>MIN(R296,ControlPanel!$B$5)</f>
        <v>0.2</v>
      </c>
      <c r="AC296">
        <f>P296*(1+ControlPanel!$B$6)</f>
        <v>1081.1535000000001</v>
      </c>
      <c r="AD296">
        <f>T296*(1+ControlPanel!$B$7)</f>
        <v>9.9</v>
      </c>
      <c r="AE296" s="6">
        <f t="shared" si="68"/>
        <v>8857.9656000000014</v>
      </c>
      <c r="AF296">
        <f t="shared" si="69"/>
        <v>-1845.4540500000003</v>
      </c>
    </row>
    <row r="297" spans="1:32" x14ac:dyDescent="0.3">
      <c r="A297" t="s">
        <v>415</v>
      </c>
      <c r="B297" s="4">
        <v>45516</v>
      </c>
      <c r="C297" s="4" t="str">
        <f t="shared" si="58"/>
        <v>Aug-2024</v>
      </c>
      <c r="D297" t="str">
        <f t="shared" si="59"/>
        <v>Q3-2024</v>
      </c>
      <c r="E297" s="4">
        <v>45519</v>
      </c>
      <c r="F297" s="12">
        <f t="shared" si="56"/>
        <v>45519</v>
      </c>
      <c r="G297" s="13">
        <f t="shared" si="57"/>
        <v>3</v>
      </c>
      <c r="H297" t="s">
        <v>648</v>
      </c>
      <c r="I297" t="s">
        <v>660</v>
      </c>
      <c r="J297" t="s">
        <v>677</v>
      </c>
      <c r="K297" t="s">
        <v>701</v>
      </c>
      <c r="L297" t="s">
        <v>709</v>
      </c>
      <c r="M297" t="s">
        <v>726</v>
      </c>
      <c r="N297" t="s">
        <v>728</v>
      </c>
      <c r="O297" t="s">
        <v>1134</v>
      </c>
      <c r="P297" s="6">
        <v>850.7</v>
      </c>
      <c r="Q297" s="6">
        <v>1118.56</v>
      </c>
      <c r="R297" s="10">
        <v>0.18</v>
      </c>
      <c r="S297" s="10" t="b">
        <f t="shared" si="60"/>
        <v>0</v>
      </c>
      <c r="T297" s="8">
        <v>19</v>
      </c>
      <c r="U297">
        <f t="shared" si="61"/>
        <v>17427.164799999999</v>
      </c>
      <c r="V297">
        <f t="shared" si="62"/>
        <v>16163.300000000001</v>
      </c>
      <c r="W297">
        <f t="shared" si="63"/>
        <v>1263.8647999999976</v>
      </c>
      <c r="X297" s="10">
        <f t="shared" si="64"/>
        <v>7.2522685962090494E-2</v>
      </c>
      <c r="Y297" t="str">
        <f t="shared" si="65"/>
        <v>Medium</v>
      </c>
      <c r="Z297" t="str">
        <f t="shared" si="66"/>
        <v>Met</v>
      </c>
      <c r="AA297" t="str">
        <f t="shared" si="67"/>
        <v>Low Discount</v>
      </c>
      <c r="AB297" s="10">
        <f>MIN(R297,ControlPanel!$B$5)</f>
        <v>0.18</v>
      </c>
      <c r="AC297">
        <f>P297*(1+ControlPanel!$B$6)</f>
        <v>893.23500000000013</v>
      </c>
      <c r="AD297">
        <f>T297*(1+ControlPanel!$B$7)</f>
        <v>20.900000000000002</v>
      </c>
      <c r="AE297" s="6">
        <f t="shared" si="68"/>
        <v>19169.881280000001</v>
      </c>
      <c r="AF297">
        <f t="shared" si="69"/>
        <v>501.26977999999508</v>
      </c>
    </row>
    <row r="298" spans="1:32" x14ac:dyDescent="0.3">
      <c r="A298" t="s">
        <v>599</v>
      </c>
      <c r="B298" s="4">
        <v>45764</v>
      </c>
      <c r="C298" s="4" t="str">
        <f t="shared" si="58"/>
        <v>Apr-2025</v>
      </c>
      <c r="D298" t="str">
        <f t="shared" si="59"/>
        <v>Q2-2025</v>
      </c>
      <c r="E298" s="4">
        <v>45764</v>
      </c>
      <c r="F298" s="12">
        <f t="shared" si="56"/>
        <v>45764</v>
      </c>
      <c r="G298" s="13">
        <f t="shared" si="57"/>
        <v>0</v>
      </c>
      <c r="H298" t="s">
        <v>648</v>
      </c>
      <c r="I298" t="s">
        <v>655</v>
      </c>
      <c r="J298" t="s">
        <v>670</v>
      </c>
      <c r="K298" t="s">
        <v>701</v>
      </c>
      <c r="L298" t="s">
        <v>710</v>
      </c>
      <c r="M298" t="s">
        <v>716</v>
      </c>
      <c r="N298" t="s">
        <v>730</v>
      </c>
      <c r="O298" t="s">
        <v>1317</v>
      </c>
      <c r="P298" s="6">
        <v>719.41</v>
      </c>
      <c r="Q298" s="6">
        <v>1125.99</v>
      </c>
      <c r="R298" s="10">
        <v>4.1000000000000002E-2</v>
      </c>
      <c r="S298" s="10" t="b">
        <f t="shared" si="60"/>
        <v>0</v>
      </c>
      <c r="T298" s="8">
        <v>21</v>
      </c>
      <c r="U298">
        <f t="shared" si="61"/>
        <v>22676.312609999997</v>
      </c>
      <c r="V298">
        <f t="shared" si="62"/>
        <v>15107.609999999999</v>
      </c>
      <c r="W298">
        <f t="shared" si="63"/>
        <v>7568.7026099999985</v>
      </c>
      <c r="X298" s="10">
        <f t="shared" si="64"/>
        <v>0.33377131194876392</v>
      </c>
      <c r="Y298" t="str">
        <f t="shared" si="65"/>
        <v>Medium</v>
      </c>
      <c r="Z298" t="str">
        <f t="shared" si="66"/>
        <v>Met</v>
      </c>
      <c r="AA298" t="str">
        <f t="shared" si="67"/>
        <v>Low Discount</v>
      </c>
      <c r="AB298" s="10">
        <f>MIN(R298,ControlPanel!$B$5)</f>
        <v>4.1000000000000002E-2</v>
      </c>
      <c r="AC298">
        <f>P298*(1+ControlPanel!$B$6)</f>
        <v>755.38049999999998</v>
      </c>
      <c r="AD298">
        <f>T298*(1+ControlPanel!$B$7)</f>
        <v>23.1</v>
      </c>
      <c r="AE298" s="6">
        <f t="shared" si="68"/>
        <v>24943.943870999999</v>
      </c>
      <c r="AF298">
        <f t="shared" si="69"/>
        <v>7494.6543209999982</v>
      </c>
    </row>
    <row r="299" spans="1:32" x14ac:dyDescent="0.3">
      <c r="A299" t="s">
        <v>58</v>
      </c>
      <c r="B299" s="4">
        <v>45806</v>
      </c>
      <c r="C299" s="4" t="str">
        <f t="shared" si="58"/>
        <v>May-2025</v>
      </c>
      <c r="D299" t="str">
        <f t="shared" si="59"/>
        <v>Q2-2025</v>
      </c>
      <c r="E299" s="4">
        <v>45828</v>
      </c>
      <c r="F299" s="12">
        <f t="shared" si="56"/>
        <v>45828</v>
      </c>
      <c r="G299" s="13">
        <f t="shared" si="57"/>
        <v>22</v>
      </c>
      <c r="H299" t="s">
        <v>649</v>
      </c>
      <c r="I299" t="s">
        <v>656</v>
      </c>
      <c r="J299" t="s">
        <v>671</v>
      </c>
      <c r="K299" t="s">
        <v>701</v>
      </c>
      <c r="L299" t="s">
        <v>711</v>
      </c>
      <c r="M299" t="s">
        <v>720</v>
      </c>
      <c r="N299" t="s">
        <v>728</v>
      </c>
      <c r="O299" t="s">
        <v>777</v>
      </c>
      <c r="P299" s="6">
        <v>483.47</v>
      </c>
      <c r="Q299" s="6">
        <v>1135.43</v>
      </c>
      <c r="R299" s="10">
        <v>0.14599999999999999</v>
      </c>
      <c r="S299" s="10" t="b">
        <f t="shared" si="60"/>
        <v>0</v>
      </c>
      <c r="T299" s="8">
        <v>11</v>
      </c>
      <c r="U299">
        <f t="shared" si="61"/>
        <v>10666.22942</v>
      </c>
      <c r="V299">
        <f t="shared" si="62"/>
        <v>5318.17</v>
      </c>
      <c r="W299">
        <f t="shared" si="63"/>
        <v>5348.0594199999996</v>
      </c>
      <c r="X299" s="10">
        <f t="shared" si="64"/>
        <v>0.50140112399719972</v>
      </c>
      <c r="Y299" t="str">
        <f t="shared" si="65"/>
        <v>Medium</v>
      </c>
      <c r="Z299" t="str">
        <f t="shared" si="66"/>
        <v>Not Met</v>
      </c>
      <c r="AA299" t="str">
        <f t="shared" si="67"/>
        <v>Low Discount</v>
      </c>
      <c r="AB299" s="10">
        <f>MIN(R299,ControlPanel!$B$5)</f>
        <v>0.14599999999999999</v>
      </c>
      <c r="AC299">
        <f>P299*(1+ControlPanel!$B$6)</f>
        <v>507.64350000000007</v>
      </c>
      <c r="AD299">
        <f>T299*(1+ControlPanel!$B$7)</f>
        <v>12.100000000000001</v>
      </c>
      <c r="AE299" s="6">
        <f t="shared" si="68"/>
        <v>11732.852362000001</v>
      </c>
      <c r="AF299">
        <f t="shared" si="69"/>
        <v>5590.3660119999995</v>
      </c>
    </row>
    <row r="300" spans="1:32" x14ac:dyDescent="0.3">
      <c r="A300" t="s">
        <v>558</v>
      </c>
      <c r="B300" s="4">
        <v>45108</v>
      </c>
      <c r="C300" s="4" t="str">
        <f t="shared" si="58"/>
        <v>Jul-2023</v>
      </c>
      <c r="D300" t="str">
        <f t="shared" si="59"/>
        <v>Q3-2023</v>
      </c>
      <c r="E300" s="4">
        <v>45115</v>
      </c>
      <c r="F300" s="12">
        <f t="shared" si="56"/>
        <v>45115</v>
      </c>
      <c r="G300" s="13">
        <f t="shared" si="57"/>
        <v>7</v>
      </c>
      <c r="H300" t="s">
        <v>649</v>
      </c>
      <c r="I300" t="s">
        <v>656</v>
      </c>
      <c r="J300" t="s">
        <v>698</v>
      </c>
      <c r="K300" t="s">
        <v>705</v>
      </c>
      <c r="L300" t="s">
        <v>710</v>
      </c>
      <c r="M300" t="s">
        <v>725</v>
      </c>
      <c r="N300" t="s">
        <v>731</v>
      </c>
      <c r="O300" t="s">
        <v>1276</v>
      </c>
      <c r="P300" s="6">
        <v>460.21</v>
      </c>
      <c r="Q300" s="6">
        <v>1139.1500000000001</v>
      </c>
      <c r="R300" s="10">
        <v>0.115</v>
      </c>
      <c r="S300" s="10" t="b">
        <f t="shared" si="60"/>
        <v>0</v>
      </c>
      <c r="T300" s="8">
        <v>14</v>
      </c>
      <c r="U300">
        <f t="shared" si="61"/>
        <v>14114.068500000001</v>
      </c>
      <c r="V300">
        <f t="shared" si="62"/>
        <v>6442.94</v>
      </c>
      <c r="W300">
        <f t="shared" si="63"/>
        <v>7671.1285000000016</v>
      </c>
      <c r="X300" s="10">
        <f t="shared" si="64"/>
        <v>0.54350937151821255</v>
      </c>
      <c r="Y300" t="str">
        <f t="shared" si="65"/>
        <v>Medium</v>
      </c>
      <c r="Z300" t="str">
        <f t="shared" si="66"/>
        <v>Met</v>
      </c>
      <c r="AA300" t="str">
        <f t="shared" si="67"/>
        <v>Low Discount</v>
      </c>
      <c r="AB300" s="10">
        <f>MIN(R300,ControlPanel!$B$5)</f>
        <v>0.115</v>
      </c>
      <c r="AC300">
        <f>P300*(1+ControlPanel!$B$6)</f>
        <v>483.22050000000002</v>
      </c>
      <c r="AD300">
        <f>T300*(1+ControlPanel!$B$7)</f>
        <v>15.400000000000002</v>
      </c>
      <c r="AE300" s="6">
        <f t="shared" si="68"/>
        <v>15525.475350000004</v>
      </c>
      <c r="AF300">
        <f t="shared" si="69"/>
        <v>8083.8796500000026</v>
      </c>
    </row>
    <row r="301" spans="1:32" x14ac:dyDescent="0.3">
      <c r="A301" t="s">
        <v>80</v>
      </c>
      <c r="B301" s="4">
        <v>45263</v>
      </c>
      <c r="C301" s="4" t="str">
        <f t="shared" si="58"/>
        <v>Dec-2023</v>
      </c>
      <c r="D301" t="str">
        <f t="shared" si="59"/>
        <v>Q4-2023</v>
      </c>
      <c r="E301" s="4">
        <v>45286</v>
      </c>
      <c r="F301" s="12">
        <f t="shared" si="56"/>
        <v>45286</v>
      </c>
      <c r="G301" s="13">
        <f t="shared" si="57"/>
        <v>23</v>
      </c>
      <c r="H301" t="s">
        <v>648</v>
      </c>
      <c r="I301" t="s">
        <v>655</v>
      </c>
      <c r="J301" t="s">
        <v>692</v>
      </c>
      <c r="K301" t="s">
        <v>702</v>
      </c>
      <c r="L301" t="s">
        <v>707</v>
      </c>
      <c r="M301" t="s">
        <v>719</v>
      </c>
      <c r="N301" t="s">
        <v>730</v>
      </c>
      <c r="O301" t="s">
        <v>799</v>
      </c>
      <c r="P301" s="6">
        <v>1303.1099999999999</v>
      </c>
      <c r="Q301" s="6">
        <v>1145.67</v>
      </c>
      <c r="R301" s="10">
        <v>0.184</v>
      </c>
      <c r="S301" s="10" t="b">
        <f t="shared" si="60"/>
        <v>0</v>
      </c>
      <c r="T301" s="8">
        <v>13</v>
      </c>
      <c r="U301">
        <f t="shared" si="61"/>
        <v>12153.267360000002</v>
      </c>
      <c r="V301">
        <f t="shared" si="62"/>
        <v>16940.43</v>
      </c>
      <c r="W301">
        <f t="shared" si="63"/>
        <v>-4787.1626399999986</v>
      </c>
      <c r="X301" s="10">
        <f t="shared" si="64"/>
        <v>-0.39389922875851208</v>
      </c>
      <c r="Y301" t="str">
        <f t="shared" si="65"/>
        <v>Medium</v>
      </c>
      <c r="Z301" t="str">
        <f t="shared" si="66"/>
        <v>Not Met</v>
      </c>
      <c r="AA301" t="str">
        <f t="shared" si="67"/>
        <v>Low Discount</v>
      </c>
      <c r="AB301" s="10">
        <f>MIN(R301,ControlPanel!$B$5)</f>
        <v>0.184</v>
      </c>
      <c r="AC301">
        <f>P301*(1+ControlPanel!$B$6)</f>
        <v>1368.2655</v>
      </c>
      <c r="AD301">
        <f>T301*(1+ControlPanel!$B$7)</f>
        <v>14.3</v>
      </c>
      <c r="AE301" s="6">
        <f t="shared" si="68"/>
        <v>13368.594096000003</v>
      </c>
      <c r="AF301">
        <f t="shared" si="69"/>
        <v>-6197.6025539999991</v>
      </c>
    </row>
    <row r="302" spans="1:32" x14ac:dyDescent="0.3">
      <c r="A302" t="s">
        <v>512</v>
      </c>
      <c r="B302" s="4">
        <v>45224</v>
      </c>
      <c r="C302" s="4" t="str">
        <f t="shared" si="58"/>
        <v>Oct-2023</v>
      </c>
      <c r="D302" t="str">
        <f t="shared" si="59"/>
        <v>Q4-2023</v>
      </c>
      <c r="E302" s="4">
        <v>45227</v>
      </c>
      <c r="F302" s="12">
        <f t="shared" si="56"/>
        <v>45227</v>
      </c>
      <c r="G302" s="13">
        <f t="shared" si="57"/>
        <v>3</v>
      </c>
      <c r="H302" t="s">
        <v>648</v>
      </c>
      <c r="I302" t="s">
        <v>655</v>
      </c>
      <c r="J302" t="s">
        <v>672</v>
      </c>
      <c r="K302" t="s">
        <v>701</v>
      </c>
      <c r="L302" t="s">
        <v>710</v>
      </c>
      <c r="M302" t="s">
        <v>716</v>
      </c>
      <c r="N302" t="s">
        <v>733</v>
      </c>
      <c r="O302" t="s">
        <v>1231</v>
      </c>
      <c r="P302" s="6">
        <v>509.31</v>
      </c>
      <c r="Q302" s="6">
        <v>1145.9000000000001</v>
      </c>
      <c r="R302" s="10">
        <v>5.7000000000000002E-2</v>
      </c>
      <c r="S302" s="10" t="b">
        <f t="shared" si="60"/>
        <v>0</v>
      </c>
      <c r="T302" s="8">
        <v>8</v>
      </c>
      <c r="U302">
        <f t="shared" si="61"/>
        <v>8644.6696000000011</v>
      </c>
      <c r="V302">
        <f t="shared" si="62"/>
        <v>4074.48</v>
      </c>
      <c r="W302">
        <f t="shared" si="63"/>
        <v>4570.1896000000015</v>
      </c>
      <c r="X302" s="10">
        <f t="shared" si="64"/>
        <v>0.52867140231709964</v>
      </c>
      <c r="Y302" t="str">
        <f t="shared" si="65"/>
        <v>Medium</v>
      </c>
      <c r="Z302" t="str">
        <f t="shared" si="66"/>
        <v>Met</v>
      </c>
      <c r="AA302" t="str">
        <f t="shared" si="67"/>
        <v>Low Discount</v>
      </c>
      <c r="AB302" s="10">
        <f>MIN(R302,ControlPanel!$B$5)</f>
        <v>5.7000000000000002E-2</v>
      </c>
      <c r="AC302">
        <f>P302*(1+ControlPanel!$B$6)</f>
        <v>534.77550000000008</v>
      </c>
      <c r="AD302">
        <f>T302*(1+ControlPanel!$B$7)</f>
        <v>8.8000000000000007</v>
      </c>
      <c r="AE302" s="6">
        <f t="shared" si="68"/>
        <v>9509.1365600000026</v>
      </c>
      <c r="AF302">
        <f t="shared" si="69"/>
        <v>4803.1121600000015</v>
      </c>
    </row>
    <row r="303" spans="1:32" x14ac:dyDescent="0.3">
      <c r="A303" t="s">
        <v>347</v>
      </c>
      <c r="B303" s="4">
        <v>45245</v>
      </c>
      <c r="C303" s="4" t="str">
        <f t="shared" si="58"/>
        <v>Nov-2023</v>
      </c>
      <c r="D303" t="str">
        <f t="shared" si="59"/>
        <v>Q4-2023</v>
      </c>
      <c r="E303" s="4">
        <v>45266</v>
      </c>
      <c r="F303" s="12">
        <f t="shared" si="56"/>
        <v>45266</v>
      </c>
      <c r="G303" s="13">
        <f t="shared" si="57"/>
        <v>21</v>
      </c>
      <c r="H303" t="s">
        <v>649</v>
      </c>
      <c r="I303" t="s">
        <v>658</v>
      </c>
      <c r="J303" t="s">
        <v>693</v>
      </c>
      <c r="K303" t="s">
        <v>702</v>
      </c>
      <c r="L303" t="s">
        <v>711</v>
      </c>
      <c r="M303" t="s">
        <v>722</v>
      </c>
      <c r="N303" t="s">
        <v>733</v>
      </c>
      <c r="O303" t="s">
        <v>1067</v>
      </c>
      <c r="P303" s="6">
        <v>1184.99</v>
      </c>
      <c r="Q303" s="6">
        <v>1154.3399999999999</v>
      </c>
      <c r="R303" s="10">
        <v>2.8000000000000001E-2</v>
      </c>
      <c r="S303" s="10" t="b">
        <f t="shared" si="60"/>
        <v>0</v>
      </c>
      <c r="T303" s="8">
        <v>5</v>
      </c>
      <c r="U303">
        <f t="shared" si="61"/>
        <v>5610.0923999999995</v>
      </c>
      <c r="V303">
        <f t="shared" si="62"/>
        <v>5924.95</v>
      </c>
      <c r="W303">
        <f t="shared" si="63"/>
        <v>-314.85760000000028</v>
      </c>
      <c r="X303" s="10">
        <f t="shared" si="64"/>
        <v>-5.6123424990290764E-2</v>
      </c>
      <c r="Y303" t="str">
        <f t="shared" si="65"/>
        <v>Medium</v>
      </c>
      <c r="Z303" t="str">
        <f t="shared" si="66"/>
        <v>Not Met</v>
      </c>
      <c r="AA303" t="str">
        <f t="shared" si="67"/>
        <v>Low Discount</v>
      </c>
      <c r="AB303" s="10">
        <f>MIN(R303,ControlPanel!$B$5)</f>
        <v>2.8000000000000001E-2</v>
      </c>
      <c r="AC303">
        <f>P303*(1+ControlPanel!$B$6)</f>
        <v>1244.2395000000001</v>
      </c>
      <c r="AD303">
        <f>T303*(1+ControlPanel!$B$7)</f>
        <v>5.5</v>
      </c>
      <c r="AE303" s="6">
        <f t="shared" si="68"/>
        <v>6171.1016399999999</v>
      </c>
      <c r="AF303">
        <f t="shared" si="69"/>
        <v>-672.21561000000111</v>
      </c>
    </row>
    <row r="304" spans="1:32" x14ac:dyDescent="0.3">
      <c r="A304" t="s">
        <v>426</v>
      </c>
      <c r="B304" s="4">
        <v>45002</v>
      </c>
      <c r="C304" s="4" t="str">
        <f t="shared" si="58"/>
        <v>Mar-2023</v>
      </c>
      <c r="D304" t="str">
        <f t="shared" si="59"/>
        <v>Q1-2023</v>
      </c>
      <c r="E304" s="4">
        <v>45022</v>
      </c>
      <c r="F304" s="12">
        <f t="shared" si="56"/>
        <v>45022</v>
      </c>
      <c r="G304" s="13">
        <f t="shared" si="57"/>
        <v>20</v>
      </c>
      <c r="H304" t="s">
        <v>649</v>
      </c>
      <c r="I304" t="s">
        <v>656</v>
      </c>
      <c r="J304" t="s">
        <v>684</v>
      </c>
      <c r="K304" t="s">
        <v>704</v>
      </c>
      <c r="L304" t="s">
        <v>707</v>
      </c>
      <c r="M304" t="s">
        <v>719</v>
      </c>
      <c r="N304" t="s">
        <v>730</v>
      </c>
      <c r="O304" t="s">
        <v>1145</v>
      </c>
      <c r="P304" s="6">
        <v>692.18</v>
      </c>
      <c r="Q304" s="6">
        <v>1159.3499999999999</v>
      </c>
      <c r="R304" s="10">
        <v>0.112</v>
      </c>
      <c r="S304" s="10" t="b">
        <f t="shared" si="60"/>
        <v>0</v>
      </c>
      <c r="T304" s="8">
        <v>2</v>
      </c>
      <c r="U304">
        <f t="shared" si="61"/>
        <v>2059.0056</v>
      </c>
      <c r="V304">
        <f t="shared" si="62"/>
        <v>1384.36</v>
      </c>
      <c r="W304">
        <f t="shared" si="63"/>
        <v>674.64560000000006</v>
      </c>
      <c r="X304" s="10">
        <f t="shared" si="64"/>
        <v>0.32765602968734037</v>
      </c>
      <c r="Y304" t="str">
        <f t="shared" si="65"/>
        <v>Medium</v>
      </c>
      <c r="Z304" t="str">
        <f t="shared" si="66"/>
        <v>Not Met</v>
      </c>
      <c r="AA304" t="str">
        <f t="shared" si="67"/>
        <v>Low Discount</v>
      </c>
      <c r="AB304" s="10">
        <f>MIN(R304,ControlPanel!$B$5)</f>
        <v>0.112</v>
      </c>
      <c r="AC304">
        <f>P304*(1+ControlPanel!$B$6)</f>
        <v>726.78899999999999</v>
      </c>
      <c r="AD304">
        <f>T304*(1+ControlPanel!$B$7)</f>
        <v>2.2000000000000002</v>
      </c>
      <c r="AE304" s="6">
        <f t="shared" si="68"/>
        <v>2264.90616</v>
      </c>
      <c r="AF304">
        <f t="shared" si="69"/>
        <v>665.9703599999998</v>
      </c>
    </row>
    <row r="305" spans="1:32" x14ac:dyDescent="0.3">
      <c r="A305" t="s">
        <v>331</v>
      </c>
      <c r="B305" s="4">
        <v>45244</v>
      </c>
      <c r="C305" s="4" t="str">
        <f t="shared" si="58"/>
        <v>Nov-2023</v>
      </c>
      <c r="D305" t="str">
        <f t="shared" si="59"/>
        <v>Q4-2023</v>
      </c>
      <c r="E305" s="4">
        <v>45260</v>
      </c>
      <c r="F305" s="12">
        <f t="shared" si="56"/>
        <v>45260</v>
      </c>
      <c r="G305" s="13">
        <f t="shared" si="57"/>
        <v>16</v>
      </c>
      <c r="H305" t="s">
        <v>648</v>
      </c>
      <c r="I305" t="s">
        <v>655</v>
      </c>
      <c r="J305" t="s">
        <v>670</v>
      </c>
      <c r="K305" t="s">
        <v>706</v>
      </c>
      <c r="L305" t="s">
        <v>711</v>
      </c>
      <c r="M305" t="s">
        <v>723</v>
      </c>
      <c r="N305" t="s">
        <v>729</v>
      </c>
      <c r="O305" t="s">
        <v>1051</v>
      </c>
      <c r="P305" s="6">
        <v>1017.92</v>
      </c>
      <c r="Q305" s="6">
        <v>1175.25</v>
      </c>
      <c r="R305" s="10">
        <v>7.4999999999999997E-2</v>
      </c>
      <c r="S305" s="10" t="b">
        <f t="shared" si="60"/>
        <v>0</v>
      </c>
      <c r="T305" s="8">
        <v>15</v>
      </c>
      <c r="U305">
        <f t="shared" si="61"/>
        <v>16306.59375</v>
      </c>
      <c r="V305">
        <f t="shared" si="62"/>
        <v>15268.8</v>
      </c>
      <c r="W305">
        <f t="shared" si="63"/>
        <v>1037.7937500000007</v>
      </c>
      <c r="X305" s="10">
        <f t="shared" si="64"/>
        <v>6.3642583234159542E-2</v>
      </c>
      <c r="Y305" t="str">
        <f t="shared" si="65"/>
        <v>Medium</v>
      </c>
      <c r="Z305" t="str">
        <f t="shared" si="66"/>
        <v>Not Met</v>
      </c>
      <c r="AA305" t="str">
        <f t="shared" si="67"/>
        <v>Low Discount</v>
      </c>
      <c r="AB305" s="10">
        <f>MIN(R305,ControlPanel!$B$5)</f>
        <v>7.4999999999999997E-2</v>
      </c>
      <c r="AC305">
        <f>P305*(1+ControlPanel!$B$6)</f>
        <v>1068.816</v>
      </c>
      <c r="AD305">
        <f>T305*(1+ControlPanel!$B$7)</f>
        <v>16.5</v>
      </c>
      <c r="AE305" s="6">
        <f t="shared" si="68"/>
        <v>17937.253124999999</v>
      </c>
      <c r="AF305">
        <f t="shared" si="69"/>
        <v>301.78912499999933</v>
      </c>
    </row>
    <row r="306" spans="1:32" x14ac:dyDescent="0.3">
      <c r="A306" t="s">
        <v>333</v>
      </c>
      <c r="B306" s="4">
        <v>45008</v>
      </c>
      <c r="C306" s="4" t="str">
        <f t="shared" si="58"/>
        <v>Mar-2023</v>
      </c>
      <c r="D306" t="str">
        <f t="shared" si="59"/>
        <v>Q1-2023</v>
      </c>
      <c r="E306" s="4">
        <v>45031</v>
      </c>
      <c r="F306" s="12">
        <f t="shared" si="56"/>
        <v>45031</v>
      </c>
      <c r="G306" s="13">
        <f t="shared" si="57"/>
        <v>23</v>
      </c>
      <c r="H306" t="s">
        <v>646</v>
      </c>
      <c r="I306" t="s">
        <v>650</v>
      </c>
      <c r="J306" t="s">
        <v>675</v>
      </c>
      <c r="K306" t="s">
        <v>705</v>
      </c>
      <c r="L306" t="s">
        <v>707</v>
      </c>
      <c r="M306" t="s">
        <v>712</v>
      </c>
      <c r="N306" t="s">
        <v>733</v>
      </c>
      <c r="O306" t="s">
        <v>1053</v>
      </c>
      <c r="P306" s="6">
        <v>875.36</v>
      </c>
      <c r="Q306" s="6">
        <v>1178.6199999999999</v>
      </c>
      <c r="R306" s="10">
        <v>0.151</v>
      </c>
      <c r="S306" s="10" t="b">
        <f t="shared" si="60"/>
        <v>0</v>
      </c>
      <c r="T306" s="8">
        <v>53</v>
      </c>
      <c r="U306">
        <f t="shared" si="61"/>
        <v>53034.364139999991</v>
      </c>
      <c r="V306">
        <f t="shared" si="62"/>
        <v>46394.080000000002</v>
      </c>
      <c r="W306">
        <f t="shared" si="63"/>
        <v>6640.2841399999888</v>
      </c>
      <c r="X306" s="10">
        <f t="shared" si="64"/>
        <v>0.12520719815685888</v>
      </c>
      <c r="Y306" t="str">
        <f t="shared" si="65"/>
        <v>Medium</v>
      </c>
      <c r="Z306" t="str">
        <f t="shared" si="66"/>
        <v>Not Met</v>
      </c>
      <c r="AA306" t="str">
        <f t="shared" si="67"/>
        <v>Low Discount</v>
      </c>
      <c r="AB306" s="10">
        <f>MIN(R306,ControlPanel!$B$5)</f>
        <v>0.151</v>
      </c>
      <c r="AC306">
        <f>P306*(1+ControlPanel!$B$6)</f>
        <v>919.12800000000004</v>
      </c>
      <c r="AD306">
        <f>T306*(1+ControlPanel!$B$7)</f>
        <v>58.300000000000004</v>
      </c>
      <c r="AE306" s="6">
        <f t="shared" si="68"/>
        <v>58337.800553999994</v>
      </c>
      <c r="AF306">
        <f t="shared" si="69"/>
        <v>4752.6381539999857</v>
      </c>
    </row>
    <row r="307" spans="1:32" x14ac:dyDescent="0.3">
      <c r="A307" t="s">
        <v>416</v>
      </c>
      <c r="B307" s="4">
        <v>45601</v>
      </c>
      <c r="C307" s="4" t="str">
        <f t="shared" si="58"/>
        <v>Nov-2024</v>
      </c>
      <c r="D307" t="str">
        <f t="shared" si="59"/>
        <v>Q4-2024</v>
      </c>
      <c r="E307" s="4">
        <v>45604</v>
      </c>
      <c r="F307" s="12">
        <f t="shared" si="56"/>
        <v>45604</v>
      </c>
      <c r="G307" s="13">
        <f t="shared" si="57"/>
        <v>3</v>
      </c>
      <c r="H307" t="s">
        <v>648</v>
      </c>
      <c r="I307" t="s">
        <v>653</v>
      </c>
      <c r="J307" t="s">
        <v>667</v>
      </c>
      <c r="K307" t="s">
        <v>702</v>
      </c>
      <c r="L307" t="s">
        <v>709</v>
      </c>
      <c r="M307" t="s">
        <v>719</v>
      </c>
      <c r="N307" t="s">
        <v>727</v>
      </c>
      <c r="O307" t="s">
        <v>1135</v>
      </c>
      <c r="P307" s="6">
        <v>1020.4</v>
      </c>
      <c r="Q307" s="6">
        <v>1184.71</v>
      </c>
      <c r="R307" s="10">
        <v>0.106</v>
      </c>
      <c r="S307" s="10" t="b">
        <f t="shared" si="60"/>
        <v>0</v>
      </c>
      <c r="T307" s="8">
        <v>16</v>
      </c>
      <c r="U307">
        <f t="shared" si="61"/>
        <v>16946.091840000001</v>
      </c>
      <c r="V307">
        <f t="shared" si="62"/>
        <v>16326.4</v>
      </c>
      <c r="W307">
        <f t="shared" si="63"/>
        <v>619.69184000000132</v>
      </c>
      <c r="X307" s="10">
        <f t="shared" si="64"/>
        <v>3.6568422138328345E-2</v>
      </c>
      <c r="Y307" t="str">
        <f t="shared" si="65"/>
        <v>Medium</v>
      </c>
      <c r="Z307" t="str">
        <f t="shared" si="66"/>
        <v>Met</v>
      </c>
      <c r="AA307" t="str">
        <f t="shared" si="67"/>
        <v>Low Discount</v>
      </c>
      <c r="AB307" s="10">
        <f>MIN(R307,ControlPanel!$B$5)</f>
        <v>0.106</v>
      </c>
      <c r="AC307">
        <f>P307*(1+ControlPanel!$B$6)</f>
        <v>1071.42</v>
      </c>
      <c r="AD307">
        <f>T307*(1+ControlPanel!$B$7)</f>
        <v>17.600000000000001</v>
      </c>
      <c r="AE307" s="6">
        <f t="shared" si="68"/>
        <v>18640.701024000002</v>
      </c>
      <c r="AF307">
        <f t="shared" si="69"/>
        <v>-216.29097600000023</v>
      </c>
    </row>
    <row r="308" spans="1:32" x14ac:dyDescent="0.3">
      <c r="A308" t="s">
        <v>537</v>
      </c>
      <c r="B308" s="4">
        <v>45406</v>
      </c>
      <c r="C308" s="4" t="str">
        <f t="shared" si="58"/>
        <v>Apr-2024</v>
      </c>
      <c r="D308" t="str">
        <f t="shared" si="59"/>
        <v>Q2-2024</v>
      </c>
      <c r="E308" s="4">
        <v>45422</v>
      </c>
      <c r="F308" s="12">
        <f t="shared" si="56"/>
        <v>45422</v>
      </c>
      <c r="G308" s="13">
        <f t="shared" si="57"/>
        <v>16</v>
      </c>
      <c r="H308" t="s">
        <v>646</v>
      </c>
      <c r="I308" t="s">
        <v>650</v>
      </c>
      <c r="J308" t="s">
        <v>662</v>
      </c>
      <c r="K308" t="s">
        <v>703</v>
      </c>
      <c r="L308" t="s">
        <v>708</v>
      </c>
      <c r="M308" t="s">
        <v>725</v>
      </c>
      <c r="N308" t="s">
        <v>732</v>
      </c>
      <c r="O308" t="s">
        <v>1256</v>
      </c>
      <c r="P308" s="6">
        <v>513.30999999999995</v>
      </c>
      <c r="Q308" s="6">
        <v>1186.26</v>
      </c>
      <c r="R308" s="10">
        <v>9.4E-2</v>
      </c>
      <c r="S308" s="10" t="b">
        <f t="shared" si="60"/>
        <v>0</v>
      </c>
      <c r="T308" s="8">
        <v>15</v>
      </c>
      <c r="U308">
        <f t="shared" si="61"/>
        <v>16121.273399999998</v>
      </c>
      <c r="V308">
        <f t="shared" si="62"/>
        <v>7699.65</v>
      </c>
      <c r="W308">
        <f t="shared" si="63"/>
        <v>8421.6233999999986</v>
      </c>
      <c r="X308" s="10">
        <f t="shared" si="64"/>
        <v>0.52239194702820435</v>
      </c>
      <c r="Y308" t="str">
        <f t="shared" si="65"/>
        <v>Medium</v>
      </c>
      <c r="Z308" t="str">
        <f t="shared" si="66"/>
        <v>Not Met</v>
      </c>
      <c r="AA308" t="str">
        <f t="shared" si="67"/>
        <v>Low Discount</v>
      </c>
      <c r="AB308" s="10">
        <f>MIN(R308,ControlPanel!$B$5)</f>
        <v>9.4E-2</v>
      </c>
      <c r="AC308">
        <f>P308*(1+ControlPanel!$B$6)</f>
        <v>538.97550000000001</v>
      </c>
      <c r="AD308">
        <f>T308*(1+ControlPanel!$B$7)</f>
        <v>16.5</v>
      </c>
      <c r="AE308" s="6">
        <f t="shared" si="68"/>
        <v>17733.400739999997</v>
      </c>
      <c r="AF308">
        <f t="shared" si="69"/>
        <v>8840.3049899999969</v>
      </c>
    </row>
    <row r="309" spans="1:32" x14ac:dyDescent="0.3">
      <c r="A309" t="s">
        <v>417</v>
      </c>
      <c r="B309" s="4">
        <v>45497</v>
      </c>
      <c r="C309" s="4" t="str">
        <f t="shared" si="58"/>
        <v>Jul-2024</v>
      </c>
      <c r="D309" t="str">
        <f t="shared" si="59"/>
        <v>Q3-2024</v>
      </c>
      <c r="E309" s="4">
        <v>45512</v>
      </c>
      <c r="F309" s="12">
        <f t="shared" si="56"/>
        <v>45512</v>
      </c>
      <c r="G309" s="13">
        <f t="shared" si="57"/>
        <v>15</v>
      </c>
      <c r="H309" t="s">
        <v>649</v>
      </c>
      <c r="I309" t="s">
        <v>657</v>
      </c>
      <c r="J309" t="s">
        <v>673</v>
      </c>
      <c r="K309" t="s">
        <v>706</v>
      </c>
      <c r="L309" t="s">
        <v>709</v>
      </c>
      <c r="M309" t="s">
        <v>722</v>
      </c>
      <c r="N309" t="s">
        <v>731</v>
      </c>
      <c r="O309" t="s">
        <v>1136</v>
      </c>
      <c r="P309" s="6">
        <v>501.5</v>
      </c>
      <c r="Q309" s="6">
        <v>1201.47</v>
      </c>
      <c r="R309" s="10">
        <v>0.126</v>
      </c>
      <c r="S309" s="10" t="b">
        <f t="shared" si="60"/>
        <v>0</v>
      </c>
      <c r="T309" s="8">
        <v>5</v>
      </c>
      <c r="U309">
        <f t="shared" si="61"/>
        <v>5250.4238999999998</v>
      </c>
      <c r="V309">
        <f t="shared" si="62"/>
        <v>2507.5</v>
      </c>
      <c r="W309">
        <f t="shared" si="63"/>
        <v>2742.9238999999998</v>
      </c>
      <c r="X309" s="10">
        <f t="shared" si="64"/>
        <v>0.52241951359394045</v>
      </c>
      <c r="Y309" t="str">
        <f t="shared" si="65"/>
        <v>Medium</v>
      </c>
      <c r="Z309" t="str">
        <f t="shared" si="66"/>
        <v>Not Met</v>
      </c>
      <c r="AA309" t="str">
        <f t="shared" si="67"/>
        <v>Low Discount</v>
      </c>
      <c r="AB309" s="10">
        <f>MIN(R309,ControlPanel!$B$5)</f>
        <v>0.126</v>
      </c>
      <c r="AC309">
        <f>P309*(1+ControlPanel!$B$6)</f>
        <v>526.57500000000005</v>
      </c>
      <c r="AD309">
        <f>T309*(1+ControlPanel!$B$7)</f>
        <v>5.5</v>
      </c>
      <c r="AE309" s="6">
        <f t="shared" si="68"/>
        <v>5775.4662899999994</v>
      </c>
      <c r="AF309">
        <f t="shared" si="69"/>
        <v>2879.303789999999</v>
      </c>
    </row>
    <row r="310" spans="1:32" x14ac:dyDescent="0.3">
      <c r="A310" t="s">
        <v>389</v>
      </c>
      <c r="B310" s="4">
        <v>45354</v>
      </c>
      <c r="C310" s="4" t="str">
        <f t="shared" si="58"/>
        <v>Mar-2024</v>
      </c>
      <c r="D310" t="str">
        <f t="shared" si="59"/>
        <v>Q1-2024</v>
      </c>
      <c r="E310" s="4">
        <v>45370</v>
      </c>
      <c r="F310" s="12">
        <f t="shared" si="56"/>
        <v>45370</v>
      </c>
      <c r="G310" s="13">
        <f t="shared" si="57"/>
        <v>16</v>
      </c>
      <c r="H310" t="s">
        <v>647</v>
      </c>
      <c r="I310" t="s">
        <v>659</v>
      </c>
      <c r="J310" t="s">
        <v>699</v>
      </c>
      <c r="K310" t="s">
        <v>704</v>
      </c>
      <c r="L310" t="s">
        <v>710</v>
      </c>
      <c r="M310" t="s">
        <v>715</v>
      </c>
      <c r="N310" t="s">
        <v>730</v>
      </c>
      <c r="O310" t="s">
        <v>1109</v>
      </c>
      <c r="P310" s="6">
        <v>988.83</v>
      </c>
      <c r="Q310" s="6">
        <v>1206.04</v>
      </c>
      <c r="R310" s="10">
        <v>6.3E-2</v>
      </c>
      <c r="S310" s="10" t="b">
        <f t="shared" si="60"/>
        <v>0</v>
      </c>
      <c r="T310" s="8">
        <v>34</v>
      </c>
      <c r="U310">
        <f t="shared" si="61"/>
        <v>38422.022320000004</v>
      </c>
      <c r="V310">
        <f t="shared" si="62"/>
        <v>33620.22</v>
      </c>
      <c r="W310">
        <f t="shared" si="63"/>
        <v>4801.8023200000025</v>
      </c>
      <c r="X310" s="10">
        <f t="shared" si="64"/>
        <v>0.12497526236406606</v>
      </c>
      <c r="Y310" t="str">
        <f t="shared" si="65"/>
        <v>Medium</v>
      </c>
      <c r="Z310" t="str">
        <f t="shared" si="66"/>
        <v>Not Met</v>
      </c>
      <c r="AA310" t="str">
        <f t="shared" si="67"/>
        <v>Low Discount</v>
      </c>
      <c r="AB310" s="10">
        <f>MIN(R310,ControlPanel!$B$5)</f>
        <v>6.3E-2</v>
      </c>
      <c r="AC310">
        <f>P310*(1+ControlPanel!$B$6)</f>
        <v>1038.2715000000001</v>
      </c>
      <c r="AD310">
        <f>T310*(1+ControlPanel!$B$7)</f>
        <v>37.400000000000006</v>
      </c>
      <c r="AE310" s="6">
        <f t="shared" si="68"/>
        <v>42264.224552000014</v>
      </c>
      <c r="AF310">
        <f t="shared" si="69"/>
        <v>3432.8704520000028</v>
      </c>
    </row>
    <row r="311" spans="1:32" x14ac:dyDescent="0.3">
      <c r="A311" t="s">
        <v>379</v>
      </c>
      <c r="B311" s="4">
        <v>45737</v>
      </c>
      <c r="C311" s="4" t="str">
        <f t="shared" si="58"/>
        <v>Mar-2025</v>
      </c>
      <c r="D311" t="str">
        <f t="shared" si="59"/>
        <v>Q1-2025</v>
      </c>
      <c r="E311" s="4">
        <v>45756</v>
      </c>
      <c r="F311" s="12">
        <f t="shared" si="56"/>
        <v>45756</v>
      </c>
      <c r="G311" s="13">
        <f t="shared" si="57"/>
        <v>19</v>
      </c>
      <c r="H311" t="s">
        <v>647</v>
      </c>
      <c r="I311" t="s">
        <v>652</v>
      </c>
      <c r="J311" t="s">
        <v>689</v>
      </c>
      <c r="K311" t="s">
        <v>705</v>
      </c>
      <c r="L311" t="s">
        <v>710</v>
      </c>
      <c r="M311" t="s">
        <v>718</v>
      </c>
      <c r="N311" t="s">
        <v>727</v>
      </c>
      <c r="O311" t="s">
        <v>1099</v>
      </c>
      <c r="P311" s="6">
        <v>1055.45</v>
      </c>
      <c r="Q311" s="6">
        <v>1210.04</v>
      </c>
      <c r="R311" s="10">
        <v>8.9999999999999993E-3</v>
      </c>
      <c r="S311" s="10" t="b">
        <f t="shared" si="60"/>
        <v>0</v>
      </c>
      <c r="T311" s="8">
        <v>18</v>
      </c>
      <c r="U311">
        <f t="shared" si="61"/>
        <v>21584.693519999997</v>
      </c>
      <c r="V311">
        <f t="shared" si="62"/>
        <v>18998.100000000002</v>
      </c>
      <c r="W311">
        <f t="shared" si="63"/>
        <v>2586.5935199999949</v>
      </c>
      <c r="X311" s="10">
        <f t="shared" si="64"/>
        <v>0.11983461880537256</v>
      </c>
      <c r="Y311" t="str">
        <f t="shared" si="65"/>
        <v>Medium</v>
      </c>
      <c r="Z311" t="str">
        <f t="shared" si="66"/>
        <v>Not Met</v>
      </c>
      <c r="AA311" t="str">
        <f t="shared" si="67"/>
        <v>Low Discount</v>
      </c>
      <c r="AB311" s="10">
        <f>MIN(R311,ControlPanel!$B$5)</f>
        <v>8.9999999999999993E-3</v>
      </c>
      <c r="AC311">
        <f>P311*(1+ControlPanel!$B$6)</f>
        <v>1108.2225000000001</v>
      </c>
      <c r="AD311">
        <f>T311*(1+ControlPanel!$B$7)</f>
        <v>19.8</v>
      </c>
      <c r="AE311" s="6">
        <f t="shared" si="68"/>
        <v>23743.162871999997</v>
      </c>
      <c r="AF311">
        <f t="shared" si="69"/>
        <v>1800.3573719999949</v>
      </c>
    </row>
    <row r="312" spans="1:32" x14ac:dyDescent="0.3">
      <c r="A312" t="s">
        <v>518</v>
      </c>
      <c r="B312" s="4">
        <v>45726</v>
      </c>
      <c r="C312" s="4" t="str">
        <f t="shared" si="58"/>
        <v>Mar-2025</v>
      </c>
      <c r="D312" t="str">
        <f t="shared" si="59"/>
        <v>Q1-2025</v>
      </c>
      <c r="E312" s="4">
        <v>45743</v>
      </c>
      <c r="F312" s="12">
        <f t="shared" si="56"/>
        <v>45743</v>
      </c>
      <c r="G312" s="13">
        <f t="shared" si="57"/>
        <v>17</v>
      </c>
      <c r="H312" t="s">
        <v>648</v>
      </c>
      <c r="I312" t="s">
        <v>655</v>
      </c>
      <c r="J312" t="s">
        <v>692</v>
      </c>
      <c r="K312" t="s">
        <v>706</v>
      </c>
      <c r="L312" t="s">
        <v>711</v>
      </c>
      <c r="M312" t="s">
        <v>721</v>
      </c>
      <c r="N312" t="s">
        <v>729</v>
      </c>
      <c r="O312" t="s">
        <v>1237</v>
      </c>
      <c r="P312" s="6">
        <v>996.73</v>
      </c>
      <c r="Q312" s="6">
        <v>1217.43</v>
      </c>
      <c r="R312" s="10">
        <v>7.0000000000000007E-2</v>
      </c>
      <c r="S312" s="10" t="b">
        <f t="shared" si="60"/>
        <v>0</v>
      </c>
      <c r="T312" s="8">
        <v>9</v>
      </c>
      <c r="U312">
        <f t="shared" si="61"/>
        <v>10189.8891</v>
      </c>
      <c r="V312">
        <f t="shared" si="62"/>
        <v>8970.57</v>
      </c>
      <c r="W312">
        <f t="shared" si="63"/>
        <v>1219.3191000000006</v>
      </c>
      <c r="X312" s="10">
        <f t="shared" si="64"/>
        <v>0.11965970267527255</v>
      </c>
      <c r="Y312" t="str">
        <f t="shared" si="65"/>
        <v>Medium</v>
      </c>
      <c r="Z312" t="str">
        <f t="shared" si="66"/>
        <v>Not Met</v>
      </c>
      <c r="AA312" t="str">
        <f t="shared" si="67"/>
        <v>Low Discount</v>
      </c>
      <c r="AB312" s="10">
        <f>MIN(R312,ControlPanel!$B$5)</f>
        <v>7.0000000000000007E-2</v>
      </c>
      <c r="AC312">
        <f>P312*(1+ControlPanel!$B$6)</f>
        <v>1046.5665000000001</v>
      </c>
      <c r="AD312">
        <f>T312*(1+ControlPanel!$B$7)</f>
        <v>9.9</v>
      </c>
      <c r="AE312" s="6">
        <f t="shared" si="68"/>
        <v>11208.87801</v>
      </c>
      <c r="AF312">
        <f t="shared" si="69"/>
        <v>847.86965999999848</v>
      </c>
    </row>
    <row r="313" spans="1:32" x14ac:dyDescent="0.3">
      <c r="A313" t="s">
        <v>176</v>
      </c>
      <c r="B313" s="4">
        <v>45595</v>
      </c>
      <c r="C313" s="4" t="str">
        <f t="shared" si="58"/>
        <v>Oct-2024</v>
      </c>
      <c r="D313" t="str">
        <f t="shared" si="59"/>
        <v>Q4-2024</v>
      </c>
      <c r="E313" s="4">
        <v>45620</v>
      </c>
      <c r="F313" s="12">
        <f t="shared" si="56"/>
        <v>45620</v>
      </c>
      <c r="G313" s="13">
        <f t="shared" si="57"/>
        <v>25</v>
      </c>
      <c r="H313" t="s">
        <v>647</v>
      </c>
      <c r="I313" t="s">
        <v>659</v>
      </c>
      <c r="J313" t="s">
        <v>676</v>
      </c>
      <c r="K313" t="s">
        <v>705</v>
      </c>
      <c r="L313" t="s">
        <v>708</v>
      </c>
      <c r="M313" t="s">
        <v>718</v>
      </c>
      <c r="N313" t="s">
        <v>727</v>
      </c>
      <c r="O313" t="s">
        <v>895</v>
      </c>
      <c r="P313" s="6">
        <v>811.05</v>
      </c>
      <c r="Q313" s="6">
        <v>1217.71</v>
      </c>
      <c r="R313" s="10">
        <v>7.1999999999999995E-2</v>
      </c>
      <c r="S313" s="10" t="b">
        <f t="shared" si="60"/>
        <v>0</v>
      </c>
      <c r="T313" s="8">
        <v>5</v>
      </c>
      <c r="U313">
        <f t="shared" si="61"/>
        <v>5650.1744000000008</v>
      </c>
      <c r="V313">
        <f t="shared" si="62"/>
        <v>4055.25</v>
      </c>
      <c r="W313">
        <f t="shared" si="63"/>
        <v>1594.9244000000008</v>
      </c>
      <c r="X313" s="10">
        <f t="shared" si="64"/>
        <v>0.28227879125288602</v>
      </c>
      <c r="Y313" t="str">
        <f t="shared" si="65"/>
        <v>Medium</v>
      </c>
      <c r="Z313" t="str">
        <f t="shared" si="66"/>
        <v>Not Met</v>
      </c>
      <c r="AA313" t="str">
        <f t="shared" si="67"/>
        <v>Low Discount</v>
      </c>
      <c r="AB313" s="10">
        <f>MIN(R313,ControlPanel!$B$5)</f>
        <v>7.1999999999999995E-2</v>
      </c>
      <c r="AC313">
        <f>P313*(1+ControlPanel!$B$6)</f>
        <v>851.60249999999996</v>
      </c>
      <c r="AD313">
        <f>T313*(1+ControlPanel!$B$7)</f>
        <v>5.5</v>
      </c>
      <c r="AE313" s="6">
        <f t="shared" si="68"/>
        <v>6215.1918400000013</v>
      </c>
      <c r="AF313">
        <f t="shared" si="69"/>
        <v>1531.378090000002</v>
      </c>
    </row>
    <row r="314" spans="1:32" x14ac:dyDescent="0.3">
      <c r="A314" t="s">
        <v>185</v>
      </c>
      <c r="B314" s="4">
        <v>45488</v>
      </c>
      <c r="C314" s="4" t="str">
        <f t="shared" si="58"/>
        <v>Jul-2024</v>
      </c>
      <c r="D314" t="str">
        <f t="shared" si="59"/>
        <v>Q3-2024</v>
      </c>
      <c r="E314" s="4">
        <v>45488</v>
      </c>
      <c r="F314" s="12">
        <f t="shared" si="56"/>
        <v>45488</v>
      </c>
      <c r="G314" s="13">
        <f t="shared" si="57"/>
        <v>0</v>
      </c>
      <c r="H314" t="s">
        <v>647</v>
      </c>
      <c r="I314" t="s">
        <v>652</v>
      </c>
      <c r="J314" t="s">
        <v>689</v>
      </c>
      <c r="K314" t="s">
        <v>705</v>
      </c>
      <c r="L314" t="s">
        <v>709</v>
      </c>
      <c r="M314" t="s">
        <v>715</v>
      </c>
      <c r="N314" t="s">
        <v>733</v>
      </c>
      <c r="O314" t="s">
        <v>904</v>
      </c>
      <c r="P314" s="6">
        <v>801.77</v>
      </c>
      <c r="Q314" s="6">
        <v>1218.92</v>
      </c>
      <c r="R314" s="10">
        <v>0.254</v>
      </c>
      <c r="S314" s="10" t="b">
        <f t="shared" si="60"/>
        <v>0</v>
      </c>
      <c r="T314" s="8">
        <v>16</v>
      </c>
      <c r="U314">
        <f t="shared" si="61"/>
        <v>14549.029120000001</v>
      </c>
      <c r="V314">
        <f t="shared" si="62"/>
        <v>12828.32</v>
      </c>
      <c r="W314">
        <f t="shared" si="63"/>
        <v>1720.7091200000013</v>
      </c>
      <c r="X314" s="10">
        <f t="shared" si="64"/>
        <v>0.11826968698788344</v>
      </c>
      <c r="Y314" t="str">
        <f t="shared" si="65"/>
        <v>Medium</v>
      </c>
      <c r="Z314" t="str">
        <f t="shared" si="66"/>
        <v>Met</v>
      </c>
      <c r="AA314" t="str">
        <f t="shared" si="67"/>
        <v>High Discount</v>
      </c>
      <c r="AB314" s="10">
        <f>MIN(R314,ControlPanel!$B$5)</f>
        <v>0.2</v>
      </c>
      <c r="AC314">
        <f>P314*(1+ControlPanel!$B$6)</f>
        <v>841.85850000000005</v>
      </c>
      <c r="AD314">
        <f>T314*(1+ControlPanel!$B$7)</f>
        <v>17.600000000000001</v>
      </c>
      <c r="AE314" s="6">
        <f t="shared" si="68"/>
        <v>17162.393600000003</v>
      </c>
      <c r="AF314">
        <f t="shared" si="69"/>
        <v>2345.6840000000011</v>
      </c>
    </row>
    <row r="315" spans="1:32" x14ac:dyDescent="0.3">
      <c r="A315" t="s">
        <v>452</v>
      </c>
      <c r="B315" s="4">
        <v>45290</v>
      </c>
      <c r="C315" s="4" t="str">
        <f t="shared" si="58"/>
        <v>Dec-2023</v>
      </c>
      <c r="D315" t="str">
        <f t="shared" si="59"/>
        <v>Q4-2023</v>
      </c>
      <c r="E315" s="4">
        <v>45299</v>
      </c>
      <c r="F315" s="12">
        <f t="shared" si="56"/>
        <v>45299</v>
      </c>
      <c r="G315" s="13">
        <f t="shared" si="57"/>
        <v>9</v>
      </c>
      <c r="H315" t="s">
        <v>649</v>
      </c>
      <c r="I315" t="s">
        <v>657</v>
      </c>
      <c r="J315" t="s">
        <v>673</v>
      </c>
      <c r="K315" t="s">
        <v>704</v>
      </c>
      <c r="L315" t="s">
        <v>709</v>
      </c>
      <c r="M315" t="s">
        <v>716</v>
      </c>
      <c r="N315" t="s">
        <v>733</v>
      </c>
      <c r="O315" t="s">
        <v>1171</v>
      </c>
      <c r="P315" s="6">
        <v>861.1</v>
      </c>
      <c r="Q315" s="6">
        <v>1224.72</v>
      </c>
      <c r="R315" s="10">
        <v>0.17399999999999999</v>
      </c>
      <c r="S315" s="10" t="b">
        <f t="shared" si="60"/>
        <v>0</v>
      </c>
      <c r="T315" s="8">
        <v>24</v>
      </c>
      <c r="U315">
        <f t="shared" si="61"/>
        <v>24278.849280000002</v>
      </c>
      <c r="V315">
        <f t="shared" si="62"/>
        <v>20666.400000000001</v>
      </c>
      <c r="W315">
        <f t="shared" si="63"/>
        <v>3612.4492800000007</v>
      </c>
      <c r="X315" s="10">
        <f t="shared" si="64"/>
        <v>0.14878997098827909</v>
      </c>
      <c r="Y315" t="str">
        <f t="shared" si="65"/>
        <v>Medium</v>
      </c>
      <c r="Z315" t="str">
        <f t="shared" si="66"/>
        <v>Not Met</v>
      </c>
      <c r="AA315" t="str">
        <f t="shared" si="67"/>
        <v>Low Discount</v>
      </c>
      <c r="AB315" s="10">
        <f>MIN(R315,ControlPanel!$B$5)</f>
        <v>0.17399999999999999</v>
      </c>
      <c r="AC315">
        <f>P315*(1+ControlPanel!$B$6)</f>
        <v>904.15500000000009</v>
      </c>
      <c r="AD315">
        <f>T315*(1+ControlPanel!$B$7)</f>
        <v>26.400000000000002</v>
      </c>
      <c r="AE315" s="6">
        <f t="shared" si="68"/>
        <v>26706.734208000005</v>
      </c>
      <c r="AF315">
        <f t="shared" si="69"/>
        <v>2837.0422080000026</v>
      </c>
    </row>
    <row r="316" spans="1:32" x14ac:dyDescent="0.3">
      <c r="A316" t="s">
        <v>82</v>
      </c>
      <c r="B316" s="4">
        <v>45434</v>
      </c>
      <c r="C316" s="4" t="str">
        <f t="shared" si="58"/>
        <v>May-2024</v>
      </c>
      <c r="D316" t="str">
        <f t="shared" si="59"/>
        <v>Q2-2024</v>
      </c>
      <c r="E316" s="4">
        <v>45449</v>
      </c>
      <c r="F316" s="12">
        <f t="shared" si="56"/>
        <v>45449</v>
      </c>
      <c r="G316" s="13">
        <f t="shared" si="57"/>
        <v>15</v>
      </c>
      <c r="H316" t="s">
        <v>647</v>
      </c>
      <c r="I316" t="s">
        <v>652</v>
      </c>
      <c r="J316" t="s">
        <v>694</v>
      </c>
      <c r="K316" t="s">
        <v>701</v>
      </c>
      <c r="L316" t="s">
        <v>710</v>
      </c>
      <c r="M316" t="s">
        <v>712</v>
      </c>
      <c r="N316" t="s">
        <v>732</v>
      </c>
      <c r="O316" t="s">
        <v>801</v>
      </c>
      <c r="P316" s="6">
        <v>673.88</v>
      </c>
      <c r="Q316" s="6">
        <v>1228.01</v>
      </c>
      <c r="R316" s="10">
        <v>0.105</v>
      </c>
      <c r="S316" s="10" t="b">
        <f t="shared" si="60"/>
        <v>0</v>
      </c>
      <c r="T316" s="8">
        <v>13</v>
      </c>
      <c r="U316">
        <f t="shared" si="61"/>
        <v>14287.896350000001</v>
      </c>
      <c r="V316">
        <f t="shared" si="62"/>
        <v>8760.44</v>
      </c>
      <c r="W316">
        <f t="shared" si="63"/>
        <v>5527.4563500000004</v>
      </c>
      <c r="X316" s="10">
        <f t="shared" si="64"/>
        <v>0.38686285332690001</v>
      </c>
      <c r="Y316" t="str">
        <f t="shared" si="65"/>
        <v>Medium</v>
      </c>
      <c r="Z316" t="str">
        <f t="shared" si="66"/>
        <v>Not Met</v>
      </c>
      <c r="AA316" t="str">
        <f t="shared" si="67"/>
        <v>Low Discount</v>
      </c>
      <c r="AB316" s="10">
        <f>MIN(R316,ControlPanel!$B$5)</f>
        <v>0.105</v>
      </c>
      <c r="AC316">
        <f>P316*(1+ControlPanel!$B$6)</f>
        <v>707.57400000000007</v>
      </c>
      <c r="AD316">
        <f>T316*(1+ControlPanel!$B$7)</f>
        <v>14.3</v>
      </c>
      <c r="AE316" s="6">
        <f t="shared" si="68"/>
        <v>15716.685985000002</v>
      </c>
      <c r="AF316">
        <f t="shared" si="69"/>
        <v>5598.3777850000006</v>
      </c>
    </row>
    <row r="317" spans="1:32" x14ac:dyDescent="0.3">
      <c r="A317" t="s">
        <v>451</v>
      </c>
      <c r="B317" s="4">
        <v>45037</v>
      </c>
      <c r="C317" s="4" t="str">
        <f t="shared" si="58"/>
        <v>Apr-2023</v>
      </c>
      <c r="D317" t="str">
        <f t="shared" si="59"/>
        <v>Q2-2023</v>
      </c>
      <c r="E317" s="4">
        <v>45035</v>
      </c>
      <c r="F317" s="12">
        <f t="shared" si="56"/>
        <v>45051</v>
      </c>
      <c r="G317" s="13">
        <f t="shared" si="57"/>
        <v>14</v>
      </c>
      <c r="H317" t="s">
        <v>647</v>
      </c>
      <c r="I317" t="s">
        <v>652</v>
      </c>
      <c r="J317" t="s">
        <v>694</v>
      </c>
      <c r="K317" t="s">
        <v>705</v>
      </c>
      <c r="L317" t="s">
        <v>711</v>
      </c>
      <c r="M317" t="s">
        <v>724</v>
      </c>
      <c r="N317" t="s">
        <v>727</v>
      </c>
      <c r="O317" t="s">
        <v>1170</v>
      </c>
      <c r="P317" s="6">
        <v>607.04</v>
      </c>
      <c r="Q317" s="6">
        <v>1229.3399999999999</v>
      </c>
      <c r="R317" s="10">
        <v>0.14699999999999999</v>
      </c>
      <c r="S317" s="10" t="b">
        <f t="shared" si="60"/>
        <v>0</v>
      </c>
      <c r="T317" s="8">
        <v>7</v>
      </c>
      <c r="U317">
        <f t="shared" si="61"/>
        <v>7340.3891399999993</v>
      </c>
      <c r="V317">
        <f t="shared" si="62"/>
        <v>4249.28</v>
      </c>
      <c r="W317">
        <f t="shared" si="63"/>
        <v>3091.1091399999996</v>
      </c>
      <c r="X317" s="10">
        <f t="shared" si="64"/>
        <v>0.42110970972310058</v>
      </c>
      <c r="Y317" t="str">
        <f t="shared" si="65"/>
        <v>Medium</v>
      </c>
      <c r="Z317" t="str">
        <f t="shared" si="66"/>
        <v>Not Met</v>
      </c>
      <c r="AA317" t="str">
        <f t="shared" si="67"/>
        <v>Low Discount</v>
      </c>
      <c r="AB317" s="10">
        <f>MIN(R317,ControlPanel!$B$5)</f>
        <v>0.14699999999999999</v>
      </c>
      <c r="AC317">
        <f>P317*(1+ControlPanel!$B$6)</f>
        <v>637.39199999999994</v>
      </c>
      <c r="AD317">
        <f>T317*(1+ControlPanel!$B$7)</f>
        <v>7.7000000000000011</v>
      </c>
      <c r="AE317" s="6">
        <f t="shared" si="68"/>
        <v>8074.428054</v>
      </c>
      <c r="AF317">
        <f t="shared" si="69"/>
        <v>3166.5096539999995</v>
      </c>
    </row>
    <row r="318" spans="1:32" x14ac:dyDescent="0.3">
      <c r="A318" t="s">
        <v>579</v>
      </c>
      <c r="B318" s="4">
        <v>45315</v>
      </c>
      <c r="C318" s="4" t="str">
        <f t="shared" si="58"/>
        <v>Jan-2024</v>
      </c>
      <c r="D318" t="str">
        <f t="shared" si="59"/>
        <v>Q1-2024</v>
      </c>
      <c r="E318" s="4">
        <v>45326</v>
      </c>
      <c r="F318" s="12">
        <f t="shared" si="56"/>
        <v>45326</v>
      </c>
      <c r="G318" s="13">
        <f t="shared" si="57"/>
        <v>11</v>
      </c>
      <c r="H318" t="s">
        <v>649</v>
      </c>
      <c r="I318" t="s">
        <v>658</v>
      </c>
      <c r="J318" t="s">
        <v>693</v>
      </c>
      <c r="K318" t="s">
        <v>704</v>
      </c>
      <c r="L318" t="s">
        <v>707</v>
      </c>
      <c r="M318" t="s">
        <v>717</v>
      </c>
      <c r="N318" t="s">
        <v>731</v>
      </c>
      <c r="O318" t="s">
        <v>1297</v>
      </c>
      <c r="P318" s="6">
        <v>525.34</v>
      </c>
      <c r="Q318" s="6">
        <v>1233.79</v>
      </c>
      <c r="R318" s="10">
        <v>0.14299999999999999</v>
      </c>
      <c r="S318" s="10" t="b">
        <f t="shared" si="60"/>
        <v>0</v>
      </c>
      <c r="T318" s="8">
        <v>4</v>
      </c>
      <c r="U318">
        <f t="shared" si="61"/>
        <v>4229.4321199999995</v>
      </c>
      <c r="V318">
        <f t="shared" si="62"/>
        <v>2101.36</v>
      </c>
      <c r="W318">
        <f t="shared" si="63"/>
        <v>2128.0721199999994</v>
      </c>
      <c r="X318" s="10">
        <f t="shared" si="64"/>
        <v>0.50315788494082736</v>
      </c>
      <c r="Y318" t="str">
        <f t="shared" si="65"/>
        <v>Medium</v>
      </c>
      <c r="Z318" t="str">
        <f t="shared" si="66"/>
        <v>Not Met</v>
      </c>
      <c r="AA318" t="str">
        <f t="shared" si="67"/>
        <v>Low Discount</v>
      </c>
      <c r="AB318" s="10">
        <f>MIN(R318,ControlPanel!$B$5)</f>
        <v>0.14299999999999999</v>
      </c>
      <c r="AC318">
        <f>P318*(1+ControlPanel!$B$6)</f>
        <v>551.60700000000008</v>
      </c>
      <c r="AD318">
        <f>T318*(1+ControlPanel!$B$7)</f>
        <v>4.4000000000000004</v>
      </c>
      <c r="AE318" s="6">
        <f t="shared" si="68"/>
        <v>4652.3753319999996</v>
      </c>
      <c r="AF318">
        <f t="shared" si="69"/>
        <v>2225.3045319999992</v>
      </c>
    </row>
    <row r="319" spans="1:32" x14ac:dyDescent="0.3">
      <c r="A319" t="s">
        <v>81</v>
      </c>
      <c r="B319" s="4">
        <v>45004</v>
      </c>
      <c r="C319" s="4" t="str">
        <f t="shared" si="58"/>
        <v>Mar-2023</v>
      </c>
      <c r="D319" t="str">
        <f t="shared" si="59"/>
        <v>Q1-2023</v>
      </c>
      <c r="E319" s="4">
        <v>45025</v>
      </c>
      <c r="F319" s="12">
        <f t="shared" si="56"/>
        <v>45025</v>
      </c>
      <c r="G319" s="13">
        <f t="shared" si="57"/>
        <v>21</v>
      </c>
      <c r="H319" t="s">
        <v>649</v>
      </c>
      <c r="I319" t="s">
        <v>658</v>
      </c>
      <c r="J319" t="s">
        <v>693</v>
      </c>
      <c r="K319" t="s">
        <v>704</v>
      </c>
      <c r="L319" t="s">
        <v>707</v>
      </c>
      <c r="M319" t="s">
        <v>716</v>
      </c>
      <c r="N319" t="s">
        <v>733</v>
      </c>
      <c r="O319" t="s">
        <v>800</v>
      </c>
      <c r="P319" s="6">
        <v>1082.17</v>
      </c>
      <c r="Q319" s="6">
        <v>1234.0999999999999</v>
      </c>
      <c r="R319" s="10">
        <v>0.189</v>
      </c>
      <c r="S319" s="10" t="b">
        <f t="shared" si="60"/>
        <v>0</v>
      </c>
      <c r="T319" s="8">
        <v>16</v>
      </c>
      <c r="U319">
        <f t="shared" si="61"/>
        <v>16013.681599999998</v>
      </c>
      <c r="V319">
        <f t="shared" si="62"/>
        <v>17314.72</v>
      </c>
      <c r="W319">
        <f t="shared" si="63"/>
        <v>-1301.0384000000031</v>
      </c>
      <c r="X319" s="10">
        <f t="shared" si="64"/>
        <v>-8.124542703534228E-2</v>
      </c>
      <c r="Y319" t="str">
        <f t="shared" si="65"/>
        <v>Medium</v>
      </c>
      <c r="Z319" t="str">
        <f t="shared" si="66"/>
        <v>Not Met</v>
      </c>
      <c r="AA319" t="str">
        <f t="shared" si="67"/>
        <v>Low Discount</v>
      </c>
      <c r="AB319" s="10">
        <f>MIN(R319,ControlPanel!$B$5)</f>
        <v>0.189</v>
      </c>
      <c r="AC319">
        <f>P319*(1+ControlPanel!$B$6)</f>
        <v>1136.2785000000001</v>
      </c>
      <c r="AD319">
        <f>T319*(1+ControlPanel!$B$7)</f>
        <v>17.600000000000001</v>
      </c>
      <c r="AE319" s="6">
        <f t="shared" si="68"/>
        <v>17615.049759999998</v>
      </c>
      <c r="AF319">
        <f t="shared" si="69"/>
        <v>-2383.4518400000052</v>
      </c>
    </row>
    <row r="320" spans="1:32" x14ac:dyDescent="0.3">
      <c r="A320" t="s">
        <v>304</v>
      </c>
      <c r="B320" s="4">
        <v>45897</v>
      </c>
      <c r="C320" s="4" t="str">
        <f t="shared" si="58"/>
        <v>Aug-2025</v>
      </c>
      <c r="D320" t="str">
        <f t="shared" si="59"/>
        <v>Q3-2025</v>
      </c>
      <c r="E320" s="4">
        <v>45895</v>
      </c>
      <c r="F320" s="12">
        <f t="shared" si="56"/>
        <v>45911</v>
      </c>
      <c r="G320" s="13">
        <f t="shared" si="57"/>
        <v>14</v>
      </c>
      <c r="H320" t="s">
        <v>646</v>
      </c>
      <c r="I320" t="s">
        <v>651</v>
      </c>
      <c r="J320" t="s">
        <v>663</v>
      </c>
      <c r="K320" t="s">
        <v>705</v>
      </c>
      <c r="L320" t="s">
        <v>707</v>
      </c>
      <c r="M320" t="s">
        <v>720</v>
      </c>
      <c r="N320" t="s">
        <v>733</v>
      </c>
      <c r="O320" t="s">
        <v>1024</v>
      </c>
      <c r="P320" s="6">
        <v>521.05999999999995</v>
      </c>
      <c r="Q320" s="6">
        <v>1240.31</v>
      </c>
      <c r="R320" s="10">
        <v>0.14599999999999999</v>
      </c>
      <c r="S320" s="10" t="b">
        <f t="shared" si="60"/>
        <v>0</v>
      </c>
      <c r="T320" s="8">
        <v>18</v>
      </c>
      <c r="U320">
        <f t="shared" si="61"/>
        <v>19066.045319999997</v>
      </c>
      <c r="V320">
        <f t="shared" si="62"/>
        <v>9379.0799999999981</v>
      </c>
      <c r="W320">
        <f t="shared" si="63"/>
        <v>9686.9653199999993</v>
      </c>
      <c r="X320" s="10">
        <f t="shared" si="64"/>
        <v>0.50807417885650974</v>
      </c>
      <c r="Y320" t="str">
        <f t="shared" si="65"/>
        <v>Medium</v>
      </c>
      <c r="Z320" t="str">
        <f t="shared" si="66"/>
        <v>Not Met</v>
      </c>
      <c r="AA320" t="str">
        <f t="shared" si="67"/>
        <v>Low Discount</v>
      </c>
      <c r="AB320" s="10">
        <f>MIN(R320,ControlPanel!$B$5)</f>
        <v>0.14599999999999999</v>
      </c>
      <c r="AC320">
        <f>P320*(1+ControlPanel!$B$6)</f>
        <v>547.11299999999994</v>
      </c>
      <c r="AD320">
        <f>T320*(1+ControlPanel!$B$7)</f>
        <v>19.8</v>
      </c>
      <c r="AE320" s="6">
        <f t="shared" si="68"/>
        <v>20972.649851999999</v>
      </c>
      <c r="AF320">
        <f t="shared" si="69"/>
        <v>10139.812452</v>
      </c>
    </row>
    <row r="321" spans="1:32" x14ac:dyDescent="0.3">
      <c r="A321" t="s">
        <v>203</v>
      </c>
      <c r="B321" s="4">
        <v>45431</v>
      </c>
      <c r="C321" s="4" t="str">
        <f t="shared" si="58"/>
        <v>May-2024</v>
      </c>
      <c r="D321" t="str">
        <f t="shared" si="59"/>
        <v>Q2-2024</v>
      </c>
      <c r="E321" s="4">
        <v>45451</v>
      </c>
      <c r="F321" s="12">
        <f t="shared" si="56"/>
        <v>45451</v>
      </c>
      <c r="G321" s="13">
        <f t="shared" si="57"/>
        <v>20</v>
      </c>
      <c r="H321" t="s">
        <v>648</v>
      </c>
      <c r="I321" t="s">
        <v>655</v>
      </c>
      <c r="J321" t="s">
        <v>672</v>
      </c>
      <c r="K321" t="s">
        <v>705</v>
      </c>
      <c r="L321" t="s">
        <v>707</v>
      </c>
      <c r="M321" t="s">
        <v>718</v>
      </c>
      <c r="N321" t="s">
        <v>732</v>
      </c>
      <c r="O321" t="s">
        <v>923</v>
      </c>
      <c r="P321" s="6">
        <v>1075.9000000000001</v>
      </c>
      <c r="Q321" s="6">
        <v>1242.1500000000001</v>
      </c>
      <c r="R321" s="10">
        <v>1.2E-2</v>
      </c>
      <c r="S321" s="10" t="b">
        <f t="shared" si="60"/>
        <v>0</v>
      </c>
      <c r="T321" s="8">
        <v>7</v>
      </c>
      <c r="U321">
        <f t="shared" si="61"/>
        <v>8590.7093999999997</v>
      </c>
      <c r="V321">
        <f t="shared" si="62"/>
        <v>7531.3000000000011</v>
      </c>
      <c r="W321">
        <f t="shared" si="63"/>
        <v>1059.4093999999986</v>
      </c>
      <c r="X321" s="10">
        <f t="shared" si="64"/>
        <v>0.12332036280961833</v>
      </c>
      <c r="Y321" t="str">
        <f t="shared" si="65"/>
        <v>Medium</v>
      </c>
      <c r="Z321" t="str">
        <f t="shared" si="66"/>
        <v>Not Met</v>
      </c>
      <c r="AA321" t="str">
        <f t="shared" si="67"/>
        <v>Low Discount</v>
      </c>
      <c r="AB321" s="10">
        <f>MIN(R321,ControlPanel!$B$5)</f>
        <v>1.2E-2</v>
      </c>
      <c r="AC321">
        <f>P321*(1+ControlPanel!$B$6)</f>
        <v>1129.6950000000002</v>
      </c>
      <c r="AD321">
        <f>T321*(1+ControlPanel!$B$7)</f>
        <v>7.7000000000000011</v>
      </c>
      <c r="AE321" s="6">
        <f t="shared" si="68"/>
        <v>9449.7803400000012</v>
      </c>
      <c r="AF321">
        <f t="shared" si="69"/>
        <v>751.1288399999994</v>
      </c>
    </row>
    <row r="322" spans="1:32" x14ac:dyDescent="0.3">
      <c r="A322" t="s">
        <v>37</v>
      </c>
      <c r="B322" s="4">
        <v>45822</v>
      </c>
      <c r="C322" s="4" t="str">
        <f t="shared" si="58"/>
        <v>Jun-2025</v>
      </c>
      <c r="D322" t="str">
        <f t="shared" si="59"/>
        <v>Q2-2025</v>
      </c>
      <c r="E322" s="4">
        <v>45837</v>
      </c>
      <c r="F322" s="12">
        <f t="shared" ref="F322:F385" si="70">IF(B322&gt;E322,B322+14,E322)</f>
        <v>45837</v>
      </c>
      <c r="G322" s="13">
        <f t="shared" ref="G322:G385" si="71">F322-B322</f>
        <v>15</v>
      </c>
      <c r="H322" t="s">
        <v>646</v>
      </c>
      <c r="I322" t="s">
        <v>651</v>
      </c>
      <c r="J322" t="s">
        <v>663</v>
      </c>
      <c r="K322" t="s">
        <v>704</v>
      </c>
      <c r="L322" t="s">
        <v>709</v>
      </c>
      <c r="M322" t="s">
        <v>724</v>
      </c>
      <c r="N322" t="s">
        <v>733</v>
      </c>
      <c r="O322" t="s">
        <v>756</v>
      </c>
      <c r="P322" s="6">
        <v>730.99</v>
      </c>
      <c r="Q322" s="6">
        <v>1242.8399999999999</v>
      </c>
      <c r="R322" s="10">
        <v>0.12</v>
      </c>
      <c r="S322" s="10" t="b">
        <f t="shared" si="60"/>
        <v>0</v>
      </c>
      <c r="T322" s="8">
        <v>10</v>
      </c>
      <c r="U322">
        <f t="shared" si="61"/>
        <v>10936.992</v>
      </c>
      <c r="V322">
        <f t="shared" si="62"/>
        <v>7309.9</v>
      </c>
      <c r="W322">
        <f t="shared" si="63"/>
        <v>3627.0920000000006</v>
      </c>
      <c r="X322" s="10">
        <f t="shared" si="64"/>
        <v>0.33163524303574515</v>
      </c>
      <c r="Y322" t="str">
        <f t="shared" si="65"/>
        <v>Medium</v>
      </c>
      <c r="Z322" t="str">
        <f t="shared" si="66"/>
        <v>Not Met</v>
      </c>
      <c r="AA322" t="str">
        <f t="shared" si="67"/>
        <v>Low Discount</v>
      </c>
      <c r="AB322" s="10">
        <f>MIN(R322,ControlPanel!$B$5)</f>
        <v>0.12</v>
      </c>
      <c r="AC322">
        <f>P322*(1+ControlPanel!$B$6)</f>
        <v>767.53950000000009</v>
      </c>
      <c r="AD322">
        <f>T322*(1+ControlPanel!$B$7)</f>
        <v>11</v>
      </c>
      <c r="AE322" s="6">
        <f t="shared" si="68"/>
        <v>12030.691200000001</v>
      </c>
      <c r="AF322">
        <f t="shared" si="69"/>
        <v>3587.7566999999999</v>
      </c>
    </row>
    <row r="323" spans="1:32" x14ac:dyDescent="0.3">
      <c r="A323" t="s">
        <v>77</v>
      </c>
      <c r="B323" s="4">
        <v>45774</v>
      </c>
      <c r="C323" s="4" t="str">
        <f t="shared" ref="C323:C386" si="72">TEXT(B323,"MMM-YYYY")</f>
        <v>Apr-2025</v>
      </c>
      <c r="D323" t="str">
        <f t="shared" ref="D323:D386" si="73">"Q" &amp; ROUNDUP(MONTH(B323)/3,0) &amp; "-" &amp; YEAR(B323)</f>
        <v>Q2-2025</v>
      </c>
      <c r="E323" s="4">
        <v>45802</v>
      </c>
      <c r="F323" s="12">
        <f t="shared" si="70"/>
        <v>45802</v>
      </c>
      <c r="G323" s="13">
        <f t="shared" si="71"/>
        <v>28</v>
      </c>
      <c r="H323" t="s">
        <v>649</v>
      </c>
      <c r="I323" t="s">
        <v>657</v>
      </c>
      <c r="J323" t="s">
        <v>690</v>
      </c>
      <c r="K323" t="s">
        <v>705</v>
      </c>
      <c r="L323" t="s">
        <v>709</v>
      </c>
      <c r="M323" t="s">
        <v>714</v>
      </c>
      <c r="N323" t="s">
        <v>730</v>
      </c>
      <c r="O323" t="s">
        <v>796</v>
      </c>
      <c r="P323" s="6">
        <v>603.45000000000005</v>
      </c>
      <c r="Q323" s="6">
        <v>1244.08</v>
      </c>
      <c r="R323" s="10">
        <v>0.2</v>
      </c>
      <c r="S323" s="10" t="b">
        <f t="shared" ref="S323:S386" si="74">IF(R323&gt;30,TRUE)</f>
        <v>0</v>
      </c>
      <c r="T323" s="8">
        <v>11</v>
      </c>
      <c r="U323">
        <f t="shared" ref="U323:U386" si="75">(Q323*(100%-R323))*T323</f>
        <v>10947.904</v>
      </c>
      <c r="V323">
        <f t="shared" ref="V323:V386" si="76">P323*T323</f>
        <v>6637.9500000000007</v>
      </c>
      <c r="W323">
        <f t="shared" ref="W323:W386" si="77">U323-V323</f>
        <v>4309.9539999999997</v>
      </c>
      <c r="X323" s="10">
        <f t="shared" ref="X323:X386" si="78">IF(U323=0,0,W323/U323)</f>
        <v>0.39367846119220623</v>
      </c>
      <c r="Y323" t="str">
        <f t="shared" ref="Y323:Y386" si="79">IF(Q323&lt;=_xlfn.PERCENTILE.INC($Q$2:$Q$610,0.33),"Low",IF(Q323&lt;=_xlfn.PERCENTILE.INC($Q$2:$Q$610,0.67),"Medium","High"))</f>
        <v>Medium</v>
      </c>
      <c r="Z323" t="str">
        <f t="shared" ref="Z323:Z386" si="80">IF(G323&lt;=7,"Met","Not Met")</f>
        <v>Not Met</v>
      </c>
      <c r="AA323" t="str">
        <f t="shared" ref="AA323:AA386" si="81">IF(R323&gt;20%,"High Discount","Low Discount")</f>
        <v>Low Discount</v>
      </c>
      <c r="AB323" s="10">
        <f>MIN(R323,ControlPanel!$B$5)</f>
        <v>0.2</v>
      </c>
      <c r="AC323">
        <f>P323*(1+ControlPanel!$B$6)</f>
        <v>633.62250000000006</v>
      </c>
      <c r="AD323">
        <f>T323*(1+ControlPanel!$B$7)</f>
        <v>12.100000000000001</v>
      </c>
      <c r="AE323" s="6">
        <f t="shared" ref="AE323:AE386" si="82">(Q323*(100%-AB323)*AD323)</f>
        <v>12042.694400000002</v>
      </c>
      <c r="AF323">
        <f t="shared" ref="AF323:AF386" si="83">AE323-(AC323*AD323)</f>
        <v>4375.8621500000008</v>
      </c>
    </row>
    <row r="324" spans="1:32" x14ac:dyDescent="0.3">
      <c r="A324" t="s">
        <v>230</v>
      </c>
      <c r="B324" s="4">
        <v>45280</v>
      </c>
      <c r="C324" s="4" t="str">
        <f t="shared" si="72"/>
        <v>Dec-2023</v>
      </c>
      <c r="D324" t="str">
        <f t="shared" si="73"/>
        <v>Q4-2023</v>
      </c>
      <c r="E324" s="4">
        <v>45305</v>
      </c>
      <c r="F324" s="12">
        <f t="shared" si="70"/>
        <v>45305</v>
      </c>
      <c r="G324" s="13">
        <f t="shared" si="71"/>
        <v>25</v>
      </c>
      <c r="H324" t="s">
        <v>647</v>
      </c>
      <c r="I324" t="s">
        <v>654</v>
      </c>
      <c r="J324" t="s">
        <v>691</v>
      </c>
      <c r="K324" t="s">
        <v>703</v>
      </c>
      <c r="L324" t="s">
        <v>709</v>
      </c>
      <c r="M324" t="s">
        <v>716</v>
      </c>
      <c r="N324" t="s">
        <v>732</v>
      </c>
      <c r="O324" t="s">
        <v>950</v>
      </c>
      <c r="P324" s="6">
        <v>1085.6099999999999</v>
      </c>
      <c r="Q324" s="6">
        <v>1246.4100000000001</v>
      </c>
      <c r="R324" s="10">
        <v>0.113</v>
      </c>
      <c r="S324" s="10" t="b">
        <f t="shared" si="74"/>
        <v>0</v>
      </c>
      <c r="T324" s="8">
        <v>7</v>
      </c>
      <c r="U324">
        <f t="shared" si="75"/>
        <v>7738.9596900000015</v>
      </c>
      <c r="V324">
        <f t="shared" si="76"/>
        <v>7599.2699999999995</v>
      </c>
      <c r="W324">
        <f t="shared" si="77"/>
        <v>139.68969000000197</v>
      </c>
      <c r="X324" s="10">
        <f t="shared" si="78"/>
        <v>1.8050189637310535E-2</v>
      </c>
      <c r="Y324" t="str">
        <f t="shared" si="79"/>
        <v>Medium</v>
      </c>
      <c r="Z324" t="str">
        <f t="shared" si="80"/>
        <v>Not Met</v>
      </c>
      <c r="AA324" t="str">
        <f t="shared" si="81"/>
        <v>Low Discount</v>
      </c>
      <c r="AB324" s="10">
        <f>MIN(R324,ControlPanel!$B$5)</f>
        <v>0.113</v>
      </c>
      <c r="AC324">
        <f>P324*(1+ControlPanel!$B$6)</f>
        <v>1139.8905</v>
      </c>
      <c r="AD324">
        <f>T324*(1+ControlPanel!$B$7)</f>
        <v>7.7000000000000011</v>
      </c>
      <c r="AE324" s="6">
        <f t="shared" si="82"/>
        <v>8512.8556590000026</v>
      </c>
      <c r="AF324">
        <f t="shared" si="83"/>
        <v>-264.30119099999865</v>
      </c>
    </row>
    <row r="325" spans="1:32" x14ac:dyDescent="0.3">
      <c r="A325" t="s">
        <v>562</v>
      </c>
      <c r="B325" s="4">
        <v>44985</v>
      </c>
      <c r="C325" s="4" t="str">
        <f t="shared" si="72"/>
        <v>Feb-2023</v>
      </c>
      <c r="D325" t="str">
        <f t="shared" si="73"/>
        <v>Q1-2023</v>
      </c>
      <c r="E325" s="4">
        <v>44991</v>
      </c>
      <c r="F325" s="12">
        <f t="shared" si="70"/>
        <v>44991</v>
      </c>
      <c r="G325" s="13">
        <f t="shared" si="71"/>
        <v>6</v>
      </c>
      <c r="H325" t="s">
        <v>649</v>
      </c>
      <c r="I325" t="s">
        <v>656</v>
      </c>
      <c r="J325" t="s">
        <v>698</v>
      </c>
      <c r="K325" t="s">
        <v>705</v>
      </c>
      <c r="L325" t="s">
        <v>709</v>
      </c>
      <c r="M325" t="s">
        <v>726</v>
      </c>
      <c r="N325" t="s">
        <v>728</v>
      </c>
      <c r="O325" t="s">
        <v>1280</v>
      </c>
      <c r="P325" s="6">
        <v>880.02</v>
      </c>
      <c r="Q325" s="6">
        <v>1251.21</v>
      </c>
      <c r="R325" s="10">
        <v>0.123</v>
      </c>
      <c r="S325" s="10" t="b">
        <f t="shared" si="74"/>
        <v>0</v>
      </c>
      <c r="T325" s="8">
        <v>29</v>
      </c>
      <c r="U325">
        <f t="shared" si="75"/>
        <v>31822.023929999999</v>
      </c>
      <c r="V325">
        <f t="shared" si="76"/>
        <v>25520.579999999998</v>
      </c>
      <c r="W325">
        <f t="shared" si="77"/>
        <v>6301.4439300000013</v>
      </c>
      <c r="X325" s="10">
        <f t="shared" si="78"/>
        <v>0.19802146915172664</v>
      </c>
      <c r="Y325" t="str">
        <f t="shared" si="79"/>
        <v>Medium</v>
      </c>
      <c r="Z325" t="str">
        <f t="shared" si="80"/>
        <v>Met</v>
      </c>
      <c r="AA325" t="str">
        <f t="shared" si="81"/>
        <v>Low Discount</v>
      </c>
      <c r="AB325" s="10">
        <f>MIN(R325,ControlPanel!$B$5)</f>
        <v>0.123</v>
      </c>
      <c r="AC325">
        <f>P325*(1+ControlPanel!$B$6)</f>
        <v>924.02100000000007</v>
      </c>
      <c r="AD325">
        <f>T325*(1+ControlPanel!$B$7)</f>
        <v>31.900000000000002</v>
      </c>
      <c r="AE325" s="6">
        <f t="shared" si="82"/>
        <v>35004.226323000003</v>
      </c>
      <c r="AF325">
        <f t="shared" si="83"/>
        <v>5527.9564229999996</v>
      </c>
    </row>
    <row r="326" spans="1:32" x14ac:dyDescent="0.3">
      <c r="A326" t="s">
        <v>166</v>
      </c>
      <c r="B326" s="4">
        <v>45110</v>
      </c>
      <c r="C326" s="4" t="str">
        <f t="shared" si="72"/>
        <v>Jul-2023</v>
      </c>
      <c r="D326" t="str">
        <f t="shared" si="73"/>
        <v>Q3-2023</v>
      </c>
      <c r="E326" s="4">
        <v>45130</v>
      </c>
      <c r="F326" s="12">
        <f t="shared" si="70"/>
        <v>45130</v>
      </c>
      <c r="G326" s="13">
        <f t="shared" si="71"/>
        <v>20</v>
      </c>
      <c r="H326" t="s">
        <v>646</v>
      </c>
      <c r="I326" t="s">
        <v>661</v>
      </c>
      <c r="J326" t="s">
        <v>682</v>
      </c>
      <c r="K326" t="s">
        <v>705</v>
      </c>
      <c r="L326" t="s">
        <v>710</v>
      </c>
      <c r="M326" t="s">
        <v>721</v>
      </c>
      <c r="N326" t="s">
        <v>731</v>
      </c>
      <c r="O326" t="s">
        <v>885</v>
      </c>
      <c r="P326" s="6">
        <v>1001.96</v>
      </c>
      <c r="Q326" s="6">
        <v>1254.95</v>
      </c>
      <c r="R326" s="10">
        <v>4.4999999999999998E-2</v>
      </c>
      <c r="S326" s="10" t="b">
        <f t="shared" si="74"/>
        <v>0</v>
      </c>
      <c r="T326" s="8">
        <v>18</v>
      </c>
      <c r="U326">
        <f t="shared" si="75"/>
        <v>21572.590499999998</v>
      </c>
      <c r="V326">
        <f t="shared" si="76"/>
        <v>18035.28</v>
      </c>
      <c r="W326">
        <f t="shared" si="77"/>
        <v>3537.3104999999996</v>
      </c>
      <c r="X326" s="10">
        <f t="shared" si="78"/>
        <v>0.16397244920585685</v>
      </c>
      <c r="Y326" t="str">
        <f t="shared" si="79"/>
        <v>Medium</v>
      </c>
      <c r="Z326" t="str">
        <f t="shared" si="80"/>
        <v>Not Met</v>
      </c>
      <c r="AA326" t="str">
        <f t="shared" si="81"/>
        <v>Low Discount</v>
      </c>
      <c r="AB326" s="10">
        <f>MIN(R326,ControlPanel!$B$5)</f>
        <v>4.4999999999999998E-2</v>
      </c>
      <c r="AC326">
        <f>P326*(1+ControlPanel!$B$6)</f>
        <v>1052.058</v>
      </c>
      <c r="AD326">
        <f>T326*(1+ControlPanel!$B$7)</f>
        <v>19.8</v>
      </c>
      <c r="AE326" s="6">
        <f t="shared" si="82"/>
        <v>23729.849549999999</v>
      </c>
      <c r="AF326">
        <f t="shared" si="83"/>
        <v>2899.1011499999986</v>
      </c>
    </row>
    <row r="327" spans="1:32" x14ac:dyDescent="0.3">
      <c r="A327" t="s">
        <v>85</v>
      </c>
      <c r="B327" s="4">
        <v>45369</v>
      </c>
      <c r="C327" s="4" t="str">
        <f t="shared" si="72"/>
        <v>Mar-2024</v>
      </c>
      <c r="D327" t="str">
        <f t="shared" si="73"/>
        <v>Q1-2024</v>
      </c>
      <c r="E327" s="4">
        <v>45372</v>
      </c>
      <c r="F327" s="12">
        <f t="shared" si="70"/>
        <v>45372</v>
      </c>
      <c r="G327" s="13">
        <f t="shared" si="71"/>
        <v>3</v>
      </c>
      <c r="H327" t="s">
        <v>649</v>
      </c>
      <c r="I327" t="s">
        <v>656</v>
      </c>
      <c r="J327" t="s">
        <v>684</v>
      </c>
      <c r="K327" t="s">
        <v>705</v>
      </c>
      <c r="L327" t="s">
        <v>708</v>
      </c>
      <c r="M327" t="s">
        <v>724</v>
      </c>
      <c r="N327" t="s">
        <v>733</v>
      </c>
      <c r="O327" t="s">
        <v>804</v>
      </c>
      <c r="P327" s="6">
        <v>910.63</v>
      </c>
      <c r="Q327" s="6">
        <v>1269.4000000000001</v>
      </c>
      <c r="R327" s="10">
        <v>6.8000000000000005E-2</v>
      </c>
      <c r="S327" s="10" t="b">
        <f t="shared" si="74"/>
        <v>0</v>
      </c>
      <c r="T327" s="8">
        <v>9</v>
      </c>
      <c r="U327">
        <f t="shared" si="75"/>
        <v>10647.727199999999</v>
      </c>
      <c r="V327">
        <f t="shared" si="76"/>
        <v>8195.67</v>
      </c>
      <c r="W327">
        <f t="shared" si="77"/>
        <v>2452.0571999999993</v>
      </c>
      <c r="X327" s="10">
        <f t="shared" si="78"/>
        <v>0.23028925834989455</v>
      </c>
      <c r="Y327" t="str">
        <f t="shared" si="79"/>
        <v>Medium</v>
      </c>
      <c r="Z327" t="str">
        <f t="shared" si="80"/>
        <v>Met</v>
      </c>
      <c r="AA327" t="str">
        <f t="shared" si="81"/>
        <v>Low Discount</v>
      </c>
      <c r="AB327" s="10">
        <f>MIN(R327,ControlPanel!$B$5)</f>
        <v>6.8000000000000005E-2</v>
      </c>
      <c r="AC327">
        <f>P327*(1+ControlPanel!$B$6)</f>
        <v>956.16150000000005</v>
      </c>
      <c r="AD327">
        <f>T327*(1+ControlPanel!$B$7)</f>
        <v>9.9</v>
      </c>
      <c r="AE327" s="6">
        <f t="shared" si="82"/>
        <v>11712.49992</v>
      </c>
      <c r="AF327">
        <f t="shared" si="83"/>
        <v>2246.5010700000003</v>
      </c>
    </row>
    <row r="328" spans="1:32" x14ac:dyDescent="0.3">
      <c r="A328" t="s">
        <v>615</v>
      </c>
      <c r="B328" s="4">
        <v>45523</v>
      </c>
      <c r="C328" s="4" t="str">
        <f t="shared" si="72"/>
        <v>Aug-2024</v>
      </c>
      <c r="D328" t="str">
        <f t="shared" si="73"/>
        <v>Q3-2024</v>
      </c>
      <c r="E328" s="4">
        <v>45537</v>
      </c>
      <c r="F328" s="12">
        <f t="shared" si="70"/>
        <v>45537</v>
      </c>
      <c r="G328" s="13">
        <f t="shared" si="71"/>
        <v>14</v>
      </c>
      <c r="H328" t="s">
        <v>648</v>
      </c>
      <c r="I328" t="s">
        <v>653</v>
      </c>
      <c r="J328" t="s">
        <v>667</v>
      </c>
      <c r="K328" t="s">
        <v>704</v>
      </c>
      <c r="L328" t="s">
        <v>710</v>
      </c>
      <c r="M328" t="s">
        <v>712</v>
      </c>
      <c r="N328" t="s">
        <v>728</v>
      </c>
      <c r="O328" t="s">
        <v>1333</v>
      </c>
      <c r="P328" s="6">
        <v>1337.01</v>
      </c>
      <c r="Q328" s="6">
        <v>1269.78</v>
      </c>
      <c r="R328" s="10">
        <v>0.16</v>
      </c>
      <c r="S328" s="10" t="b">
        <f t="shared" si="74"/>
        <v>0</v>
      </c>
      <c r="T328" s="8">
        <v>7</v>
      </c>
      <c r="U328">
        <f t="shared" si="75"/>
        <v>7466.3063999999995</v>
      </c>
      <c r="V328">
        <f t="shared" si="76"/>
        <v>9359.07</v>
      </c>
      <c r="W328">
        <f t="shared" si="77"/>
        <v>-1892.7636000000002</v>
      </c>
      <c r="X328" s="10">
        <f t="shared" si="78"/>
        <v>-0.25350735672996227</v>
      </c>
      <c r="Y328" t="str">
        <f t="shared" si="79"/>
        <v>Medium</v>
      </c>
      <c r="Z328" t="str">
        <f t="shared" si="80"/>
        <v>Not Met</v>
      </c>
      <c r="AA328" t="str">
        <f t="shared" si="81"/>
        <v>Low Discount</v>
      </c>
      <c r="AB328" s="10">
        <f>MIN(R328,ControlPanel!$B$5)</f>
        <v>0.16</v>
      </c>
      <c r="AC328">
        <f>P328*(1+ControlPanel!$B$6)</f>
        <v>1403.8605</v>
      </c>
      <c r="AD328">
        <f>T328*(1+ControlPanel!$B$7)</f>
        <v>7.7000000000000011</v>
      </c>
      <c r="AE328" s="6">
        <f t="shared" si="82"/>
        <v>8212.9370400000007</v>
      </c>
      <c r="AF328">
        <f t="shared" si="83"/>
        <v>-2596.78881</v>
      </c>
    </row>
    <row r="329" spans="1:32" x14ac:dyDescent="0.3">
      <c r="A329" t="s">
        <v>547</v>
      </c>
      <c r="B329" s="4">
        <v>45155</v>
      </c>
      <c r="C329" s="4" t="str">
        <f t="shared" si="72"/>
        <v>Aug-2023</v>
      </c>
      <c r="D329" t="str">
        <f t="shared" si="73"/>
        <v>Q3-2023</v>
      </c>
      <c r="E329" s="4">
        <v>45172</v>
      </c>
      <c r="F329" s="12">
        <f t="shared" si="70"/>
        <v>45172</v>
      </c>
      <c r="G329" s="13">
        <f t="shared" si="71"/>
        <v>17</v>
      </c>
      <c r="H329" t="s">
        <v>646</v>
      </c>
      <c r="I329" t="s">
        <v>661</v>
      </c>
      <c r="J329" t="s">
        <v>687</v>
      </c>
      <c r="K329" t="s">
        <v>706</v>
      </c>
      <c r="L329" t="s">
        <v>707</v>
      </c>
      <c r="M329" t="s">
        <v>720</v>
      </c>
      <c r="N329" t="s">
        <v>730</v>
      </c>
      <c r="O329" t="s">
        <v>1266</v>
      </c>
      <c r="P329" s="6">
        <v>676.37</v>
      </c>
      <c r="Q329" s="6">
        <v>1276.67</v>
      </c>
      <c r="R329" s="10">
        <v>6.6000000000000003E-2</v>
      </c>
      <c r="S329" s="10" t="b">
        <f t="shared" si="74"/>
        <v>0</v>
      </c>
      <c r="T329" s="8">
        <v>10</v>
      </c>
      <c r="U329">
        <f t="shared" si="75"/>
        <v>11924.0978</v>
      </c>
      <c r="V329">
        <f t="shared" si="76"/>
        <v>6763.7</v>
      </c>
      <c r="W329">
        <f t="shared" si="77"/>
        <v>5160.3977999999997</v>
      </c>
      <c r="X329" s="10">
        <f t="shared" si="78"/>
        <v>0.4327705027712872</v>
      </c>
      <c r="Y329" t="str">
        <f t="shared" si="79"/>
        <v>Medium</v>
      </c>
      <c r="Z329" t="str">
        <f t="shared" si="80"/>
        <v>Not Met</v>
      </c>
      <c r="AA329" t="str">
        <f t="shared" si="81"/>
        <v>Low Discount</v>
      </c>
      <c r="AB329" s="10">
        <f>MIN(R329,ControlPanel!$B$5)</f>
        <v>6.6000000000000003E-2</v>
      </c>
      <c r="AC329">
        <f>P329*(1+ControlPanel!$B$6)</f>
        <v>710.18850000000009</v>
      </c>
      <c r="AD329">
        <f>T329*(1+ControlPanel!$B$7)</f>
        <v>11</v>
      </c>
      <c r="AE329" s="6">
        <f t="shared" si="82"/>
        <v>13116.50758</v>
      </c>
      <c r="AF329">
        <f t="shared" si="83"/>
        <v>5304.4340799999982</v>
      </c>
    </row>
    <row r="330" spans="1:32" x14ac:dyDescent="0.3">
      <c r="A330" t="s">
        <v>397</v>
      </c>
      <c r="B330" s="4">
        <v>45097</v>
      </c>
      <c r="C330" s="4" t="str">
        <f t="shared" si="72"/>
        <v>Jun-2023</v>
      </c>
      <c r="D330" t="str">
        <f t="shared" si="73"/>
        <v>Q2-2023</v>
      </c>
      <c r="E330" s="4">
        <v>45115</v>
      </c>
      <c r="F330" s="12">
        <f t="shared" si="70"/>
        <v>45115</v>
      </c>
      <c r="G330" s="13">
        <f t="shared" si="71"/>
        <v>18</v>
      </c>
      <c r="H330" t="s">
        <v>648</v>
      </c>
      <c r="I330" t="s">
        <v>660</v>
      </c>
      <c r="J330" t="s">
        <v>700</v>
      </c>
      <c r="K330" t="s">
        <v>704</v>
      </c>
      <c r="L330" t="s">
        <v>709</v>
      </c>
      <c r="M330" t="s">
        <v>719</v>
      </c>
      <c r="N330" t="s">
        <v>729</v>
      </c>
      <c r="O330" t="s">
        <v>1116</v>
      </c>
      <c r="P330" s="6">
        <v>1145.53</v>
      </c>
      <c r="Q330" s="6">
        <v>1278.3</v>
      </c>
      <c r="R330" s="10">
        <v>0.09</v>
      </c>
      <c r="S330" s="10" t="b">
        <f t="shared" si="74"/>
        <v>0</v>
      </c>
      <c r="T330" s="8">
        <v>41</v>
      </c>
      <c r="U330">
        <f t="shared" si="75"/>
        <v>47693.373</v>
      </c>
      <c r="V330">
        <f t="shared" si="76"/>
        <v>46966.729999999996</v>
      </c>
      <c r="W330">
        <f t="shared" si="77"/>
        <v>726.64300000000367</v>
      </c>
      <c r="X330" s="10">
        <f t="shared" si="78"/>
        <v>1.5235722581416158E-2</v>
      </c>
      <c r="Y330" t="str">
        <f t="shared" si="79"/>
        <v>Medium</v>
      </c>
      <c r="Z330" t="str">
        <f t="shared" si="80"/>
        <v>Not Met</v>
      </c>
      <c r="AA330" t="str">
        <f t="shared" si="81"/>
        <v>Low Discount</v>
      </c>
      <c r="AB330" s="10">
        <f>MIN(R330,ControlPanel!$B$5)</f>
        <v>0.09</v>
      </c>
      <c r="AC330">
        <f>P330*(1+ControlPanel!$B$6)</f>
        <v>1202.8064999999999</v>
      </c>
      <c r="AD330">
        <f>T330*(1+ControlPanel!$B$7)</f>
        <v>45.1</v>
      </c>
      <c r="AE330" s="6">
        <f t="shared" si="82"/>
        <v>52462.710299999999</v>
      </c>
      <c r="AF330">
        <f t="shared" si="83"/>
        <v>-1783.8628499999977</v>
      </c>
    </row>
    <row r="331" spans="1:32" x14ac:dyDescent="0.3">
      <c r="A331" t="s">
        <v>105</v>
      </c>
      <c r="B331" s="4">
        <v>45775</v>
      </c>
      <c r="C331" s="4" t="str">
        <f t="shared" si="72"/>
        <v>Apr-2025</v>
      </c>
      <c r="D331" t="str">
        <f t="shared" si="73"/>
        <v>Q2-2025</v>
      </c>
      <c r="E331" s="4">
        <v>45792</v>
      </c>
      <c r="F331" s="12">
        <f t="shared" si="70"/>
        <v>45792</v>
      </c>
      <c r="G331" s="13">
        <f t="shared" si="71"/>
        <v>17</v>
      </c>
      <c r="H331" t="s">
        <v>647</v>
      </c>
      <c r="I331" t="s">
        <v>652</v>
      </c>
      <c r="J331" t="s">
        <v>694</v>
      </c>
      <c r="K331" t="s">
        <v>702</v>
      </c>
      <c r="L331" t="s">
        <v>711</v>
      </c>
      <c r="M331" t="s">
        <v>725</v>
      </c>
      <c r="N331" t="s">
        <v>729</v>
      </c>
      <c r="O331" t="s">
        <v>824</v>
      </c>
      <c r="P331" s="6">
        <v>691.19</v>
      </c>
      <c r="Q331" s="6">
        <v>1284.3</v>
      </c>
      <c r="R331" s="10">
        <v>7.3999999999999996E-2</v>
      </c>
      <c r="S331" s="10" t="b">
        <f t="shared" si="74"/>
        <v>0</v>
      </c>
      <c r="T331" s="8">
        <v>7</v>
      </c>
      <c r="U331">
        <f t="shared" si="75"/>
        <v>8324.8325999999997</v>
      </c>
      <c r="V331">
        <f t="shared" si="76"/>
        <v>4838.33</v>
      </c>
      <c r="W331">
        <f t="shared" si="77"/>
        <v>3486.5025999999998</v>
      </c>
      <c r="X331" s="10">
        <f t="shared" si="78"/>
        <v>0.41880753253825187</v>
      </c>
      <c r="Y331" t="str">
        <f t="shared" si="79"/>
        <v>Medium</v>
      </c>
      <c r="Z331" t="str">
        <f t="shared" si="80"/>
        <v>Not Met</v>
      </c>
      <c r="AA331" t="str">
        <f t="shared" si="81"/>
        <v>Low Discount</v>
      </c>
      <c r="AB331" s="10">
        <f>MIN(R331,ControlPanel!$B$5)</f>
        <v>7.3999999999999996E-2</v>
      </c>
      <c r="AC331">
        <f>P331*(1+ControlPanel!$B$6)</f>
        <v>725.74950000000013</v>
      </c>
      <c r="AD331">
        <f>T331*(1+ControlPanel!$B$7)</f>
        <v>7.7000000000000011</v>
      </c>
      <c r="AE331" s="6">
        <f t="shared" si="82"/>
        <v>9157.3158600000006</v>
      </c>
      <c r="AF331">
        <f t="shared" si="83"/>
        <v>3569.0447099999992</v>
      </c>
    </row>
    <row r="332" spans="1:32" x14ac:dyDescent="0.3">
      <c r="A332" t="s">
        <v>100</v>
      </c>
      <c r="B332" s="4">
        <v>45282</v>
      </c>
      <c r="C332" s="4" t="str">
        <f t="shared" si="72"/>
        <v>Dec-2023</v>
      </c>
      <c r="D332" t="str">
        <f t="shared" si="73"/>
        <v>Q4-2023</v>
      </c>
      <c r="E332" s="4">
        <v>45283</v>
      </c>
      <c r="F332" s="12">
        <f t="shared" si="70"/>
        <v>45283</v>
      </c>
      <c r="G332" s="13">
        <f t="shared" si="71"/>
        <v>1</v>
      </c>
      <c r="H332" t="s">
        <v>646</v>
      </c>
      <c r="I332" t="s">
        <v>661</v>
      </c>
      <c r="J332" t="s">
        <v>695</v>
      </c>
      <c r="K332" t="s">
        <v>703</v>
      </c>
      <c r="L332" t="s">
        <v>709</v>
      </c>
      <c r="M332" t="s">
        <v>726</v>
      </c>
      <c r="N332" t="s">
        <v>727</v>
      </c>
      <c r="O332" t="s">
        <v>819</v>
      </c>
      <c r="P332" s="6">
        <v>1186.18</v>
      </c>
      <c r="Q332" s="6">
        <v>1285.0899999999999</v>
      </c>
      <c r="R332" s="10">
        <v>7.0000000000000007E-2</v>
      </c>
      <c r="S332" s="10" t="b">
        <f t="shared" si="74"/>
        <v>0</v>
      </c>
      <c r="T332" s="8">
        <v>11</v>
      </c>
      <c r="U332">
        <f t="shared" si="75"/>
        <v>13146.470699999998</v>
      </c>
      <c r="V332">
        <f t="shared" si="76"/>
        <v>13047.980000000001</v>
      </c>
      <c r="W332">
        <f t="shared" si="77"/>
        <v>98.49069999999665</v>
      </c>
      <c r="X332" s="10">
        <f t="shared" si="78"/>
        <v>7.4917977796121861E-3</v>
      </c>
      <c r="Y332" t="str">
        <f t="shared" si="79"/>
        <v>Medium</v>
      </c>
      <c r="Z332" t="str">
        <f t="shared" si="80"/>
        <v>Met</v>
      </c>
      <c r="AA332" t="str">
        <f t="shared" si="81"/>
        <v>Low Discount</v>
      </c>
      <c r="AB332" s="10">
        <f>MIN(R332,ControlPanel!$B$5)</f>
        <v>7.0000000000000007E-2</v>
      </c>
      <c r="AC332">
        <f>P332*(1+ControlPanel!$B$6)</f>
        <v>1245.489</v>
      </c>
      <c r="AD332">
        <f>T332*(1+ControlPanel!$B$7)</f>
        <v>12.100000000000001</v>
      </c>
      <c r="AE332" s="6">
        <f t="shared" si="82"/>
        <v>14461.117770000001</v>
      </c>
      <c r="AF332">
        <f t="shared" si="83"/>
        <v>-609.29913000000124</v>
      </c>
    </row>
    <row r="333" spans="1:32" x14ac:dyDescent="0.3">
      <c r="A333" t="s">
        <v>489</v>
      </c>
      <c r="B333" s="4">
        <v>45069</v>
      </c>
      <c r="C333" s="4" t="str">
        <f t="shared" si="72"/>
        <v>May-2023</v>
      </c>
      <c r="D333" t="str">
        <f t="shared" si="73"/>
        <v>Q2-2023</v>
      </c>
      <c r="E333" s="4">
        <v>45071</v>
      </c>
      <c r="F333" s="12">
        <f t="shared" si="70"/>
        <v>45071</v>
      </c>
      <c r="G333" s="13">
        <f t="shared" si="71"/>
        <v>2</v>
      </c>
      <c r="H333" t="s">
        <v>648</v>
      </c>
      <c r="I333" t="s">
        <v>655</v>
      </c>
      <c r="J333" t="s">
        <v>692</v>
      </c>
      <c r="K333" t="s">
        <v>706</v>
      </c>
      <c r="L333" t="s">
        <v>707</v>
      </c>
      <c r="M333" t="s">
        <v>724</v>
      </c>
      <c r="N333" t="s">
        <v>728</v>
      </c>
      <c r="O333" t="s">
        <v>1208</v>
      </c>
      <c r="P333" s="6">
        <v>690.49</v>
      </c>
      <c r="Q333" s="6">
        <v>1290.29</v>
      </c>
      <c r="R333" s="10">
        <v>4.2000000000000003E-2</v>
      </c>
      <c r="S333" s="10" t="b">
        <f t="shared" si="74"/>
        <v>0</v>
      </c>
      <c r="T333" s="8">
        <v>22</v>
      </c>
      <c r="U333">
        <f t="shared" si="75"/>
        <v>27194.152040000001</v>
      </c>
      <c r="V333">
        <f t="shared" si="76"/>
        <v>15190.78</v>
      </c>
      <c r="W333">
        <f t="shared" si="77"/>
        <v>12003.37204</v>
      </c>
      <c r="X333" s="10">
        <f t="shared" si="78"/>
        <v>0.44139534199647729</v>
      </c>
      <c r="Y333" t="str">
        <f t="shared" si="79"/>
        <v>Medium</v>
      </c>
      <c r="Z333" t="str">
        <f t="shared" si="80"/>
        <v>Met</v>
      </c>
      <c r="AA333" t="str">
        <f t="shared" si="81"/>
        <v>Low Discount</v>
      </c>
      <c r="AB333" s="10">
        <f>MIN(R333,ControlPanel!$B$5)</f>
        <v>4.2000000000000003E-2</v>
      </c>
      <c r="AC333">
        <f>P333*(1+ControlPanel!$B$6)</f>
        <v>725.0145</v>
      </c>
      <c r="AD333">
        <f>T333*(1+ControlPanel!$B$7)</f>
        <v>24.200000000000003</v>
      </c>
      <c r="AE333" s="6">
        <f t="shared" si="82"/>
        <v>29913.567244000002</v>
      </c>
      <c r="AF333">
        <f t="shared" si="83"/>
        <v>12368.216344</v>
      </c>
    </row>
    <row r="334" spans="1:32" x14ac:dyDescent="0.3">
      <c r="A334" t="s">
        <v>414</v>
      </c>
      <c r="B334" s="4">
        <v>45759</v>
      </c>
      <c r="C334" s="4" t="str">
        <f t="shared" si="72"/>
        <v>Apr-2025</v>
      </c>
      <c r="D334" t="str">
        <f t="shared" si="73"/>
        <v>Q2-2025</v>
      </c>
      <c r="E334" s="4">
        <v>45777</v>
      </c>
      <c r="F334" s="12">
        <f t="shared" si="70"/>
        <v>45777</v>
      </c>
      <c r="G334" s="13">
        <f t="shared" si="71"/>
        <v>18</v>
      </c>
      <c r="H334" t="s">
        <v>646</v>
      </c>
      <c r="I334" t="s">
        <v>650</v>
      </c>
      <c r="J334" t="s">
        <v>662</v>
      </c>
      <c r="K334" t="s">
        <v>701</v>
      </c>
      <c r="L334" t="s">
        <v>709</v>
      </c>
      <c r="M334" t="s">
        <v>721</v>
      </c>
      <c r="N334" t="s">
        <v>729</v>
      </c>
      <c r="O334" t="s">
        <v>1133</v>
      </c>
      <c r="P334" s="6">
        <v>1119.04</v>
      </c>
      <c r="Q334" s="6">
        <v>1299.02</v>
      </c>
      <c r="R334" s="10">
        <v>2.5000000000000001E-2</v>
      </c>
      <c r="S334" s="10" t="b">
        <f t="shared" si="74"/>
        <v>0</v>
      </c>
      <c r="T334" s="8">
        <v>14</v>
      </c>
      <c r="U334">
        <f t="shared" si="75"/>
        <v>17731.623</v>
      </c>
      <c r="V334">
        <f t="shared" si="76"/>
        <v>15666.56</v>
      </c>
      <c r="W334">
        <f t="shared" si="77"/>
        <v>2065.0630000000001</v>
      </c>
      <c r="X334" s="10">
        <f t="shared" si="78"/>
        <v>0.11646215352085933</v>
      </c>
      <c r="Y334" t="str">
        <f t="shared" si="79"/>
        <v>Medium</v>
      </c>
      <c r="Z334" t="str">
        <f t="shared" si="80"/>
        <v>Not Met</v>
      </c>
      <c r="AA334" t="str">
        <f t="shared" si="81"/>
        <v>Low Discount</v>
      </c>
      <c r="AB334" s="10">
        <f>MIN(R334,ControlPanel!$B$5)</f>
        <v>2.5000000000000001E-2</v>
      </c>
      <c r="AC334">
        <f>P334*(1+ControlPanel!$B$6)</f>
        <v>1174.992</v>
      </c>
      <c r="AD334">
        <f>T334*(1+ControlPanel!$B$7)</f>
        <v>15.400000000000002</v>
      </c>
      <c r="AE334" s="6">
        <f t="shared" si="82"/>
        <v>19504.785300000003</v>
      </c>
      <c r="AF334">
        <f t="shared" si="83"/>
        <v>1409.9085000000014</v>
      </c>
    </row>
    <row r="335" spans="1:32" x14ac:dyDescent="0.3">
      <c r="A335" t="s">
        <v>234</v>
      </c>
      <c r="B335" s="4">
        <v>45894</v>
      </c>
      <c r="C335" s="4" t="str">
        <f t="shared" si="72"/>
        <v>Aug-2025</v>
      </c>
      <c r="D335" t="str">
        <f t="shared" si="73"/>
        <v>Q3-2025</v>
      </c>
      <c r="E335" s="4">
        <v>45924</v>
      </c>
      <c r="F335" s="12">
        <f t="shared" si="70"/>
        <v>45924</v>
      </c>
      <c r="G335" s="13">
        <f t="shared" si="71"/>
        <v>30</v>
      </c>
      <c r="H335" t="s">
        <v>646</v>
      </c>
      <c r="I335" t="s">
        <v>650</v>
      </c>
      <c r="J335" t="s">
        <v>664</v>
      </c>
      <c r="K335" t="s">
        <v>704</v>
      </c>
      <c r="L335" t="s">
        <v>711</v>
      </c>
      <c r="M335" t="s">
        <v>717</v>
      </c>
      <c r="N335" t="s">
        <v>727</v>
      </c>
      <c r="O335" t="s">
        <v>954</v>
      </c>
      <c r="P335" s="6">
        <v>589.14</v>
      </c>
      <c r="Q335" s="6">
        <v>1300.58</v>
      </c>
      <c r="R335" s="10">
        <v>5.5E-2</v>
      </c>
      <c r="S335" s="10" t="b">
        <f t="shared" si="74"/>
        <v>0</v>
      </c>
      <c r="T335" s="8">
        <v>11</v>
      </c>
      <c r="U335">
        <f t="shared" si="75"/>
        <v>13519.5291</v>
      </c>
      <c r="V335">
        <f t="shared" si="76"/>
        <v>6480.54</v>
      </c>
      <c r="W335">
        <f t="shared" si="77"/>
        <v>7038.9890999999998</v>
      </c>
      <c r="X335" s="10">
        <f t="shared" si="78"/>
        <v>0.52065342275863735</v>
      </c>
      <c r="Y335" t="str">
        <f t="shared" si="79"/>
        <v>Medium</v>
      </c>
      <c r="Z335" t="str">
        <f t="shared" si="80"/>
        <v>Not Met</v>
      </c>
      <c r="AA335" t="str">
        <f t="shared" si="81"/>
        <v>Low Discount</v>
      </c>
      <c r="AB335" s="10">
        <f>MIN(R335,ControlPanel!$B$5)</f>
        <v>5.5E-2</v>
      </c>
      <c r="AC335">
        <f>P335*(1+ControlPanel!$B$6)</f>
        <v>618.59699999999998</v>
      </c>
      <c r="AD335">
        <f>T335*(1+ControlPanel!$B$7)</f>
        <v>12.100000000000001</v>
      </c>
      <c r="AE335" s="6">
        <f t="shared" si="82"/>
        <v>14871.482010000002</v>
      </c>
      <c r="AF335">
        <f t="shared" si="83"/>
        <v>7386.4583100000009</v>
      </c>
    </row>
    <row r="336" spans="1:32" x14ac:dyDescent="0.3">
      <c r="A336" t="s">
        <v>204</v>
      </c>
      <c r="B336" s="4">
        <v>45325</v>
      </c>
      <c r="C336" s="4" t="str">
        <f t="shared" si="72"/>
        <v>Feb-2024</v>
      </c>
      <c r="D336" t="str">
        <f t="shared" si="73"/>
        <v>Q1-2024</v>
      </c>
      <c r="E336" s="4">
        <v>45341</v>
      </c>
      <c r="F336" s="12">
        <f t="shared" si="70"/>
        <v>45341</v>
      </c>
      <c r="G336" s="13">
        <f t="shared" si="71"/>
        <v>16</v>
      </c>
      <c r="H336" t="s">
        <v>647</v>
      </c>
      <c r="I336" t="s">
        <v>659</v>
      </c>
      <c r="J336" t="s">
        <v>676</v>
      </c>
      <c r="K336" t="s">
        <v>705</v>
      </c>
      <c r="L336" t="s">
        <v>708</v>
      </c>
      <c r="M336" t="s">
        <v>722</v>
      </c>
      <c r="N336" t="s">
        <v>731</v>
      </c>
      <c r="O336" t="s">
        <v>924</v>
      </c>
      <c r="P336" s="6">
        <v>993.75</v>
      </c>
      <c r="Q336" s="6">
        <v>1310.29</v>
      </c>
      <c r="R336" s="10">
        <v>0.215</v>
      </c>
      <c r="S336" s="10" t="b">
        <f t="shared" si="74"/>
        <v>0</v>
      </c>
      <c r="T336" s="8">
        <v>19</v>
      </c>
      <c r="U336">
        <f t="shared" si="75"/>
        <v>19542.975350000001</v>
      </c>
      <c r="V336">
        <f t="shared" si="76"/>
        <v>18881.25</v>
      </c>
      <c r="W336">
        <f t="shared" si="77"/>
        <v>661.72535000000062</v>
      </c>
      <c r="X336" s="10">
        <f t="shared" si="78"/>
        <v>3.3860010471742245E-2</v>
      </c>
      <c r="Y336" t="str">
        <f t="shared" si="79"/>
        <v>Medium</v>
      </c>
      <c r="Z336" t="str">
        <f t="shared" si="80"/>
        <v>Not Met</v>
      </c>
      <c r="AA336" t="str">
        <f t="shared" si="81"/>
        <v>High Discount</v>
      </c>
      <c r="AB336" s="10">
        <f>MIN(R336,ControlPanel!$B$5)</f>
        <v>0.2</v>
      </c>
      <c r="AC336">
        <f>P336*(1+ControlPanel!$B$6)</f>
        <v>1043.4375</v>
      </c>
      <c r="AD336">
        <f>T336*(1+ControlPanel!$B$7)</f>
        <v>20.900000000000002</v>
      </c>
      <c r="AE336" s="6">
        <f t="shared" si="82"/>
        <v>21908.0488</v>
      </c>
      <c r="AF336">
        <f t="shared" si="83"/>
        <v>100.20504999999685</v>
      </c>
    </row>
    <row r="337" spans="1:32" x14ac:dyDescent="0.3">
      <c r="A337" t="s">
        <v>460</v>
      </c>
      <c r="B337" s="4">
        <v>45284</v>
      </c>
      <c r="C337" s="4" t="str">
        <f t="shared" si="72"/>
        <v>Dec-2023</v>
      </c>
      <c r="D337" t="str">
        <f t="shared" si="73"/>
        <v>Q4-2023</v>
      </c>
      <c r="E337" s="4">
        <v>45304</v>
      </c>
      <c r="F337" s="12">
        <f t="shared" si="70"/>
        <v>45304</v>
      </c>
      <c r="G337" s="13">
        <f t="shared" si="71"/>
        <v>20</v>
      </c>
      <c r="H337" t="s">
        <v>647</v>
      </c>
      <c r="I337" t="s">
        <v>652</v>
      </c>
      <c r="J337" t="s">
        <v>694</v>
      </c>
      <c r="K337" t="s">
        <v>702</v>
      </c>
      <c r="L337" t="s">
        <v>711</v>
      </c>
      <c r="M337" t="s">
        <v>717</v>
      </c>
      <c r="N337" t="s">
        <v>731</v>
      </c>
      <c r="O337" t="s">
        <v>1179</v>
      </c>
      <c r="P337" s="6">
        <v>625.37</v>
      </c>
      <c r="Q337" s="6">
        <v>1319.04</v>
      </c>
      <c r="R337" s="10">
        <v>7.3999999999999996E-2</v>
      </c>
      <c r="S337" s="10" t="b">
        <f t="shared" si="74"/>
        <v>0</v>
      </c>
      <c r="T337" s="8">
        <v>8</v>
      </c>
      <c r="U337">
        <f t="shared" si="75"/>
        <v>9771.4483199999995</v>
      </c>
      <c r="V337">
        <f t="shared" si="76"/>
        <v>5002.96</v>
      </c>
      <c r="W337">
        <f t="shared" si="77"/>
        <v>4768.4883199999995</v>
      </c>
      <c r="X337" s="10">
        <f t="shared" si="78"/>
        <v>0.48800220436513547</v>
      </c>
      <c r="Y337" t="str">
        <f t="shared" si="79"/>
        <v>Medium</v>
      </c>
      <c r="Z337" t="str">
        <f t="shared" si="80"/>
        <v>Not Met</v>
      </c>
      <c r="AA337" t="str">
        <f t="shared" si="81"/>
        <v>Low Discount</v>
      </c>
      <c r="AB337" s="10">
        <f>MIN(R337,ControlPanel!$B$5)</f>
        <v>7.3999999999999996E-2</v>
      </c>
      <c r="AC337">
        <f>P337*(1+ControlPanel!$B$6)</f>
        <v>656.63850000000002</v>
      </c>
      <c r="AD337">
        <f>T337*(1+ControlPanel!$B$7)</f>
        <v>8.8000000000000007</v>
      </c>
      <c r="AE337" s="6">
        <f t="shared" si="82"/>
        <v>10748.593151999999</v>
      </c>
      <c r="AF337">
        <f t="shared" si="83"/>
        <v>4970.1743519999991</v>
      </c>
    </row>
    <row r="338" spans="1:32" x14ac:dyDescent="0.3">
      <c r="A338" t="s">
        <v>369</v>
      </c>
      <c r="B338" s="4">
        <v>45292</v>
      </c>
      <c r="C338" s="4" t="str">
        <f t="shared" si="72"/>
        <v>Jan-2024</v>
      </c>
      <c r="D338" t="str">
        <f t="shared" si="73"/>
        <v>Q1-2024</v>
      </c>
      <c r="E338" s="4">
        <v>45318</v>
      </c>
      <c r="F338" s="12">
        <f t="shared" si="70"/>
        <v>45318</v>
      </c>
      <c r="G338" s="13">
        <f t="shared" si="71"/>
        <v>26</v>
      </c>
      <c r="H338" t="s">
        <v>649</v>
      </c>
      <c r="I338" t="s">
        <v>658</v>
      </c>
      <c r="J338" t="s">
        <v>693</v>
      </c>
      <c r="K338" t="s">
        <v>702</v>
      </c>
      <c r="L338" t="s">
        <v>710</v>
      </c>
      <c r="M338" t="s">
        <v>726</v>
      </c>
      <c r="N338" t="s">
        <v>733</v>
      </c>
      <c r="O338" t="s">
        <v>1089</v>
      </c>
      <c r="P338" s="6">
        <v>657.45</v>
      </c>
      <c r="Q338" s="6">
        <v>1325.96</v>
      </c>
      <c r="R338" s="10">
        <v>0.16700000000000001</v>
      </c>
      <c r="S338" s="10" t="b">
        <f t="shared" si="74"/>
        <v>0</v>
      </c>
      <c r="T338" s="8">
        <v>21</v>
      </c>
      <c r="U338">
        <f t="shared" si="75"/>
        <v>23195.01828</v>
      </c>
      <c r="V338">
        <f t="shared" si="76"/>
        <v>13806.45</v>
      </c>
      <c r="W338">
        <f t="shared" si="77"/>
        <v>9388.5682799999995</v>
      </c>
      <c r="X338" s="10">
        <f t="shared" si="78"/>
        <v>0.40476658249048808</v>
      </c>
      <c r="Y338" t="str">
        <f t="shared" si="79"/>
        <v>Medium</v>
      </c>
      <c r="Z338" t="str">
        <f t="shared" si="80"/>
        <v>Not Met</v>
      </c>
      <c r="AA338" t="str">
        <f t="shared" si="81"/>
        <v>Low Discount</v>
      </c>
      <c r="AB338" s="10">
        <f>MIN(R338,ControlPanel!$B$5)</f>
        <v>0.16700000000000001</v>
      </c>
      <c r="AC338">
        <f>P338*(1+ControlPanel!$B$6)</f>
        <v>690.3225000000001</v>
      </c>
      <c r="AD338">
        <f>T338*(1+ControlPanel!$B$7)</f>
        <v>23.1</v>
      </c>
      <c r="AE338" s="6">
        <f t="shared" si="82"/>
        <v>25514.520108000001</v>
      </c>
      <c r="AF338">
        <f t="shared" si="83"/>
        <v>9568.0703579999972</v>
      </c>
    </row>
    <row r="339" spans="1:32" x14ac:dyDescent="0.3">
      <c r="A339" t="s">
        <v>444</v>
      </c>
      <c r="B339" s="4">
        <v>45597</v>
      </c>
      <c r="C339" s="4" t="str">
        <f t="shared" si="72"/>
        <v>Nov-2024</v>
      </c>
      <c r="D339" t="str">
        <f t="shared" si="73"/>
        <v>Q4-2024</v>
      </c>
      <c r="E339" s="4">
        <v>45608</v>
      </c>
      <c r="F339" s="12">
        <f t="shared" si="70"/>
        <v>45608</v>
      </c>
      <c r="G339" s="13">
        <f t="shared" si="71"/>
        <v>11</v>
      </c>
      <c r="H339" t="s">
        <v>649</v>
      </c>
      <c r="I339" t="s">
        <v>656</v>
      </c>
      <c r="J339" t="s">
        <v>698</v>
      </c>
      <c r="K339" t="s">
        <v>704</v>
      </c>
      <c r="L339" t="s">
        <v>708</v>
      </c>
      <c r="M339" t="s">
        <v>717</v>
      </c>
      <c r="N339" t="s">
        <v>728</v>
      </c>
      <c r="O339" t="s">
        <v>1163</v>
      </c>
      <c r="P339" s="6">
        <v>599.84</v>
      </c>
      <c r="Q339" s="6">
        <v>1330.85</v>
      </c>
      <c r="R339" s="10">
        <v>0.115</v>
      </c>
      <c r="S339" s="10" t="b">
        <f t="shared" si="74"/>
        <v>0</v>
      </c>
      <c r="T339" s="8">
        <v>11</v>
      </c>
      <c r="U339">
        <f t="shared" si="75"/>
        <v>12955.82475</v>
      </c>
      <c r="V339">
        <f t="shared" si="76"/>
        <v>6598.2400000000007</v>
      </c>
      <c r="W339">
        <f t="shared" si="77"/>
        <v>6357.5847499999991</v>
      </c>
      <c r="X339" s="10">
        <f t="shared" si="78"/>
        <v>0.49071246892252068</v>
      </c>
      <c r="Y339" t="str">
        <f t="shared" si="79"/>
        <v>Medium</v>
      </c>
      <c r="Z339" t="str">
        <f t="shared" si="80"/>
        <v>Not Met</v>
      </c>
      <c r="AA339" t="str">
        <f t="shared" si="81"/>
        <v>Low Discount</v>
      </c>
      <c r="AB339" s="10">
        <f>MIN(R339,ControlPanel!$B$5)</f>
        <v>0.115</v>
      </c>
      <c r="AC339">
        <f>P339*(1+ControlPanel!$B$6)</f>
        <v>629.83200000000011</v>
      </c>
      <c r="AD339">
        <f>T339*(1+ControlPanel!$B$7)</f>
        <v>12.100000000000001</v>
      </c>
      <c r="AE339" s="6">
        <f t="shared" si="82"/>
        <v>14251.407225000001</v>
      </c>
      <c r="AF339">
        <f t="shared" si="83"/>
        <v>6630.440024999999</v>
      </c>
    </row>
    <row r="340" spans="1:32" x14ac:dyDescent="0.3">
      <c r="A340" t="s">
        <v>226</v>
      </c>
      <c r="B340" s="4">
        <v>45544</v>
      </c>
      <c r="C340" s="4" t="str">
        <f t="shared" si="72"/>
        <v>Sep-2024</v>
      </c>
      <c r="D340" t="str">
        <f t="shared" si="73"/>
        <v>Q3-2024</v>
      </c>
      <c r="E340" s="4">
        <v>45566</v>
      </c>
      <c r="F340" s="12">
        <f t="shared" si="70"/>
        <v>45566</v>
      </c>
      <c r="G340" s="13">
        <f t="shared" si="71"/>
        <v>22</v>
      </c>
      <c r="H340" t="s">
        <v>647</v>
      </c>
      <c r="I340" t="s">
        <v>659</v>
      </c>
      <c r="J340" t="s">
        <v>676</v>
      </c>
      <c r="K340" t="s">
        <v>704</v>
      </c>
      <c r="L340" t="s">
        <v>711</v>
      </c>
      <c r="M340" t="s">
        <v>716</v>
      </c>
      <c r="N340" t="s">
        <v>728</v>
      </c>
      <c r="O340" t="s">
        <v>946</v>
      </c>
      <c r="P340" s="6">
        <v>1166.18</v>
      </c>
      <c r="Q340" s="6">
        <v>1335.02</v>
      </c>
      <c r="R340" s="10">
        <v>0.128</v>
      </c>
      <c r="S340" s="10" t="b">
        <f t="shared" si="74"/>
        <v>0</v>
      </c>
      <c r="T340" s="8">
        <v>6</v>
      </c>
      <c r="U340">
        <f t="shared" si="75"/>
        <v>6984.8246399999998</v>
      </c>
      <c r="V340">
        <f t="shared" si="76"/>
        <v>6997.08</v>
      </c>
      <c r="W340">
        <f t="shared" si="77"/>
        <v>-12.25536000000011</v>
      </c>
      <c r="X340" s="10">
        <f t="shared" si="78"/>
        <v>-1.7545694604582242E-3</v>
      </c>
      <c r="Y340" t="str">
        <f t="shared" si="79"/>
        <v>Medium</v>
      </c>
      <c r="Z340" t="str">
        <f t="shared" si="80"/>
        <v>Not Met</v>
      </c>
      <c r="AA340" t="str">
        <f t="shared" si="81"/>
        <v>Low Discount</v>
      </c>
      <c r="AB340" s="10">
        <f>MIN(R340,ControlPanel!$B$5)</f>
        <v>0.128</v>
      </c>
      <c r="AC340">
        <f>P340*(1+ControlPanel!$B$6)</f>
        <v>1224.489</v>
      </c>
      <c r="AD340">
        <f>T340*(1+ControlPanel!$B$7)</f>
        <v>6.6000000000000005</v>
      </c>
      <c r="AE340" s="6">
        <f t="shared" si="82"/>
        <v>7683.3071040000004</v>
      </c>
      <c r="AF340">
        <f t="shared" si="83"/>
        <v>-398.32029600000078</v>
      </c>
    </row>
    <row r="341" spans="1:32" x14ac:dyDescent="0.3">
      <c r="A341" t="s">
        <v>255</v>
      </c>
      <c r="B341" s="4">
        <v>45793</v>
      </c>
      <c r="C341" s="4" t="str">
        <f t="shared" si="72"/>
        <v>May-2025</v>
      </c>
      <c r="D341" t="str">
        <f t="shared" si="73"/>
        <v>Q2-2025</v>
      </c>
      <c r="E341" s="4">
        <v>45804</v>
      </c>
      <c r="F341" s="12">
        <f t="shared" si="70"/>
        <v>45804</v>
      </c>
      <c r="G341" s="13">
        <f t="shared" si="71"/>
        <v>11</v>
      </c>
      <c r="H341" t="s">
        <v>647</v>
      </c>
      <c r="I341" t="s">
        <v>659</v>
      </c>
      <c r="J341" t="s">
        <v>699</v>
      </c>
      <c r="K341" t="s">
        <v>706</v>
      </c>
      <c r="L341" t="s">
        <v>708</v>
      </c>
      <c r="M341" t="s">
        <v>721</v>
      </c>
      <c r="N341" t="s">
        <v>730</v>
      </c>
      <c r="O341" t="s">
        <v>975</v>
      </c>
      <c r="P341" s="6">
        <v>918.12</v>
      </c>
      <c r="Q341" s="6">
        <v>1337.69</v>
      </c>
      <c r="R341" s="10">
        <v>9.5000000000000001E-2</v>
      </c>
      <c r="S341" s="10" t="b">
        <f t="shared" si="74"/>
        <v>0</v>
      </c>
      <c r="T341" s="8">
        <v>8</v>
      </c>
      <c r="U341">
        <f t="shared" si="75"/>
        <v>9684.8756000000012</v>
      </c>
      <c r="V341">
        <f t="shared" si="76"/>
        <v>7344.96</v>
      </c>
      <c r="W341">
        <f t="shared" si="77"/>
        <v>2339.9156000000012</v>
      </c>
      <c r="X341" s="10">
        <f t="shared" si="78"/>
        <v>0.24160512707050164</v>
      </c>
      <c r="Y341" t="str">
        <f t="shared" si="79"/>
        <v>Medium</v>
      </c>
      <c r="Z341" t="str">
        <f t="shared" si="80"/>
        <v>Not Met</v>
      </c>
      <c r="AA341" t="str">
        <f t="shared" si="81"/>
        <v>Low Discount</v>
      </c>
      <c r="AB341" s="10">
        <f>MIN(R341,ControlPanel!$B$5)</f>
        <v>9.5000000000000001E-2</v>
      </c>
      <c r="AC341">
        <f>P341*(1+ControlPanel!$B$6)</f>
        <v>964.02600000000007</v>
      </c>
      <c r="AD341">
        <f>T341*(1+ControlPanel!$B$7)</f>
        <v>8.8000000000000007</v>
      </c>
      <c r="AE341" s="6">
        <f t="shared" si="82"/>
        <v>10653.363160000003</v>
      </c>
      <c r="AF341">
        <f t="shared" si="83"/>
        <v>2169.9343600000011</v>
      </c>
    </row>
    <row r="342" spans="1:32" x14ac:dyDescent="0.3">
      <c r="A342" t="s">
        <v>177</v>
      </c>
      <c r="B342" s="4">
        <v>45385</v>
      </c>
      <c r="C342" s="4" t="str">
        <f t="shared" si="72"/>
        <v>Apr-2024</v>
      </c>
      <c r="D342" t="str">
        <f t="shared" si="73"/>
        <v>Q2-2024</v>
      </c>
      <c r="E342" s="4">
        <v>45389</v>
      </c>
      <c r="F342" s="12">
        <f t="shared" si="70"/>
        <v>45389</v>
      </c>
      <c r="G342" s="13">
        <f t="shared" si="71"/>
        <v>4</v>
      </c>
      <c r="H342" t="s">
        <v>648</v>
      </c>
      <c r="I342" t="s">
        <v>655</v>
      </c>
      <c r="J342" t="s">
        <v>672</v>
      </c>
      <c r="K342" t="s">
        <v>703</v>
      </c>
      <c r="L342" t="s">
        <v>711</v>
      </c>
      <c r="M342" t="s">
        <v>725</v>
      </c>
      <c r="N342" t="s">
        <v>730</v>
      </c>
      <c r="O342" t="s">
        <v>896</v>
      </c>
      <c r="P342" s="6">
        <v>1023.27</v>
      </c>
      <c r="Q342" s="6">
        <v>1343.64</v>
      </c>
      <c r="R342" s="10">
        <v>0.13300000000000001</v>
      </c>
      <c r="S342" s="10" t="b">
        <f t="shared" si="74"/>
        <v>0</v>
      </c>
      <c r="T342" s="8">
        <v>7</v>
      </c>
      <c r="U342">
        <f t="shared" si="75"/>
        <v>8154.55116</v>
      </c>
      <c r="V342">
        <f t="shared" si="76"/>
        <v>7162.8899999999994</v>
      </c>
      <c r="W342">
        <f t="shared" si="77"/>
        <v>991.66116000000056</v>
      </c>
      <c r="X342" s="10">
        <f t="shared" si="78"/>
        <v>0.12160830688810106</v>
      </c>
      <c r="Y342" t="str">
        <f t="shared" si="79"/>
        <v>Medium</v>
      </c>
      <c r="Z342" t="str">
        <f t="shared" si="80"/>
        <v>Met</v>
      </c>
      <c r="AA342" t="str">
        <f t="shared" si="81"/>
        <v>Low Discount</v>
      </c>
      <c r="AB342" s="10">
        <f>MIN(R342,ControlPanel!$B$5)</f>
        <v>0.13300000000000001</v>
      </c>
      <c r="AC342">
        <f>P342*(1+ControlPanel!$B$6)</f>
        <v>1074.4335000000001</v>
      </c>
      <c r="AD342">
        <f>T342*(1+ControlPanel!$B$7)</f>
        <v>7.7000000000000011</v>
      </c>
      <c r="AE342" s="6">
        <f t="shared" si="82"/>
        <v>8970.0062760000019</v>
      </c>
      <c r="AF342">
        <f t="shared" si="83"/>
        <v>696.8683259999998</v>
      </c>
    </row>
    <row r="343" spans="1:32" x14ac:dyDescent="0.3">
      <c r="A343" t="s">
        <v>488</v>
      </c>
      <c r="B343" s="4">
        <v>45882</v>
      </c>
      <c r="C343" s="4" t="str">
        <f t="shared" si="72"/>
        <v>Aug-2025</v>
      </c>
      <c r="D343" t="str">
        <f t="shared" si="73"/>
        <v>Q3-2025</v>
      </c>
      <c r="E343" s="4">
        <v>45903</v>
      </c>
      <c r="F343" s="12">
        <f t="shared" si="70"/>
        <v>45903</v>
      </c>
      <c r="G343" s="13">
        <f t="shared" si="71"/>
        <v>21</v>
      </c>
      <c r="H343" t="s">
        <v>649</v>
      </c>
      <c r="I343" t="s">
        <v>657</v>
      </c>
      <c r="J343" t="s">
        <v>690</v>
      </c>
      <c r="K343" t="s">
        <v>702</v>
      </c>
      <c r="L343" t="s">
        <v>707</v>
      </c>
      <c r="M343" t="s">
        <v>714</v>
      </c>
      <c r="N343" t="s">
        <v>730</v>
      </c>
      <c r="O343" t="s">
        <v>1207</v>
      </c>
      <c r="P343" s="6">
        <v>603.47</v>
      </c>
      <c r="Q343" s="6">
        <v>1344.05</v>
      </c>
      <c r="R343" s="10">
        <v>0.20499999999999999</v>
      </c>
      <c r="S343" s="10" t="b">
        <f t="shared" si="74"/>
        <v>0</v>
      </c>
      <c r="T343" s="8">
        <v>18</v>
      </c>
      <c r="U343">
        <f t="shared" si="75"/>
        <v>19233.355499999998</v>
      </c>
      <c r="V343">
        <f t="shared" si="76"/>
        <v>10862.460000000001</v>
      </c>
      <c r="W343">
        <f t="shared" si="77"/>
        <v>8370.8954999999969</v>
      </c>
      <c r="X343" s="10">
        <f t="shared" si="78"/>
        <v>0.43522803392262976</v>
      </c>
      <c r="Y343" t="str">
        <f t="shared" si="79"/>
        <v>Medium</v>
      </c>
      <c r="Z343" t="str">
        <f t="shared" si="80"/>
        <v>Not Met</v>
      </c>
      <c r="AA343" t="str">
        <f t="shared" si="81"/>
        <v>High Discount</v>
      </c>
      <c r="AB343" s="10">
        <f>MIN(R343,ControlPanel!$B$5)</f>
        <v>0.2</v>
      </c>
      <c r="AC343">
        <f>P343*(1+ControlPanel!$B$6)</f>
        <v>633.64350000000002</v>
      </c>
      <c r="AD343">
        <f>T343*(1+ControlPanel!$B$7)</f>
        <v>19.8</v>
      </c>
      <c r="AE343" s="6">
        <f t="shared" si="82"/>
        <v>21289.752</v>
      </c>
      <c r="AF343">
        <f t="shared" si="83"/>
        <v>8743.6106999999993</v>
      </c>
    </row>
    <row r="344" spans="1:32" x14ac:dyDescent="0.3">
      <c r="A344" t="s">
        <v>89</v>
      </c>
      <c r="B344" s="4">
        <v>45066</v>
      </c>
      <c r="C344" s="4" t="str">
        <f t="shared" si="72"/>
        <v>May-2023</v>
      </c>
      <c r="D344" t="str">
        <f t="shared" si="73"/>
        <v>Q2-2023</v>
      </c>
      <c r="E344" s="4">
        <v>45064</v>
      </c>
      <c r="F344" s="12">
        <f t="shared" si="70"/>
        <v>45080</v>
      </c>
      <c r="G344" s="13">
        <f t="shared" si="71"/>
        <v>14</v>
      </c>
      <c r="H344" t="s">
        <v>646</v>
      </c>
      <c r="I344" t="s">
        <v>661</v>
      </c>
      <c r="J344" t="s">
        <v>687</v>
      </c>
      <c r="K344" t="s">
        <v>701</v>
      </c>
      <c r="L344" t="s">
        <v>710</v>
      </c>
      <c r="M344" t="s">
        <v>720</v>
      </c>
      <c r="N344" t="s">
        <v>727</v>
      </c>
      <c r="O344" t="s">
        <v>808</v>
      </c>
      <c r="P344" s="6">
        <v>917.88</v>
      </c>
      <c r="Q344" s="6">
        <v>1347.92</v>
      </c>
      <c r="R344" s="10">
        <v>0</v>
      </c>
      <c r="S344" s="10" t="b">
        <f t="shared" si="74"/>
        <v>0</v>
      </c>
      <c r="T344" s="8">
        <v>5</v>
      </c>
      <c r="U344">
        <f t="shared" si="75"/>
        <v>6739.6</v>
      </c>
      <c r="V344">
        <f t="shared" si="76"/>
        <v>4589.3999999999996</v>
      </c>
      <c r="W344">
        <f t="shared" si="77"/>
        <v>2150.2000000000007</v>
      </c>
      <c r="X344" s="10">
        <f t="shared" si="78"/>
        <v>0.3190397056205117</v>
      </c>
      <c r="Y344" t="str">
        <f t="shared" si="79"/>
        <v>Medium</v>
      </c>
      <c r="Z344" t="str">
        <f t="shared" si="80"/>
        <v>Not Met</v>
      </c>
      <c r="AA344" t="str">
        <f t="shared" si="81"/>
        <v>Low Discount</v>
      </c>
      <c r="AB344" s="10">
        <f>MIN(R344,ControlPanel!$B$5)</f>
        <v>0</v>
      </c>
      <c r="AC344">
        <f>P344*(1+ControlPanel!$B$6)</f>
        <v>963.774</v>
      </c>
      <c r="AD344">
        <f>T344*(1+ControlPanel!$B$7)</f>
        <v>5.5</v>
      </c>
      <c r="AE344" s="6">
        <f t="shared" si="82"/>
        <v>7413.56</v>
      </c>
      <c r="AF344">
        <f t="shared" si="83"/>
        <v>2112.8030000000008</v>
      </c>
    </row>
    <row r="345" spans="1:32" x14ac:dyDescent="0.3">
      <c r="A345" t="s">
        <v>169</v>
      </c>
      <c r="B345" s="4">
        <v>45230</v>
      </c>
      <c r="C345" s="4" t="str">
        <f t="shared" si="72"/>
        <v>Oct-2023</v>
      </c>
      <c r="D345" t="str">
        <f t="shared" si="73"/>
        <v>Q4-2023</v>
      </c>
      <c r="E345" s="4">
        <v>45232</v>
      </c>
      <c r="F345" s="12">
        <f t="shared" si="70"/>
        <v>45232</v>
      </c>
      <c r="G345" s="13">
        <f t="shared" si="71"/>
        <v>2</v>
      </c>
      <c r="H345" t="s">
        <v>646</v>
      </c>
      <c r="I345" t="s">
        <v>650</v>
      </c>
      <c r="J345" t="s">
        <v>662</v>
      </c>
      <c r="K345" t="s">
        <v>702</v>
      </c>
      <c r="L345" t="s">
        <v>707</v>
      </c>
      <c r="M345" t="s">
        <v>719</v>
      </c>
      <c r="N345" t="s">
        <v>733</v>
      </c>
      <c r="O345" t="s">
        <v>888</v>
      </c>
      <c r="P345" s="6">
        <v>867.89</v>
      </c>
      <c r="Q345" s="6">
        <v>1349.94</v>
      </c>
      <c r="R345" s="10">
        <v>0.184</v>
      </c>
      <c r="S345" s="10" t="b">
        <f t="shared" si="74"/>
        <v>0</v>
      </c>
      <c r="T345" s="8">
        <v>10</v>
      </c>
      <c r="U345">
        <f t="shared" si="75"/>
        <v>11015.510400000001</v>
      </c>
      <c r="V345">
        <f t="shared" si="76"/>
        <v>8678.9</v>
      </c>
      <c r="W345">
        <f t="shared" si="77"/>
        <v>2336.6104000000014</v>
      </c>
      <c r="X345" s="10">
        <f t="shared" si="78"/>
        <v>0.21212003031652543</v>
      </c>
      <c r="Y345" t="str">
        <f t="shared" si="79"/>
        <v>Medium</v>
      </c>
      <c r="Z345" t="str">
        <f t="shared" si="80"/>
        <v>Met</v>
      </c>
      <c r="AA345" t="str">
        <f t="shared" si="81"/>
        <v>Low Discount</v>
      </c>
      <c r="AB345" s="10">
        <f>MIN(R345,ControlPanel!$B$5)</f>
        <v>0.184</v>
      </c>
      <c r="AC345">
        <f>P345*(1+ControlPanel!$B$6)</f>
        <v>911.28449999999998</v>
      </c>
      <c r="AD345">
        <f>T345*(1+ControlPanel!$B$7)</f>
        <v>11</v>
      </c>
      <c r="AE345" s="6">
        <f t="shared" si="82"/>
        <v>12117.061440000001</v>
      </c>
      <c r="AF345">
        <f t="shared" si="83"/>
        <v>2092.9319400000022</v>
      </c>
    </row>
    <row r="346" spans="1:32" x14ac:dyDescent="0.3">
      <c r="A346" t="s">
        <v>199</v>
      </c>
      <c r="B346" s="4">
        <v>45587</v>
      </c>
      <c r="C346" s="4" t="str">
        <f t="shared" si="72"/>
        <v>Oct-2024</v>
      </c>
      <c r="D346" t="str">
        <f t="shared" si="73"/>
        <v>Q4-2024</v>
      </c>
      <c r="E346" s="4">
        <v>45594</v>
      </c>
      <c r="F346" s="12">
        <f t="shared" si="70"/>
        <v>45594</v>
      </c>
      <c r="G346" s="13">
        <f t="shared" si="71"/>
        <v>7</v>
      </c>
      <c r="H346" t="s">
        <v>646</v>
      </c>
      <c r="I346" t="s">
        <v>651</v>
      </c>
      <c r="J346" t="s">
        <v>663</v>
      </c>
      <c r="K346" t="s">
        <v>706</v>
      </c>
      <c r="L346" t="s">
        <v>710</v>
      </c>
      <c r="M346" t="s">
        <v>724</v>
      </c>
      <c r="N346" t="s">
        <v>732</v>
      </c>
      <c r="O346" t="s">
        <v>918</v>
      </c>
      <c r="P346" s="6">
        <v>1023.06</v>
      </c>
      <c r="Q346" s="6">
        <v>1355.61</v>
      </c>
      <c r="R346" s="10">
        <v>0.153</v>
      </c>
      <c r="S346" s="10" t="b">
        <f t="shared" si="74"/>
        <v>0</v>
      </c>
      <c r="T346" s="8">
        <v>23</v>
      </c>
      <c r="U346">
        <f t="shared" si="75"/>
        <v>26408.63841</v>
      </c>
      <c r="V346">
        <f t="shared" si="76"/>
        <v>23530.379999999997</v>
      </c>
      <c r="W346">
        <f t="shared" si="77"/>
        <v>2878.2584100000022</v>
      </c>
      <c r="X346" s="10">
        <f t="shared" si="78"/>
        <v>0.10898927711888809</v>
      </c>
      <c r="Y346" t="str">
        <f t="shared" si="79"/>
        <v>Medium</v>
      </c>
      <c r="Z346" t="str">
        <f t="shared" si="80"/>
        <v>Met</v>
      </c>
      <c r="AA346" t="str">
        <f t="shared" si="81"/>
        <v>Low Discount</v>
      </c>
      <c r="AB346" s="10">
        <f>MIN(R346,ControlPanel!$B$5)</f>
        <v>0.153</v>
      </c>
      <c r="AC346">
        <f>P346*(1+ControlPanel!$B$6)</f>
        <v>1074.213</v>
      </c>
      <c r="AD346">
        <f>T346*(1+ControlPanel!$B$7)</f>
        <v>25.3</v>
      </c>
      <c r="AE346" s="6">
        <f t="shared" si="82"/>
        <v>29049.502250999998</v>
      </c>
      <c r="AF346">
        <f t="shared" si="83"/>
        <v>1871.9133509999992</v>
      </c>
    </row>
    <row r="347" spans="1:32" x14ac:dyDescent="0.3">
      <c r="A347" t="s">
        <v>612</v>
      </c>
      <c r="B347" s="4">
        <v>45726</v>
      </c>
      <c r="C347" s="4" t="str">
        <f t="shared" si="72"/>
        <v>Mar-2025</v>
      </c>
      <c r="D347" t="str">
        <f t="shared" si="73"/>
        <v>Q1-2025</v>
      </c>
      <c r="E347" s="4">
        <v>45751</v>
      </c>
      <c r="F347" s="12">
        <f t="shared" si="70"/>
        <v>45751</v>
      </c>
      <c r="G347" s="13">
        <f t="shared" si="71"/>
        <v>25</v>
      </c>
      <c r="H347" t="s">
        <v>647</v>
      </c>
      <c r="I347" t="s">
        <v>652</v>
      </c>
      <c r="J347" t="s">
        <v>666</v>
      </c>
      <c r="K347" t="s">
        <v>701</v>
      </c>
      <c r="L347" t="s">
        <v>711</v>
      </c>
      <c r="M347" t="s">
        <v>722</v>
      </c>
      <c r="N347" t="s">
        <v>728</v>
      </c>
      <c r="O347" t="s">
        <v>1330</v>
      </c>
      <c r="P347" s="6">
        <v>783.72</v>
      </c>
      <c r="Q347" s="6">
        <v>1355.94</v>
      </c>
      <c r="R347" s="10">
        <v>0.187</v>
      </c>
      <c r="S347" s="10" t="b">
        <f t="shared" si="74"/>
        <v>0</v>
      </c>
      <c r="T347" s="8">
        <v>4</v>
      </c>
      <c r="U347">
        <f t="shared" si="75"/>
        <v>4409.5168800000001</v>
      </c>
      <c r="V347">
        <f t="shared" si="76"/>
        <v>3134.88</v>
      </c>
      <c r="W347">
        <f t="shared" si="77"/>
        <v>1274.63688</v>
      </c>
      <c r="X347" s="10">
        <f t="shared" si="78"/>
        <v>0.28906497348525856</v>
      </c>
      <c r="Y347" t="str">
        <f t="shared" si="79"/>
        <v>Medium</v>
      </c>
      <c r="Z347" t="str">
        <f t="shared" si="80"/>
        <v>Not Met</v>
      </c>
      <c r="AA347" t="str">
        <f t="shared" si="81"/>
        <v>Low Discount</v>
      </c>
      <c r="AB347" s="10">
        <f>MIN(R347,ControlPanel!$B$5)</f>
        <v>0.187</v>
      </c>
      <c r="AC347">
        <f>P347*(1+ControlPanel!$B$6)</f>
        <v>822.90600000000006</v>
      </c>
      <c r="AD347">
        <f>T347*(1+ControlPanel!$B$7)</f>
        <v>4.4000000000000004</v>
      </c>
      <c r="AE347" s="6">
        <f t="shared" si="82"/>
        <v>4850.4685680000002</v>
      </c>
      <c r="AF347">
        <f t="shared" si="83"/>
        <v>1229.6821679999998</v>
      </c>
    </row>
    <row r="348" spans="1:32" x14ac:dyDescent="0.3">
      <c r="A348" t="s">
        <v>350</v>
      </c>
      <c r="B348" s="4">
        <v>45484</v>
      </c>
      <c r="C348" s="4" t="str">
        <f t="shared" si="72"/>
        <v>Jul-2024</v>
      </c>
      <c r="D348" t="str">
        <f t="shared" si="73"/>
        <v>Q3-2024</v>
      </c>
      <c r="E348" s="4">
        <v>45504</v>
      </c>
      <c r="F348" s="12">
        <f t="shared" si="70"/>
        <v>45504</v>
      </c>
      <c r="G348" s="13">
        <f t="shared" si="71"/>
        <v>20</v>
      </c>
      <c r="H348" t="s">
        <v>647</v>
      </c>
      <c r="I348" t="s">
        <v>659</v>
      </c>
      <c r="J348" t="s">
        <v>676</v>
      </c>
      <c r="K348" t="s">
        <v>704</v>
      </c>
      <c r="L348" t="s">
        <v>708</v>
      </c>
      <c r="M348" t="s">
        <v>715</v>
      </c>
      <c r="N348" t="s">
        <v>730</v>
      </c>
      <c r="O348" t="s">
        <v>1070</v>
      </c>
      <c r="P348" s="6">
        <v>647.26</v>
      </c>
      <c r="Q348" s="6">
        <v>1374.72</v>
      </c>
      <c r="R348" s="10">
        <v>6.6000000000000003E-2</v>
      </c>
      <c r="S348" s="10" t="b">
        <f t="shared" si="74"/>
        <v>0</v>
      </c>
      <c r="T348" s="8">
        <v>22</v>
      </c>
      <c r="U348">
        <f t="shared" si="75"/>
        <v>28247.74656</v>
      </c>
      <c r="V348">
        <f t="shared" si="76"/>
        <v>14239.72</v>
      </c>
      <c r="W348">
        <f t="shared" si="77"/>
        <v>14008.02656</v>
      </c>
      <c r="X348" s="10">
        <f t="shared" si="78"/>
        <v>0.49589890401508901</v>
      </c>
      <c r="Y348" t="str">
        <f t="shared" si="79"/>
        <v>Medium</v>
      </c>
      <c r="Z348" t="str">
        <f t="shared" si="80"/>
        <v>Not Met</v>
      </c>
      <c r="AA348" t="str">
        <f t="shared" si="81"/>
        <v>Low Discount</v>
      </c>
      <c r="AB348" s="10">
        <f>MIN(R348,ControlPanel!$B$5)</f>
        <v>6.6000000000000003E-2</v>
      </c>
      <c r="AC348">
        <f>P348*(1+ControlPanel!$B$6)</f>
        <v>679.62300000000005</v>
      </c>
      <c r="AD348">
        <f>T348*(1+ControlPanel!$B$7)</f>
        <v>24.200000000000003</v>
      </c>
      <c r="AE348" s="6">
        <f t="shared" si="82"/>
        <v>31072.521216000005</v>
      </c>
      <c r="AF348">
        <f t="shared" si="83"/>
        <v>14625.644616000001</v>
      </c>
    </row>
    <row r="349" spans="1:32" x14ac:dyDescent="0.3">
      <c r="A349" t="s">
        <v>198</v>
      </c>
      <c r="B349" s="4">
        <v>45157</v>
      </c>
      <c r="C349" s="4" t="str">
        <f t="shared" si="72"/>
        <v>Aug-2023</v>
      </c>
      <c r="D349" t="str">
        <f t="shared" si="73"/>
        <v>Q3-2023</v>
      </c>
      <c r="E349" s="4">
        <v>45161</v>
      </c>
      <c r="F349" s="12">
        <f t="shared" si="70"/>
        <v>45161</v>
      </c>
      <c r="G349" s="13">
        <f t="shared" si="71"/>
        <v>4</v>
      </c>
      <c r="H349" t="s">
        <v>646</v>
      </c>
      <c r="I349" t="s">
        <v>651</v>
      </c>
      <c r="J349" t="s">
        <v>669</v>
      </c>
      <c r="K349" t="s">
        <v>705</v>
      </c>
      <c r="L349" t="s">
        <v>708</v>
      </c>
      <c r="M349" t="s">
        <v>713</v>
      </c>
      <c r="N349" t="s">
        <v>732</v>
      </c>
      <c r="O349" t="s">
        <v>917</v>
      </c>
      <c r="P349" s="6">
        <v>790.63</v>
      </c>
      <c r="Q349" s="6">
        <v>1382.31</v>
      </c>
      <c r="R349" s="10">
        <v>0.10100000000000001</v>
      </c>
      <c r="S349" s="10" t="b">
        <f t="shared" si="74"/>
        <v>0</v>
      </c>
      <c r="T349" s="8">
        <v>7</v>
      </c>
      <c r="U349">
        <f t="shared" si="75"/>
        <v>8698.8768299999992</v>
      </c>
      <c r="V349">
        <f t="shared" si="76"/>
        <v>5534.41</v>
      </c>
      <c r="W349">
        <f t="shared" si="77"/>
        <v>3164.4668299999994</v>
      </c>
      <c r="X349" s="10">
        <f t="shared" si="78"/>
        <v>0.36377878338116437</v>
      </c>
      <c r="Y349" t="str">
        <f t="shared" si="79"/>
        <v>Medium</v>
      </c>
      <c r="Z349" t="str">
        <f t="shared" si="80"/>
        <v>Met</v>
      </c>
      <c r="AA349" t="str">
        <f t="shared" si="81"/>
        <v>Low Discount</v>
      </c>
      <c r="AB349" s="10">
        <f>MIN(R349,ControlPanel!$B$5)</f>
        <v>0.10100000000000001</v>
      </c>
      <c r="AC349">
        <f>P349*(1+ControlPanel!$B$6)</f>
        <v>830.16150000000005</v>
      </c>
      <c r="AD349">
        <f>T349*(1+ControlPanel!$B$7)</f>
        <v>7.7000000000000011</v>
      </c>
      <c r="AE349" s="6">
        <f t="shared" si="82"/>
        <v>9568.7645130000019</v>
      </c>
      <c r="AF349">
        <f t="shared" si="83"/>
        <v>3176.5209630000008</v>
      </c>
    </row>
    <row r="350" spans="1:32" x14ac:dyDescent="0.3">
      <c r="A350" t="s">
        <v>373</v>
      </c>
      <c r="B350" s="4">
        <v>45309</v>
      </c>
      <c r="C350" s="4" t="str">
        <f t="shared" si="72"/>
        <v>Jan-2024</v>
      </c>
      <c r="D350" t="str">
        <f t="shared" si="73"/>
        <v>Q1-2024</v>
      </c>
      <c r="E350" s="4">
        <v>45325</v>
      </c>
      <c r="F350" s="12">
        <f t="shared" si="70"/>
        <v>45325</v>
      </c>
      <c r="G350" s="13">
        <f t="shared" si="71"/>
        <v>16</v>
      </c>
      <c r="H350" t="s">
        <v>646</v>
      </c>
      <c r="I350" t="s">
        <v>661</v>
      </c>
      <c r="J350" t="s">
        <v>695</v>
      </c>
      <c r="K350" t="s">
        <v>703</v>
      </c>
      <c r="L350" t="s">
        <v>710</v>
      </c>
      <c r="M350" t="s">
        <v>716</v>
      </c>
      <c r="N350" t="s">
        <v>728</v>
      </c>
      <c r="O350" t="s">
        <v>1093</v>
      </c>
      <c r="P350" s="6">
        <v>666.23</v>
      </c>
      <c r="Q350" s="6">
        <v>1382.91</v>
      </c>
      <c r="R350" s="10">
        <v>0.17599999999999999</v>
      </c>
      <c r="S350" s="10" t="b">
        <f t="shared" si="74"/>
        <v>0</v>
      </c>
      <c r="T350" s="8">
        <v>13</v>
      </c>
      <c r="U350">
        <f t="shared" si="75"/>
        <v>14813.731920000002</v>
      </c>
      <c r="V350">
        <f t="shared" si="76"/>
        <v>8660.99</v>
      </c>
      <c r="W350">
        <f t="shared" si="77"/>
        <v>6152.7419200000022</v>
      </c>
      <c r="X350" s="10">
        <f t="shared" si="78"/>
        <v>0.41534043907553048</v>
      </c>
      <c r="Y350" t="str">
        <f t="shared" si="79"/>
        <v>Medium</v>
      </c>
      <c r="Z350" t="str">
        <f t="shared" si="80"/>
        <v>Not Met</v>
      </c>
      <c r="AA350" t="str">
        <f t="shared" si="81"/>
        <v>Low Discount</v>
      </c>
      <c r="AB350" s="10">
        <f>MIN(R350,ControlPanel!$B$5)</f>
        <v>0.17599999999999999</v>
      </c>
      <c r="AC350">
        <f>P350*(1+ControlPanel!$B$6)</f>
        <v>699.54150000000004</v>
      </c>
      <c r="AD350">
        <f>T350*(1+ControlPanel!$B$7)</f>
        <v>14.3</v>
      </c>
      <c r="AE350" s="6">
        <f t="shared" si="82"/>
        <v>16295.105112000003</v>
      </c>
      <c r="AF350">
        <f t="shared" si="83"/>
        <v>6291.6616620000023</v>
      </c>
    </row>
    <row r="351" spans="1:32" x14ac:dyDescent="0.3">
      <c r="A351" t="s">
        <v>486</v>
      </c>
      <c r="B351" s="4">
        <v>45841</v>
      </c>
      <c r="C351" s="4" t="str">
        <f t="shared" si="72"/>
        <v>Jul-2025</v>
      </c>
      <c r="D351" t="str">
        <f t="shared" si="73"/>
        <v>Q3-2025</v>
      </c>
      <c r="E351" s="4">
        <v>45861</v>
      </c>
      <c r="F351" s="12">
        <f t="shared" si="70"/>
        <v>45861</v>
      </c>
      <c r="G351" s="13">
        <f t="shared" si="71"/>
        <v>20</v>
      </c>
      <c r="H351" t="s">
        <v>647</v>
      </c>
      <c r="I351" t="s">
        <v>659</v>
      </c>
      <c r="J351" t="s">
        <v>699</v>
      </c>
      <c r="K351" t="s">
        <v>705</v>
      </c>
      <c r="L351" t="s">
        <v>708</v>
      </c>
      <c r="M351" t="s">
        <v>724</v>
      </c>
      <c r="N351" t="s">
        <v>727</v>
      </c>
      <c r="O351" t="s">
        <v>1205</v>
      </c>
      <c r="P351" s="6">
        <v>647.36</v>
      </c>
      <c r="Q351" s="6">
        <v>1383.6</v>
      </c>
      <c r="R351" s="10">
        <v>7.3999999999999996E-2</v>
      </c>
      <c r="S351" s="10" t="b">
        <f t="shared" si="74"/>
        <v>0</v>
      </c>
      <c r="T351" s="8">
        <v>12</v>
      </c>
      <c r="U351">
        <f t="shared" si="75"/>
        <v>15374.563200000001</v>
      </c>
      <c r="V351">
        <f t="shared" si="76"/>
        <v>7768.32</v>
      </c>
      <c r="W351">
        <f t="shared" si="77"/>
        <v>7606.2432000000008</v>
      </c>
      <c r="X351" s="10">
        <f t="shared" si="78"/>
        <v>0.49472906000997807</v>
      </c>
      <c r="Y351" t="str">
        <f t="shared" si="79"/>
        <v>Medium</v>
      </c>
      <c r="Z351" t="str">
        <f t="shared" si="80"/>
        <v>Not Met</v>
      </c>
      <c r="AA351" t="str">
        <f t="shared" si="81"/>
        <v>Low Discount</v>
      </c>
      <c r="AB351" s="10">
        <f>MIN(R351,ControlPanel!$B$5)</f>
        <v>7.3999999999999996E-2</v>
      </c>
      <c r="AC351">
        <f>P351*(1+ControlPanel!$B$6)</f>
        <v>679.72800000000007</v>
      </c>
      <c r="AD351">
        <f>T351*(1+ControlPanel!$B$7)</f>
        <v>13.200000000000001</v>
      </c>
      <c r="AE351" s="6">
        <f t="shared" si="82"/>
        <v>16912.019520000002</v>
      </c>
      <c r="AF351">
        <f t="shared" si="83"/>
        <v>7939.6099200000008</v>
      </c>
    </row>
    <row r="352" spans="1:32" x14ac:dyDescent="0.3">
      <c r="A352" t="s">
        <v>421</v>
      </c>
      <c r="B352" s="4">
        <v>45709</v>
      </c>
      <c r="C352" s="4" t="str">
        <f t="shared" si="72"/>
        <v>Feb-2025</v>
      </c>
      <c r="D352" t="str">
        <f t="shared" si="73"/>
        <v>Q1-2025</v>
      </c>
      <c r="E352" s="4">
        <v>45737</v>
      </c>
      <c r="F352" s="12">
        <f t="shared" si="70"/>
        <v>45737</v>
      </c>
      <c r="G352" s="13">
        <f t="shared" si="71"/>
        <v>28</v>
      </c>
      <c r="H352" t="s">
        <v>646</v>
      </c>
      <c r="I352" t="s">
        <v>651</v>
      </c>
      <c r="J352" t="s">
        <v>669</v>
      </c>
      <c r="K352" t="s">
        <v>706</v>
      </c>
      <c r="L352" t="s">
        <v>709</v>
      </c>
      <c r="M352" t="s">
        <v>714</v>
      </c>
      <c r="N352" t="s">
        <v>730</v>
      </c>
      <c r="O352" t="s">
        <v>1140</v>
      </c>
      <c r="P352" s="6">
        <v>1437.39</v>
      </c>
      <c r="Q352" s="6">
        <v>1388.31</v>
      </c>
      <c r="R352" s="10">
        <v>0.13800000000000001</v>
      </c>
      <c r="S352" s="10" t="b">
        <f t="shared" si="74"/>
        <v>0</v>
      </c>
      <c r="T352" s="8">
        <v>18</v>
      </c>
      <c r="U352">
        <f t="shared" si="75"/>
        <v>21541.017959999997</v>
      </c>
      <c r="V352">
        <f t="shared" si="76"/>
        <v>25873.02</v>
      </c>
      <c r="W352">
        <f t="shared" si="77"/>
        <v>-4332.002040000003</v>
      </c>
      <c r="X352" s="10">
        <f t="shared" si="78"/>
        <v>-0.20110479681341872</v>
      </c>
      <c r="Y352" t="str">
        <f t="shared" si="79"/>
        <v>Medium</v>
      </c>
      <c r="Z352" t="str">
        <f t="shared" si="80"/>
        <v>Not Met</v>
      </c>
      <c r="AA352" t="str">
        <f t="shared" si="81"/>
        <v>Low Discount</v>
      </c>
      <c r="AB352" s="10">
        <f>MIN(R352,ControlPanel!$B$5)</f>
        <v>0.13800000000000001</v>
      </c>
      <c r="AC352">
        <f>P352*(1+ControlPanel!$B$6)</f>
        <v>1509.2595000000001</v>
      </c>
      <c r="AD352">
        <f>T352*(1+ControlPanel!$B$7)</f>
        <v>19.8</v>
      </c>
      <c r="AE352" s="6">
        <f t="shared" si="82"/>
        <v>23695.119755999996</v>
      </c>
      <c r="AF352">
        <f t="shared" si="83"/>
        <v>-6188.2183440000081</v>
      </c>
    </row>
    <row r="353" spans="1:32" x14ac:dyDescent="0.3">
      <c r="A353" t="s">
        <v>120</v>
      </c>
      <c r="B353" s="4">
        <v>45433</v>
      </c>
      <c r="C353" s="4" t="str">
        <f t="shared" si="72"/>
        <v>May-2024</v>
      </c>
      <c r="D353" t="str">
        <f t="shared" si="73"/>
        <v>Q2-2024</v>
      </c>
      <c r="E353" s="4">
        <v>45439</v>
      </c>
      <c r="F353" s="12">
        <f t="shared" si="70"/>
        <v>45439</v>
      </c>
      <c r="G353" s="13">
        <f t="shared" si="71"/>
        <v>6</v>
      </c>
      <c r="H353" t="s">
        <v>646</v>
      </c>
      <c r="I353" t="s">
        <v>661</v>
      </c>
      <c r="J353" t="s">
        <v>682</v>
      </c>
      <c r="K353" t="s">
        <v>703</v>
      </c>
      <c r="L353" t="s">
        <v>708</v>
      </c>
      <c r="M353" t="s">
        <v>724</v>
      </c>
      <c r="N353" t="s">
        <v>727</v>
      </c>
      <c r="O353" t="s">
        <v>839</v>
      </c>
      <c r="P353" s="6">
        <v>1157.51</v>
      </c>
      <c r="Q353" s="6">
        <v>1394.3</v>
      </c>
      <c r="R353" s="10">
        <v>0.27800000000000002</v>
      </c>
      <c r="S353" s="10" t="b">
        <f t="shared" si="74"/>
        <v>0</v>
      </c>
      <c r="T353" s="8">
        <v>12</v>
      </c>
      <c r="U353">
        <f t="shared" si="75"/>
        <v>12080.215199999999</v>
      </c>
      <c r="V353">
        <f t="shared" si="76"/>
        <v>13890.119999999999</v>
      </c>
      <c r="W353">
        <f t="shared" si="77"/>
        <v>-1809.9048000000003</v>
      </c>
      <c r="X353" s="10">
        <f t="shared" si="78"/>
        <v>-0.14982388724333326</v>
      </c>
      <c r="Y353" t="str">
        <f t="shared" si="79"/>
        <v>Medium</v>
      </c>
      <c r="Z353" t="str">
        <f t="shared" si="80"/>
        <v>Met</v>
      </c>
      <c r="AA353" t="str">
        <f t="shared" si="81"/>
        <v>High Discount</v>
      </c>
      <c r="AB353" s="10">
        <f>MIN(R353,ControlPanel!$B$5)</f>
        <v>0.2</v>
      </c>
      <c r="AC353">
        <f>P353*(1+ControlPanel!$B$6)</f>
        <v>1215.3855000000001</v>
      </c>
      <c r="AD353">
        <f>T353*(1+ControlPanel!$B$7)</f>
        <v>13.200000000000001</v>
      </c>
      <c r="AE353" s="6">
        <f t="shared" si="82"/>
        <v>14723.808000000003</v>
      </c>
      <c r="AF353">
        <f t="shared" si="83"/>
        <v>-1319.2806</v>
      </c>
    </row>
    <row r="354" spans="1:32" x14ac:dyDescent="0.3">
      <c r="A354" t="s">
        <v>183</v>
      </c>
      <c r="B354" s="4">
        <v>45206</v>
      </c>
      <c r="C354" s="4" t="str">
        <f t="shared" si="72"/>
        <v>Oct-2023</v>
      </c>
      <c r="D354" t="str">
        <f t="shared" si="73"/>
        <v>Q4-2023</v>
      </c>
      <c r="E354" s="4">
        <v>45222</v>
      </c>
      <c r="F354" s="12">
        <f t="shared" si="70"/>
        <v>45222</v>
      </c>
      <c r="G354" s="13">
        <f t="shared" si="71"/>
        <v>16</v>
      </c>
      <c r="H354" t="s">
        <v>647</v>
      </c>
      <c r="I354" t="s">
        <v>654</v>
      </c>
      <c r="J354" t="s">
        <v>696</v>
      </c>
      <c r="K354" t="s">
        <v>704</v>
      </c>
      <c r="L354" t="s">
        <v>707</v>
      </c>
      <c r="M354" t="s">
        <v>715</v>
      </c>
      <c r="N354" t="s">
        <v>732</v>
      </c>
      <c r="O354" t="s">
        <v>902</v>
      </c>
      <c r="P354" s="6">
        <v>906.81</v>
      </c>
      <c r="Q354" s="6">
        <v>1395.56</v>
      </c>
      <c r="R354" s="10">
        <v>0.185</v>
      </c>
      <c r="S354" s="10" t="b">
        <f t="shared" si="74"/>
        <v>0</v>
      </c>
      <c r="T354" s="8">
        <v>6</v>
      </c>
      <c r="U354">
        <f t="shared" si="75"/>
        <v>6824.2883999999995</v>
      </c>
      <c r="V354">
        <f t="shared" si="76"/>
        <v>5440.86</v>
      </c>
      <c r="W354">
        <f t="shared" si="77"/>
        <v>1383.4283999999998</v>
      </c>
      <c r="X354" s="10">
        <f t="shared" si="78"/>
        <v>0.20272126834498963</v>
      </c>
      <c r="Y354" t="str">
        <f t="shared" si="79"/>
        <v>Medium</v>
      </c>
      <c r="Z354" t="str">
        <f t="shared" si="80"/>
        <v>Not Met</v>
      </c>
      <c r="AA354" t="str">
        <f t="shared" si="81"/>
        <v>Low Discount</v>
      </c>
      <c r="AB354" s="10">
        <f>MIN(R354,ControlPanel!$B$5)</f>
        <v>0.185</v>
      </c>
      <c r="AC354">
        <f>P354*(1+ControlPanel!$B$6)</f>
        <v>952.15049999999997</v>
      </c>
      <c r="AD354">
        <f>T354*(1+ControlPanel!$B$7)</f>
        <v>6.6000000000000005</v>
      </c>
      <c r="AE354" s="6">
        <f t="shared" si="82"/>
        <v>7506.7172400000009</v>
      </c>
      <c r="AF354">
        <f t="shared" si="83"/>
        <v>1222.5239400000009</v>
      </c>
    </row>
    <row r="355" spans="1:32" x14ac:dyDescent="0.3">
      <c r="A355" t="s">
        <v>53</v>
      </c>
      <c r="B355" s="4">
        <v>45401</v>
      </c>
      <c r="C355" s="4" t="str">
        <f t="shared" si="72"/>
        <v>Apr-2024</v>
      </c>
      <c r="D355" t="str">
        <f t="shared" si="73"/>
        <v>Q2-2024</v>
      </c>
      <c r="E355" s="4">
        <v>45418</v>
      </c>
      <c r="F355" s="12">
        <f t="shared" si="70"/>
        <v>45418</v>
      </c>
      <c r="G355" s="13">
        <f t="shared" si="71"/>
        <v>17</v>
      </c>
      <c r="H355" t="s">
        <v>646</v>
      </c>
      <c r="I355" t="s">
        <v>651</v>
      </c>
      <c r="J355" t="s">
        <v>663</v>
      </c>
      <c r="K355" t="s">
        <v>703</v>
      </c>
      <c r="L355" t="s">
        <v>708</v>
      </c>
      <c r="M355" t="s">
        <v>720</v>
      </c>
      <c r="N355" t="s">
        <v>728</v>
      </c>
      <c r="O355" t="s">
        <v>772</v>
      </c>
      <c r="P355" s="6">
        <v>865.33</v>
      </c>
      <c r="Q355" s="6">
        <v>1395.64</v>
      </c>
      <c r="R355" s="10">
        <v>0.17499999999999999</v>
      </c>
      <c r="S355" s="10" t="b">
        <f t="shared" si="74"/>
        <v>0</v>
      </c>
      <c r="T355" s="8">
        <v>13</v>
      </c>
      <c r="U355">
        <f t="shared" si="75"/>
        <v>14968.239</v>
      </c>
      <c r="V355">
        <f t="shared" si="76"/>
        <v>11249.29</v>
      </c>
      <c r="W355">
        <f t="shared" si="77"/>
        <v>3718.9489999999987</v>
      </c>
      <c r="X355" s="10">
        <f t="shared" si="78"/>
        <v>0.24845601409758347</v>
      </c>
      <c r="Y355" t="str">
        <f t="shared" si="79"/>
        <v>Medium</v>
      </c>
      <c r="Z355" t="str">
        <f t="shared" si="80"/>
        <v>Not Met</v>
      </c>
      <c r="AA355" t="str">
        <f t="shared" si="81"/>
        <v>Low Discount</v>
      </c>
      <c r="AB355" s="10">
        <f>MIN(R355,ControlPanel!$B$5)</f>
        <v>0.17499999999999999</v>
      </c>
      <c r="AC355">
        <f>P355*(1+ControlPanel!$B$6)</f>
        <v>908.59650000000011</v>
      </c>
      <c r="AD355">
        <f>T355*(1+ControlPanel!$B$7)</f>
        <v>14.3</v>
      </c>
      <c r="AE355" s="6">
        <f t="shared" si="82"/>
        <v>16465.062900000001</v>
      </c>
      <c r="AF355">
        <f t="shared" si="83"/>
        <v>3472.1329499999993</v>
      </c>
    </row>
    <row r="356" spans="1:32" x14ac:dyDescent="0.3">
      <c r="A356" t="s">
        <v>60</v>
      </c>
      <c r="B356" s="4">
        <v>45035</v>
      </c>
      <c r="C356" s="4" t="str">
        <f t="shared" si="72"/>
        <v>Apr-2023</v>
      </c>
      <c r="D356" t="str">
        <f t="shared" si="73"/>
        <v>Q2-2023</v>
      </c>
      <c r="E356" s="4">
        <v>45046</v>
      </c>
      <c r="F356" s="12">
        <f t="shared" si="70"/>
        <v>45046</v>
      </c>
      <c r="G356" s="13">
        <f t="shared" si="71"/>
        <v>11</v>
      </c>
      <c r="H356" t="s">
        <v>647</v>
      </c>
      <c r="I356" t="s">
        <v>654</v>
      </c>
      <c r="J356" t="s">
        <v>680</v>
      </c>
      <c r="K356" t="s">
        <v>705</v>
      </c>
      <c r="L356" t="s">
        <v>707</v>
      </c>
      <c r="M356" t="s">
        <v>720</v>
      </c>
      <c r="N356" t="s">
        <v>729</v>
      </c>
      <c r="O356" t="s">
        <v>779</v>
      </c>
      <c r="P356" s="6">
        <v>826.55</v>
      </c>
      <c r="Q356" s="6">
        <v>1397.05</v>
      </c>
      <c r="R356" s="10">
        <v>0.16900000000000001</v>
      </c>
      <c r="S356" s="10" t="b">
        <f t="shared" si="74"/>
        <v>0</v>
      </c>
      <c r="T356" s="8">
        <v>28</v>
      </c>
      <c r="U356">
        <f t="shared" si="75"/>
        <v>32506.559399999995</v>
      </c>
      <c r="V356">
        <f t="shared" si="76"/>
        <v>23143.399999999998</v>
      </c>
      <c r="W356">
        <f t="shared" si="77"/>
        <v>9363.1593999999968</v>
      </c>
      <c r="X356" s="10">
        <f t="shared" si="78"/>
        <v>0.28803907804527595</v>
      </c>
      <c r="Y356" t="str">
        <f t="shared" si="79"/>
        <v>Medium</v>
      </c>
      <c r="Z356" t="str">
        <f t="shared" si="80"/>
        <v>Not Met</v>
      </c>
      <c r="AA356" t="str">
        <f t="shared" si="81"/>
        <v>Low Discount</v>
      </c>
      <c r="AB356" s="10">
        <f>MIN(R356,ControlPanel!$B$5)</f>
        <v>0.16900000000000001</v>
      </c>
      <c r="AC356">
        <f>P356*(1+ControlPanel!$B$6)</f>
        <v>867.87749999999994</v>
      </c>
      <c r="AD356">
        <f>T356*(1+ControlPanel!$B$7)</f>
        <v>30.800000000000004</v>
      </c>
      <c r="AE356" s="6">
        <f t="shared" si="82"/>
        <v>35757.215340000002</v>
      </c>
      <c r="AF356">
        <f t="shared" si="83"/>
        <v>9026.5883400000021</v>
      </c>
    </row>
    <row r="357" spans="1:32" x14ac:dyDescent="0.3">
      <c r="A357" t="s">
        <v>620</v>
      </c>
      <c r="B357" s="4">
        <v>45038</v>
      </c>
      <c r="C357" s="4" t="str">
        <f t="shared" si="72"/>
        <v>Apr-2023</v>
      </c>
      <c r="D357" t="str">
        <f t="shared" si="73"/>
        <v>Q2-2023</v>
      </c>
      <c r="E357" s="4">
        <v>45060</v>
      </c>
      <c r="F357" s="12">
        <f t="shared" si="70"/>
        <v>45060</v>
      </c>
      <c r="G357" s="13">
        <f t="shared" si="71"/>
        <v>22</v>
      </c>
      <c r="H357" t="s">
        <v>647</v>
      </c>
      <c r="I357" t="s">
        <v>652</v>
      </c>
      <c r="J357" t="s">
        <v>694</v>
      </c>
      <c r="K357" t="s">
        <v>706</v>
      </c>
      <c r="L357" t="s">
        <v>707</v>
      </c>
      <c r="M357" t="s">
        <v>720</v>
      </c>
      <c r="N357" t="s">
        <v>733</v>
      </c>
      <c r="O357" t="s">
        <v>1338</v>
      </c>
      <c r="P357" s="6">
        <v>1209.22</v>
      </c>
      <c r="Q357" s="6">
        <v>1404.33</v>
      </c>
      <c r="R357" s="10">
        <v>0.10299999999999999</v>
      </c>
      <c r="S357" s="10" t="b">
        <f t="shared" si="74"/>
        <v>0</v>
      </c>
      <c r="T357" s="8">
        <v>11</v>
      </c>
      <c r="U357">
        <f t="shared" si="75"/>
        <v>13856.524109999998</v>
      </c>
      <c r="V357">
        <f t="shared" si="76"/>
        <v>13301.42</v>
      </c>
      <c r="W357">
        <f t="shared" si="77"/>
        <v>555.1041099999984</v>
      </c>
      <c r="X357" s="10">
        <f t="shared" si="78"/>
        <v>4.0060848275751203E-2</v>
      </c>
      <c r="Y357" t="str">
        <f t="shared" si="79"/>
        <v>Medium</v>
      </c>
      <c r="Z357" t="str">
        <f t="shared" si="80"/>
        <v>Not Met</v>
      </c>
      <c r="AA357" t="str">
        <f t="shared" si="81"/>
        <v>Low Discount</v>
      </c>
      <c r="AB357" s="10">
        <f>MIN(R357,ControlPanel!$B$5)</f>
        <v>0.10299999999999999</v>
      </c>
      <c r="AC357">
        <f>P357*(1+ControlPanel!$B$6)</f>
        <v>1269.681</v>
      </c>
      <c r="AD357">
        <f>T357*(1+ControlPanel!$B$7)</f>
        <v>12.100000000000001</v>
      </c>
      <c r="AE357" s="6">
        <f t="shared" si="82"/>
        <v>15242.176521000001</v>
      </c>
      <c r="AF357">
        <f t="shared" si="83"/>
        <v>-120.96357900000112</v>
      </c>
    </row>
    <row r="358" spans="1:32" x14ac:dyDescent="0.3">
      <c r="A358" t="s">
        <v>107</v>
      </c>
      <c r="B358" s="4">
        <v>45101</v>
      </c>
      <c r="C358" s="4" t="str">
        <f t="shared" si="72"/>
        <v>Jun-2023</v>
      </c>
      <c r="D358" t="str">
        <f t="shared" si="73"/>
        <v>Q2-2023</v>
      </c>
      <c r="E358" s="4">
        <v>45100</v>
      </c>
      <c r="F358" s="12">
        <f t="shared" si="70"/>
        <v>45115</v>
      </c>
      <c r="G358" s="13">
        <f t="shared" si="71"/>
        <v>14</v>
      </c>
      <c r="H358" t="s">
        <v>648</v>
      </c>
      <c r="I358" t="s">
        <v>655</v>
      </c>
      <c r="J358" t="s">
        <v>692</v>
      </c>
      <c r="K358" t="s">
        <v>703</v>
      </c>
      <c r="L358" t="s">
        <v>707</v>
      </c>
      <c r="M358" t="s">
        <v>718</v>
      </c>
      <c r="N358" t="s">
        <v>728</v>
      </c>
      <c r="O358" t="s">
        <v>826</v>
      </c>
      <c r="P358" s="6">
        <v>804.01</v>
      </c>
      <c r="Q358" s="6">
        <v>1405.07</v>
      </c>
      <c r="R358" s="10">
        <v>9.6000000000000002E-2</v>
      </c>
      <c r="S358" s="10" t="b">
        <f t="shared" si="74"/>
        <v>0</v>
      </c>
      <c r="T358" s="8">
        <v>8</v>
      </c>
      <c r="U358">
        <f t="shared" si="75"/>
        <v>10161.46624</v>
      </c>
      <c r="V358">
        <f t="shared" si="76"/>
        <v>6432.08</v>
      </c>
      <c r="W358">
        <f t="shared" si="77"/>
        <v>3729.3862399999998</v>
      </c>
      <c r="X358" s="10">
        <f t="shared" si="78"/>
        <v>0.36701260939287439</v>
      </c>
      <c r="Y358" t="str">
        <f t="shared" si="79"/>
        <v>Medium</v>
      </c>
      <c r="Z358" t="str">
        <f t="shared" si="80"/>
        <v>Not Met</v>
      </c>
      <c r="AA358" t="str">
        <f t="shared" si="81"/>
        <v>Low Discount</v>
      </c>
      <c r="AB358" s="10">
        <f>MIN(R358,ControlPanel!$B$5)</f>
        <v>9.6000000000000002E-2</v>
      </c>
      <c r="AC358">
        <f>P358*(1+ControlPanel!$B$6)</f>
        <v>844.21050000000002</v>
      </c>
      <c r="AD358">
        <f>T358*(1+ControlPanel!$B$7)</f>
        <v>8.8000000000000007</v>
      </c>
      <c r="AE358" s="6">
        <f t="shared" si="82"/>
        <v>11177.612864000001</v>
      </c>
      <c r="AF358">
        <f t="shared" si="83"/>
        <v>3748.5604640000001</v>
      </c>
    </row>
    <row r="359" spans="1:32" x14ac:dyDescent="0.3">
      <c r="A359" t="s">
        <v>607</v>
      </c>
      <c r="B359" s="4">
        <v>45504</v>
      </c>
      <c r="C359" s="4" t="str">
        <f t="shared" si="72"/>
        <v>Jul-2024</v>
      </c>
      <c r="D359" t="str">
        <f t="shared" si="73"/>
        <v>Q3-2024</v>
      </c>
      <c r="E359" s="4">
        <v>45519</v>
      </c>
      <c r="F359" s="12">
        <f t="shared" si="70"/>
        <v>45519</v>
      </c>
      <c r="G359" s="13">
        <f t="shared" si="71"/>
        <v>15</v>
      </c>
      <c r="H359" t="s">
        <v>647</v>
      </c>
      <c r="I359" t="s">
        <v>652</v>
      </c>
      <c r="J359" t="s">
        <v>689</v>
      </c>
      <c r="K359" t="s">
        <v>701</v>
      </c>
      <c r="L359" t="s">
        <v>709</v>
      </c>
      <c r="M359" t="s">
        <v>721</v>
      </c>
      <c r="N359" t="s">
        <v>732</v>
      </c>
      <c r="O359" t="s">
        <v>1325</v>
      </c>
      <c r="P359" s="6">
        <v>1252.52</v>
      </c>
      <c r="Q359" s="6">
        <v>1417.24</v>
      </c>
      <c r="R359" s="10">
        <v>0.192</v>
      </c>
      <c r="S359" s="10" t="b">
        <f t="shared" si="74"/>
        <v>0</v>
      </c>
      <c r="T359" s="8">
        <v>5</v>
      </c>
      <c r="U359">
        <f t="shared" si="75"/>
        <v>5725.6496000000006</v>
      </c>
      <c r="V359">
        <f t="shared" si="76"/>
        <v>6262.6</v>
      </c>
      <c r="W359">
        <f t="shared" si="77"/>
        <v>-536.95039999999972</v>
      </c>
      <c r="X359" s="10">
        <f t="shared" si="78"/>
        <v>-9.3779821943696953E-2</v>
      </c>
      <c r="Y359" t="str">
        <f t="shared" si="79"/>
        <v>Medium</v>
      </c>
      <c r="Z359" t="str">
        <f t="shared" si="80"/>
        <v>Not Met</v>
      </c>
      <c r="AA359" t="str">
        <f t="shared" si="81"/>
        <v>Low Discount</v>
      </c>
      <c r="AB359" s="10">
        <f>MIN(R359,ControlPanel!$B$5)</f>
        <v>0.192</v>
      </c>
      <c r="AC359">
        <f>P359*(1+ControlPanel!$B$6)</f>
        <v>1315.146</v>
      </c>
      <c r="AD359">
        <f>T359*(1+ControlPanel!$B$7)</f>
        <v>5.5</v>
      </c>
      <c r="AE359" s="6">
        <f t="shared" si="82"/>
        <v>6298.2145600000003</v>
      </c>
      <c r="AF359">
        <f t="shared" si="83"/>
        <v>-935.08843999999954</v>
      </c>
    </row>
    <row r="360" spans="1:32" x14ac:dyDescent="0.3">
      <c r="A360" t="s">
        <v>341</v>
      </c>
      <c r="B360" s="4">
        <v>45087</v>
      </c>
      <c r="C360" s="4" t="str">
        <f t="shared" si="72"/>
        <v>Jun-2023</v>
      </c>
      <c r="D360" t="str">
        <f t="shared" si="73"/>
        <v>Q2-2023</v>
      </c>
      <c r="E360" s="4">
        <v>45095</v>
      </c>
      <c r="F360" s="12">
        <f t="shared" si="70"/>
        <v>45095</v>
      </c>
      <c r="G360" s="13">
        <f t="shared" si="71"/>
        <v>8</v>
      </c>
      <c r="H360" t="s">
        <v>646</v>
      </c>
      <c r="I360" t="s">
        <v>650</v>
      </c>
      <c r="J360" t="s">
        <v>678</v>
      </c>
      <c r="K360" t="s">
        <v>706</v>
      </c>
      <c r="L360" t="s">
        <v>711</v>
      </c>
      <c r="M360" t="s">
        <v>722</v>
      </c>
      <c r="N360" t="s">
        <v>730</v>
      </c>
      <c r="O360" t="s">
        <v>1061</v>
      </c>
      <c r="P360" s="6">
        <v>894.23</v>
      </c>
      <c r="Q360" s="6">
        <v>1421.55</v>
      </c>
      <c r="R360" s="10">
        <v>0.109</v>
      </c>
      <c r="S360" s="10" t="b">
        <f t="shared" si="74"/>
        <v>0</v>
      </c>
      <c r="T360" s="8">
        <v>3</v>
      </c>
      <c r="U360">
        <f t="shared" si="75"/>
        <v>3799.8031499999997</v>
      </c>
      <c r="V360">
        <f t="shared" si="76"/>
        <v>2682.69</v>
      </c>
      <c r="W360">
        <f t="shared" si="77"/>
        <v>1117.1131499999997</v>
      </c>
      <c r="X360" s="10">
        <f t="shared" si="78"/>
        <v>0.29399237431549574</v>
      </c>
      <c r="Y360" t="str">
        <f t="shared" si="79"/>
        <v>Medium</v>
      </c>
      <c r="Z360" t="str">
        <f t="shared" si="80"/>
        <v>Not Met</v>
      </c>
      <c r="AA360" t="str">
        <f t="shared" si="81"/>
        <v>Low Discount</v>
      </c>
      <c r="AB360" s="10">
        <f>MIN(R360,ControlPanel!$B$5)</f>
        <v>0.109</v>
      </c>
      <c r="AC360">
        <f>P360*(1+ControlPanel!$B$6)</f>
        <v>938.94150000000002</v>
      </c>
      <c r="AD360">
        <f>T360*(1+ControlPanel!$B$7)</f>
        <v>3.3000000000000003</v>
      </c>
      <c r="AE360" s="6">
        <f t="shared" si="82"/>
        <v>4179.7834650000004</v>
      </c>
      <c r="AF360">
        <f t="shared" si="83"/>
        <v>1081.276515</v>
      </c>
    </row>
    <row r="361" spans="1:32" x14ac:dyDescent="0.3">
      <c r="A361" t="s">
        <v>552</v>
      </c>
      <c r="B361" s="4">
        <v>45114</v>
      </c>
      <c r="C361" s="4" t="str">
        <f t="shared" si="72"/>
        <v>Jul-2023</v>
      </c>
      <c r="D361" t="str">
        <f t="shared" si="73"/>
        <v>Q3-2023</v>
      </c>
      <c r="E361" s="4">
        <v>45120</v>
      </c>
      <c r="F361" s="12">
        <f t="shared" si="70"/>
        <v>45120</v>
      </c>
      <c r="G361" s="13">
        <f t="shared" si="71"/>
        <v>6</v>
      </c>
      <c r="H361" t="s">
        <v>646</v>
      </c>
      <c r="I361" t="s">
        <v>661</v>
      </c>
      <c r="J361" t="s">
        <v>695</v>
      </c>
      <c r="K361" t="s">
        <v>705</v>
      </c>
      <c r="L361" t="s">
        <v>709</v>
      </c>
      <c r="M361" t="s">
        <v>717</v>
      </c>
      <c r="N361" t="s">
        <v>733</v>
      </c>
      <c r="O361" t="s">
        <v>1270</v>
      </c>
      <c r="P361" s="6">
        <v>612.59</v>
      </c>
      <c r="Q361" s="6">
        <v>1424.74</v>
      </c>
      <c r="R361" s="10">
        <v>4.3999999999999997E-2</v>
      </c>
      <c r="S361" s="10" t="b">
        <f t="shared" si="74"/>
        <v>0</v>
      </c>
      <c r="T361" s="8">
        <v>15</v>
      </c>
      <c r="U361">
        <f t="shared" si="75"/>
        <v>20430.7716</v>
      </c>
      <c r="V361">
        <f t="shared" si="76"/>
        <v>9188.85</v>
      </c>
      <c r="W361">
        <f t="shared" si="77"/>
        <v>11241.9216</v>
      </c>
      <c r="X361" s="10">
        <f t="shared" si="78"/>
        <v>0.55024459281802163</v>
      </c>
      <c r="Y361" t="str">
        <f t="shared" si="79"/>
        <v>Medium</v>
      </c>
      <c r="Z361" t="str">
        <f t="shared" si="80"/>
        <v>Met</v>
      </c>
      <c r="AA361" t="str">
        <f t="shared" si="81"/>
        <v>Low Discount</v>
      </c>
      <c r="AB361" s="10">
        <f>MIN(R361,ControlPanel!$B$5)</f>
        <v>4.3999999999999997E-2</v>
      </c>
      <c r="AC361">
        <f>P361*(1+ControlPanel!$B$6)</f>
        <v>643.21950000000004</v>
      </c>
      <c r="AD361">
        <f>T361*(1+ControlPanel!$B$7)</f>
        <v>16.5</v>
      </c>
      <c r="AE361" s="6">
        <f t="shared" si="82"/>
        <v>22473.848760000001</v>
      </c>
      <c r="AF361">
        <f t="shared" si="83"/>
        <v>11860.727010000001</v>
      </c>
    </row>
    <row r="362" spans="1:32" x14ac:dyDescent="0.3">
      <c r="A362" t="s">
        <v>541</v>
      </c>
      <c r="B362" s="4">
        <v>44938</v>
      </c>
      <c r="C362" s="4" t="str">
        <f t="shared" si="72"/>
        <v>Jan-2023</v>
      </c>
      <c r="D362" t="str">
        <f t="shared" si="73"/>
        <v>Q1-2023</v>
      </c>
      <c r="E362" s="4">
        <v>44952</v>
      </c>
      <c r="F362" s="12">
        <f t="shared" si="70"/>
        <v>44952</v>
      </c>
      <c r="G362" s="13">
        <f t="shared" si="71"/>
        <v>14</v>
      </c>
      <c r="H362" t="s">
        <v>647</v>
      </c>
      <c r="I362" t="s">
        <v>659</v>
      </c>
      <c r="J362" t="s">
        <v>676</v>
      </c>
      <c r="K362" t="s">
        <v>703</v>
      </c>
      <c r="L362" t="s">
        <v>707</v>
      </c>
      <c r="M362" t="s">
        <v>724</v>
      </c>
      <c r="N362" t="s">
        <v>728</v>
      </c>
      <c r="O362" t="s">
        <v>1260</v>
      </c>
      <c r="P362" s="6">
        <v>1083.0899999999999</v>
      </c>
      <c r="Q362" s="6">
        <v>1425.87</v>
      </c>
      <c r="R362" s="10">
        <v>0</v>
      </c>
      <c r="S362" s="10" t="b">
        <f t="shared" si="74"/>
        <v>0</v>
      </c>
      <c r="T362" s="8">
        <v>8</v>
      </c>
      <c r="U362">
        <f t="shared" si="75"/>
        <v>11406.96</v>
      </c>
      <c r="V362">
        <f t="shared" si="76"/>
        <v>8664.7199999999993</v>
      </c>
      <c r="W362">
        <f t="shared" si="77"/>
        <v>2742.24</v>
      </c>
      <c r="X362" s="10">
        <f t="shared" si="78"/>
        <v>0.24040059752992909</v>
      </c>
      <c r="Y362" t="str">
        <f t="shared" si="79"/>
        <v>Medium</v>
      </c>
      <c r="Z362" t="str">
        <f t="shared" si="80"/>
        <v>Not Met</v>
      </c>
      <c r="AA362" t="str">
        <f t="shared" si="81"/>
        <v>Low Discount</v>
      </c>
      <c r="AB362" s="10">
        <f>MIN(R362,ControlPanel!$B$5)</f>
        <v>0</v>
      </c>
      <c r="AC362">
        <f>P362*(1+ControlPanel!$B$6)</f>
        <v>1137.2445</v>
      </c>
      <c r="AD362">
        <f>T362*(1+ControlPanel!$B$7)</f>
        <v>8.8000000000000007</v>
      </c>
      <c r="AE362" s="6">
        <f t="shared" si="82"/>
        <v>12547.656000000001</v>
      </c>
      <c r="AF362">
        <f t="shared" si="83"/>
        <v>2539.9043999999994</v>
      </c>
    </row>
    <row r="363" spans="1:32" x14ac:dyDescent="0.3">
      <c r="A363" t="s">
        <v>314</v>
      </c>
      <c r="B363" s="4">
        <v>45787</v>
      </c>
      <c r="C363" s="4" t="str">
        <f t="shared" si="72"/>
        <v>May-2025</v>
      </c>
      <c r="D363" t="str">
        <f t="shared" si="73"/>
        <v>Q2-2025</v>
      </c>
      <c r="E363" s="4">
        <v>45804</v>
      </c>
      <c r="F363" s="12">
        <f t="shared" si="70"/>
        <v>45804</v>
      </c>
      <c r="G363" s="13">
        <f t="shared" si="71"/>
        <v>17</v>
      </c>
      <c r="H363" t="s">
        <v>648</v>
      </c>
      <c r="I363" t="s">
        <v>653</v>
      </c>
      <c r="J363" t="s">
        <v>688</v>
      </c>
      <c r="K363" t="s">
        <v>702</v>
      </c>
      <c r="L363" t="s">
        <v>711</v>
      </c>
      <c r="M363" t="s">
        <v>712</v>
      </c>
      <c r="N363" t="s">
        <v>727</v>
      </c>
      <c r="O363" t="s">
        <v>1034</v>
      </c>
      <c r="P363" s="6">
        <v>862.89</v>
      </c>
      <c r="Q363" s="6">
        <v>1426.03</v>
      </c>
      <c r="R363" s="10">
        <v>5.6000000000000001E-2</v>
      </c>
      <c r="S363" s="10" t="b">
        <f t="shared" si="74"/>
        <v>0</v>
      </c>
      <c r="T363" s="8">
        <v>19</v>
      </c>
      <c r="U363">
        <f t="shared" si="75"/>
        <v>25577.274079999999</v>
      </c>
      <c r="V363">
        <f t="shared" si="76"/>
        <v>16394.91</v>
      </c>
      <c r="W363">
        <f t="shared" si="77"/>
        <v>9182.3640799999994</v>
      </c>
      <c r="X363" s="10">
        <f t="shared" si="78"/>
        <v>0.35900479665188778</v>
      </c>
      <c r="Y363" t="str">
        <f t="shared" si="79"/>
        <v>Medium</v>
      </c>
      <c r="Z363" t="str">
        <f t="shared" si="80"/>
        <v>Not Met</v>
      </c>
      <c r="AA363" t="str">
        <f t="shared" si="81"/>
        <v>Low Discount</v>
      </c>
      <c r="AB363" s="10">
        <f>MIN(R363,ControlPanel!$B$5)</f>
        <v>5.6000000000000001E-2</v>
      </c>
      <c r="AC363">
        <f>P363*(1+ControlPanel!$B$6)</f>
        <v>906.03449999999998</v>
      </c>
      <c r="AD363">
        <f>T363*(1+ControlPanel!$B$7)</f>
        <v>20.900000000000002</v>
      </c>
      <c r="AE363" s="6">
        <f t="shared" si="82"/>
        <v>28135.001488000002</v>
      </c>
      <c r="AF363">
        <f t="shared" si="83"/>
        <v>9198.8804380000001</v>
      </c>
    </row>
    <row r="364" spans="1:32" x14ac:dyDescent="0.3">
      <c r="A364" t="s">
        <v>624</v>
      </c>
      <c r="B364" s="4">
        <v>45032</v>
      </c>
      <c r="C364" s="4" t="str">
        <f t="shared" si="72"/>
        <v>Apr-2023</v>
      </c>
      <c r="D364" t="str">
        <f t="shared" si="73"/>
        <v>Q2-2023</v>
      </c>
      <c r="E364" s="4">
        <v>45039</v>
      </c>
      <c r="F364" s="12">
        <f t="shared" si="70"/>
        <v>45039</v>
      </c>
      <c r="G364" s="13">
        <f t="shared" si="71"/>
        <v>7</v>
      </c>
      <c r="H364" t="s">
        <v>648</v>
      </c>
      <c r="I364" t="s">
        <v>660</v>
      </c>
      <c r="J364" t="s">
        <v>697</v>
      </c>
      <c r="K364" t="s">
        <v>701</v>
      </c>
      <c r="L364" t="s">
        <v>710</v>
      </c>
      <c r="M364" t="s">
        <v>719</v>
      </c>
      <c r="N364" t="s">
        <v>728</v>
      </c>
      <c r="O364" t="s">
        <v>1342</v>
      </c>
      <c r="P364" s="6">
        <v>1099.1500000000001</v>
      </c>
      <c r="Q364" s="6">
        <v>1431.37</v>
      </c>
      <c r="R364" s="10">
        <v>0.104</v>
      </c>
      <c r="S364" s="10" t="b">
        <f t="shared" si="74"/>
        <v>0</v>
      </c>
      <c r="T364" s="8">
        <v>8</v>
      </c>
      <c r="U364">
        <f t="shared" si="75"/>
        <v>10260.060159999999</v>
      </c>
      <c r="V364">
        <f t="shared" si="76"/>
        <v>8793.2000000000007</v>
      </c>
      <c r="W364">
        <f t="shared" si="77"/>
        <v>1466.8601599999984</v>
      </c>
      <c r="X364" s="10">
        <f t="shared" si="78"/>
        <v>0.14296798821109433</v>
      </c>
      <c r="Y364" t="str">
        <f t="shared" si="79"/>
        <v>Medium</v>
      </c>
      <c r="Z364" t="str">
        <f t="shared" si="80"/>
        <v>Met</v>
      </c>
      <c r="AA364" t="str">
        <f t="shared" si="81"/>
        <v>Low Discount</v>
      </c>
      <c r="AB364" s="10">
        <f>MIN(R364,ControlPanel!$B$5)</f>
        <v>0.104</v>
      </c>
      <c r="AC364">
        <f>P364*(1+ControlPanel!$B$6)</f>
        <v>1154.1075000000001</v>
      </c>
      <c r="AD364">
        <f>T364*(1+ControlPanel!$B$7)</f>
        <v>8.8000000000000007</v>
      </c>
      <c r="AE364" s="6">
        <f t="shared" si="82"/>
        <v>11286.066176</v>
      </c>
      <c r="AF364">
        <f t="shared" si="83"/>
        <v>1129.9201759999996</v>
      </c>
    </row>
    <row r="365" spans="1:32" x14ac:dyDescent="0.3">
      <c r="A365" t="s">
        <v>138</v>
      </c>
      <c r="B365" s="4">
        <v>45598</v>
      </c>
      <c r="C365" s="4" t="str">
        <f t="shared" si="72"/>
        <v>Nov-2024</v>
      </c>
      <c r="D365" t="str">
        <f t="shared" si="73"/>
        <v>Q4-2024</v>
      </c>
      <c r="E365" s="4">
        <v>45625</v>
      </c>
      <c r="F365" s="12">
        <f t="shared" si="70"/>
        <v>45625</v>
      </c>
      <c r="G365" s="13">
        <f t="shared" si="71"/>
        <v>27</v>
      </c>
      <c r="H365" t="s">
        <v>648</v>
      </c>
      <c r="I365" t="s">
        <v>655</v>
      </c>
      <c r="J365" t="s">
        <v>672</v>
      </c>
      <c r="K365" t="s">
        <v>705</v>
      </c>
      <c r="L365" t="s">
        <v>711</v>
      </c>
      <c r="M365" t="s">
        <v>714</v>
      </c>
      <c r="N365" t="s">
        <v>729</v>
      </c>
      <c r="O365" t="s">
        <v>857</v>
      </c>
      <c r="P365" s="6">
        <v>1363.51</v>
      </c>
      <c r="Q365" s="6">
        <v>1433.9</v>
      </c>
      <c r="R365" s="10">
        <v>5.7000000000000002E-2</v>
      </c>
      <c r="S365" s="10" t="b">
        <f t="shared" si="74"/>
        <v>0</v>
      </c>
      <c r="T365" s="8">
        <v>8</v>
      </c>
      <c r="U365">
        <f t="shared" si="75"/>
        <v>10817.3416</v>
      </c>
      <c r="V365">
        <f t="shared" si="76"/>
        <v>10908.08</v>
      </c>
      <c r="W365">
        <f t="shared" si="77"/>
        <v>-90.738400000000183</v>
      </c>
      <c r="X365" s="10">
        <f t="shared" si="78"/>
        <v>-8.3882346842037592E-3</v>
      </c>
      <c r="Y365" t="str">
        <f t="shared" si="79"/>
        <v>Medium</v>
      </c>
      <c r="Z365" t="str">
        <f t="shared" si="80"/>
        <v>Not Met</v>
      </c>
      <c r="AA365" t="str">
        <f t="shared" si="81"/>
        <v>Low Discount</v>
      </c>
      <c r="AB365" s="10">
        <f>MIN(R365,ControlPanel!$B$5)</f>
        <v>5.7000000000000002E-2</v>
      </c>
      <c r="AC365">
        <f>P365*(1+ControlPanel!$B$6)</f>
        <v>1431.6855</v>
      </c>
      <c r="AD365">
        <f>T365*(1+ControlPanel!$B$7)</f>
        <v>8.8000000000000007</v>
      </c>
      <c r="AE365" s="6">
        <f t="shared" si="82"/>
        <v>11899.075760000002</v>
      </c>
      <c r="AF365">
        <f t="shared" si="83"/>
        <v>-699.75663999999961</v>
      </c>
    </row>
    <row r="366" spans="1:32" x14ac:dyDescent="0.3">
      <c r="A366" t="s">
        <v>642</v>
      </c>
      <c r="B366" s="4">
        <v>45100</v>
      </c>
      <c r="C366" s="4" t="str">
        <f t="shared" si="72"/>
        <v>Jun-2023</v>
      </c>
      <c r="D366" t="str">
        <f t="shared" si="73"/>
        <v>Q2-2023</v>
      </c>
      <c r="E366" s="4">
        <v>45125</v>
      </c>
      <c r="F366" s="12">
        <f t="shared" si="70"/>
        <v>45125</v>
      </c>
      <c r="G366" s="13">
        <f t="shared" si="71"/>
        <v>25</v>
      </c>
      <c r="H366" t="s">
        <v>648</v>
      </c>
      <c r="I366" t="s">
        <v>653</v>
      </c>
      <c r="J366" t="s">
        <v>688</v>
      </c>
      <c r="K366" t="s">
        <v>706</v>
      </c>
      <c r="L366" t="s">
        <v>708</v>
      </c>
      <c r="M366" t="s">
        <v>725</v>
      </c>
      <c r="N366" t="s">
        <v>730</v>
      </c>
      <c r="O366" t="s">
        <v>1360</v>
      </c>
      <c r="P366" s="6">
        <v>807.02</v>
      </c>
      <c r="Q366" s="6">
        <v>1435.54</v>
      </c>
      <c r="R366" s="10">
        <v>0</v>
      </c>
      <c r="S366" s="10" t="b">
        <f t="shared" si="74"/>
        <v>0</v>
      </c>
      <c r="T366" s="8">
        <v>23</v>
      </c>
      <c r="U366">
        <f t="shared" si="75"/>
        <v>33017.42</v>
      </c>
      <c r="V366">
        <f t="shared" si="76"/>
        <v>18561.46</v>
      </c>
      <c r="W366">
        <f t="shared" si="77"/>
        <v>14455.96</v>
      </c>
      <c r="X366" s="10">
        <f t="shared" si="78"/>
        <v>0.43782827368098415</v>
      </c>
      <c r="Y366" t="str">
        <f t="shared" si="79"/>
        <v>Medium</v>
      </c>
      <c r="Z366" t="str">
        <f t="shared" si="80"/>
        <v>Not Met</v>
      </c>
      <c r="AA366" t="str">
        <f t="shared" si="81"/>
        <v>Low Discount</v>
      </c>
      <c r="AB366" s="10">
        <f>MIN(R366,ControlPanel!$B$5)</f>
        <v>0</v>
      </c>
      <c r="AC366">
        <f>P366*(1+ControlPanel!$B$6)</f>
        <v>847.37099999999998</v>
      </c>
      <c r="AD366">
        <f>T366*(1+ControlPanel!$B$7)</f>
        <v>25.3</v>
      </c>
      <c r="AE366" s="6">
        <f t="shared" si="82"/>
        <v>36319.161999999997</v>
      </c>
      <c r="AF366">
        <f t="shared" si="83"/>
        <v>14880.675699999996</v>
      </c>
    </row>
    <row r="367" spans="1:32" x14ac:dyDescent="0.3">
      <c r="A367" t="s">
        <v>286</v>
      </c>
      <c r="B367" s="4">
        <v>45382</v>
      </c>
      <c r="C367" s="4" t="str">
        <f t="shared" si="72"/>
        <v>Mar-2024</v>
      </c>
      <c r="D367" t="str">
        <f t="shared" si="73"/>
        <v>Q1-2024</v>
      </c>
      <c r="E367" s="4">
        <v>45399</v>
      </c>
      <c r="F367" s="12">
        <f t="shared" si="70"/>
        <v>45399</v>
      </c>
      <c r="G367" s="13">
        <f t="shared" si="71"/>
        <v>17</v>
      </c>
      <c r="H367" t="s">
        <v>649</v>
      </c>
      <c r="I367" t="s">
        <v>656</v>
      </c>
      <c r="J367" t="s">
        <v>698</v>
      </c>
      <c r="K367" t="s">
        <v>702</v>
      </c>
      <c r="L367" t="s">
        <v>711</v>
      </c>
      <c r="M367" t="s">
        <v>722</v>
      </c>
      <c r="N367" t="s">
        <v>732</v>
      </c>
      <c r="O367" t="s">
        <v>1006</v>
      </c>
      <c r="P367" s="6">
        <v>1025.51</v>
      </c>
      <c r="Q367" s="6">
        <v>1436.54</v>
      </c>
      <c r="R367" s="10">
        <v>0.13900000000000001</v>
      </c>
      <c r="S367" s="10" t="b">
        <f t="shared" si="74"/>
        <v>0</v>
      </c>
      <c r="T367" s="8">
        <v>28</v>
      </c>
      <c r="U367">
        <f t="shared" si="75"/>
        <v>34632.106319999999</v>
      </c>
      <c r="V367">
        <f t="shared" si="76"/>
        <v>28714.28</v>
      </c>
      <c r="W367">
        <f t="shared" si="77"/>
        <v>5917.8263200000001</v>
      </c>
      <c r="X367" s="10">
        <f t="shared" si="78"/>
        <v>0.17087688127656453</v>
      </c>
      <c r="Y367" t="str">
        <f t="shared" si="79"/>
        <v>Medium</v>
      </c>
      <c r="Z367" t="str">
        <f t="shared" si="80"/>
        <v>Not Met</v>
      </c>
      <c r="AA367" t="str">
        <f t="shared" si="81"/>
        <v>Low Discount</v>
      </c>
      <c r="AB367" s="10">
        <f>MIN(R367,ControlPanel!$B$5)</f>
        <v>0.13900000000000001</v>
      </c>
      <c r="AC367">
        <f>P367*(1+ControlPanel!$B$6)</f>
        <v>1076.7855</v>
      </c>
      <c r="AD367">
        <f>T367*(1+ControlPanel!$B$7)</f>
        <v>30.800000000000004</v>
      </c>
      <c r="AE367" s="6">
        <f t="shared" si="82"/>
        <v>38095.316952000008</v>
      </c>
      <c r="AF367">
        <f t="shared" si="83"/>
        <v>4930.3235520000017</v>
      </c>
    </row>
    <row r="368" spans="1:32" x14ac:dyDescent="0.3">
      <c r="A368" t="s">
        <v>74</v>
      </c>
      <c r="B368" s="4">
        <v>45779</v>
      </c>
      <c r="C368" s="4" t="str">
        <f t="shared" si="72"/>
        <v>May-2025</v>
      </c>
      <c r="D368" t="str">
        <f t="shared" si="73"/>
        <v>Q2-2025</v>
      </c>
      <c r="E368" s="4">
        <v>45790</v>
      </c>
      <c r="F368" s="12">
        <f t="shared" si="70"/>
        <v>45790</v>
      </c>
      <c r="G368" s="13">
        <f t="shared" si="71"/>
        <v>11</v>
      </c>
      <c r="H368" t="s">
        <v>646</v>
      </c>
      <c r="I368" t="s">
        <v>650</v>
      </c>
      <c r="J368" t="s">
        <v>678</v>
      </c>
      <c r="K368" t="s">
        <v>705</v>
      </c>
      <c r="L368" t="s">
        <v>708</v>
      </c>
      <c r="M368" t="s">
        <v>720</v>
      </c>
      <c r="N368" t="s">
        <v>733</v>
      </c>
      <c r="O368" t="s">
        <v>793</v>
      </c>
      <c r="P368" s="6">
        <v>1057.5999999999999</v>
      </c>
      <c r="Q368" s="6">
        <v>1437.06</v>
      </c>
      <c r="R368" s="10">
        <v>0.20499999999999999</v>
      </c>
      <c r="S368" s="10" t="b">
        <f t="shared" si="74"/>
        <v>0</v>
      </c>
      <c r="T368" s="8">
        <v>4</v>
      </c>
      <c r="U368">
        <f t="shared" si="75"/>
        <v>4569.8508000000002</v>
      </c>
      <c r="V368">
        <f t="shared" si="76"/>
        <v>4230.3999999999996</v>
      </c>
      <c r="W368">
        <f t="shared" si="77"/>
        <v>339.45080000000053</v>
      </c>
      <c r="X368" s="10">
        <f t="shared" si="78"/>
        <v>7.4280499485891424E-2</v>
      </c>
      <c r="Y368" t="str">
        <f t="shared" si="79"/>
        <v>Medium</v>
      </c>
      <c r="Z368" t="str">
        <f t="shared" si="80"/>
        <v>Not Met</v>
      </c>
      <c r="AA368" t="str">
        <f t="shared" si="81"/>
        <v>High Discount</v>
      </c>
      <c r="AB368" s="10">
        <f>MIN(R368,ControlPanel!$B$5)</f>
        <v>0.2</v>
      </c>
      <c r="AC368">
        <f>P368*(1+ControlPanel!$B$6)</f>
        <v>1110.48</v>
      </c>
      <c r="AD368">
        <f>T368*(1+ControlPanel!$B$7)</f>
        <v>4.4000000000000004</v>
      </c>
      <c r="AE368" s="6">
        <f t="shared" si="82"/>
        <v>5058.4512000000004</v>
      </c>
      <c r="AF368">
        <f t="shared" si="83"/>
        <v>172.33920000000035</v>
      </c>
    </row>
    <row r="369" spans="1:32" x14ac:dyDescent="0.3">
      <c r="A369" t="s">
        <v>28</v>
      </c>
      <c r="B369" s="4">
        <v>45311</v>
      </c>
      <c r="C369" s="4" t="str">
        <f t="shared" si="72"/>
        <v>Jan-2024</v>
      </c>
      <c r="D369" t="str">
        <f t="shared" si="73"/>
        <v>Q1-2024</v>
      </c>
      <c r="E369" s="4">
        <v>45335</v>
      </c>
      <c r="F369" s="12">
        <f t="shared" si="70"/>
        <v>45335</v>
      </c>
      <c r="G369" s="13">
        <f t="shared" si="71"/>
        <v>24</v>
      </c>
      <c r="H369" t="s">
        <v>649</v>
      </c>
      <c r="I369" t="s">
        <v>657</v>
      </c>
      <c r="J369" t="s">
        <v>673</v>
      </c>
      <c r="K369" t="s">
        <v>701</v>
      </c>
      <c r="L369" t="s">
        <v>707</v>
      </c>
      <c r="M369" t="s">
        <v>722</v>
      </c>
      <c r="N369" t="s">
        <v>728</v>
      </c>
      <c r="O369" t="s">
        <v>747</v>
      </c>
      <c r="P369" s="6">
        <v>643.53</v>
      </c>
      <c r="Q369" s="6">
        <v>1439.01</v>
      </c>
      <c r="R369" s="10">
        <v>0</v>
      </c>
      <c r="S369" s="10" t="b">
        <f t="shared" si="74"/>
        <v>0</v>
      </c>
      <c r="T369" s="8">
        <v>15</v>
      </c>
      <c r="U369">
        <f t="shared" si="75"/>
        <v>21585.15</v>
      </c>
      <c r="V369">
        <f t="shared" si="76"/>
        <v>9652.9499999999989</v>
      </c>
      <c r="W369">
        <f t="shared" si="77"/>
        <v>11932.200000000003</v>
      </c>
      <c r="X369" s="10">
        <f t="shared" si="78"/>
        <v>0.55279671440782208</v>
      </c>
      <c r="Y369" t="str">
        <f t="shared" si="79"/>
        <v>Medium</v>
      </c>
      <c r="Z369" t="str">
        <f t="shared" si="80"/>
        <v>Not Met</v>
      </c>
      <c r="AA369" t="str">
        <f t="shared" si="81"/>
        <v>Low Discount</v>
      </c>
      <c r="AB369" s="10">
        <f>MIN(R369,ControlPanel!$B$5)</f>
        <v>0</v>
      </c>
      <c r="AC369">
        <f>P369*(1+ControlPanel!$B$6)</f>
        <v>675.70650000000001</v>
      </c>
      <c r="AD369">
        <f>T369*(1+ControlPanel!$B$7)</f>
        <v>16.5</v>
      </c>
      <c r="AE369" s="6">
        <f t="shared" si="82"/>
        <v>23743.665000000001</v>
      </c>
      <c r="AF369">
        <f t="shared" si="83"/>
        <v>12594.507750000001</v>
      </c>
    </row>
    <row r="370" spans="1:32" x14ac:dyDescent="0.3">
      <c r="A370" t="s">
        <v>411</v>
      </c>
      <c r="B370" s="4">
        <v>45638</v>
      </c>
      <c r="C370" s="4" t="str">
        <f t="shared" si="72"/>
        <v>Dec-2024</v>
      </c>
      <c r="D370" t="str">
        <f t="shared" si="73"/>
        <v>Q4-2024</v>
      </c>
      <c r="E370" s="4">
        <v>45646</v>
      </c>
      <c r="F370" s="12">
        <f t="shared" si="70"/>
        <v>45646</v>
      </c>
      <c r="G370" s="13">
        <f t="shared" si="71"/>
        <v>8</v>
      </c>
      <c r="H370" t="s">
        <v>647</v>
      </c>
      <c r="I370" t="s">
        <v>652</v>
      </c>
      <c r="J370" t="s">
        <v>689</v>
      </c>
      <c r="K370" t="s">
        <v>701</v>
      </c>
      <c r="L370" t="s">
        <v>707</v>
      </c>
      <c r="M370" t="s">
        <v>717</v>
      </c>
      <c r="N370" t="s">
        <v>731</v>
      </c>
      <c r="O370" t="s">
        <v>1130</v>
      </c>
      <c r="P370" s="6">
        <v>1202.47</v>
      </c>
      <c r="Q370" s="6">
        <v>1444.72</v>
      </c>
      <c r="R370" s="10">
        <v>0.24099999999999999</v>
      </c>
      <c r="S370" s="10" t="b">
        <f t="shared" si="74"/>
        <v>0</v>
      </c>
      <c r="T370" s="8">
        <v>17</v>
      </c>
      <c r="U370">
        <f t="shared" si="75"/>
        <v>18641.222160000001</v>
      </c>
      <c r="V370">
        <f t="shared" si="76"/>
        <v>20441.990000000002</v>
      </c>
      <c r="W370">
        <f t="shared" si="77"/>
        <v>-1800.7678400000004</v>
      </c>
      <c r="X370" s="10">
        <f t="shared" si="78"/>
        <v>-9.6601382921343834E-2</v>
      </c>
      <c r="Y370" t="str">
        <f t="shared" si="79"/>
        <v>Medium</v>
      </c>
      <c r="Z370" t="str">
        <f t="shared" si="80"/>
        <v>Not Met</v>
      </c>
      <c r="AA370" t="str">
        <f t="shared" si="81"/>
        <v>High Discount</v>
      </c>
      <c r="AB370" s="10">
        <f>MIN(R370,ControlPanel!$B$5)</f>
        <v>0.2</v>
      </c>
      <c r="AC370">
        <f>P370*(1+ControlPanel!$B$6)</f>
        <v>1262.5935000000002</v>
      </c>
      <c r="AD370">
        <f>T370*(1+ControlPanel!$B$7)</f>
        <v>18.700000000000003</v>
      </c>
      <c r="AE370" s="6">
        <f t="shared" si="82"/>
        <v>21613.011200000004</v>
      </c>
      <c r="AF370">
        <f t="shared" si="83"/>
        <v>-1997.4872500000019</v>
      </c>
    </row>
    <row r="371" spans="1:32" x14ac:dyDescent="0.3">
      <c r="A371" t="s">
        <v>568</v>
      </c>
      <c r="B371" s="4">
        <v>45703</v>
      </c>
      <c r="C371" s="4" t="str">
        <f t="shared" si="72"/>
        <v>Feb-2025</v>
      </c>
      <c r="D371" t="str">
        <f t="shared" si="73"/>
        <v>Q1-2025</v>
      </c>
      <c r="E371" s="4">
        <v>45717</v>
      </c>
      <c r="F371" s="12">
        <f t="shared" si="70"/>
        <v>45717</v>
      </c>
      <c r="G371" s="13">
        <f t="shared" si="71"/>
        <v>14</v>
      </c>
      <c r="H371" t="s">
        <v>646</v>
      </c>
      <c r="I371" t="s">
        <v>650</v>
      </c>
      <c r="J371" t="s">
        <v>675</v>
      </c>
      <c r="K371" t="s">
        <v>702</v>
      </c>
      <c r="L371" t="s">
        <v>711</v>
      </c>
      <c r="M371" t="s">
        <v>716</v>
      </c>
      <c r="N371" t="s">
        <v>733</v>
      </c>
      <c r="O371" t="s">
        <v>1286</v>
      </c>
      <c r="P371" s="6">
        <v>1162.8599999999999</v>
      </c>
      <c r="Q371" s="6">
        <v>1447.68</v>
      </c>
      <c r="R371" s="10">
        <v>8.6999999999999994E-2</v>
      </c>
      <c r="S371" s="10" t="b">
        <f t="shared" si="74"/>
        <v>0</v>
      </c>
      <c r="T371" s="8">
        <v>12</v>
      </c>
      <c r="U371">
        <f t="shared" si="75"/>
        <v>15860.782080000001</v>
      </c>
      <c r="V371">
        <f t="shared" si="76"/>
        <v>13954.32</v>
      </c>
      <c r="W371">
        <f t="shared" si="77"/>
        <v>1906.4620800000012</v>
      </c>
      <c r="X371" s="10">
        <f t="shared" si="78"/>
        <v>0.12019975247021369</v>
      </c>
      <c r="Y371" t="str">
        <f t="shared" si="79"/>
        <v>Medium</v>
      </c>
      <c r="Z371" t="str">
        <f t="shared" si="80"/>
        <v>Not Met</v>
      </c>
      <c r="AA371" t="str">
        <f t="shared" si="81"/>
        <v>Low Discount</v>
      </c>
      <c r="AB371" s="10">
        <f>MIN(R371,ControlPanel!$B$5)</f>
        <v>8.6999999999999994E-2</v>
      </c>
      <c r="AC371">
        <f>P371*(1+ControlPanel!$B$6)</f>
        <v>1221.0029999999999</v>
      </c>
      <c r="AD371">
        <f>T371*(1+ControlPanel!$B$7)</f>
        <v>13.200000000000001</v>
      </c>
      <c r="AE371" s="6">
        <f t="shared" si="82"/>
        <v>17446.860288000003</v>
      </c>
      <c r="AF371">
        <f t="shared" si="83"/>
        <v>1329.6206880000027</v>
      </c>
    </row>
    <row r="372" spans="1:32" x14ac:dyDescent="0.3">
      <c r="A372" t="s">
        <v>366</v>
      </c>
      <c r="B372" s="4">
        <v>45121</v>
      </c>
      <c r="C372" s="4" t="str">
        <f t="shared" si="72"/>
        <v>Jul-2023</v>
      </c>
      <c r="D372" t="str">
        <f t="shared" si="73"/>
        <v>Q3-2023</v>
      </c>
      <c r="E372" s="4">
        <v>45121</v>
      </c>
      <c r="F372" s="12">
        <f t="shared" si="70"/>
        <v>45121</v>
      </c>
      <c r="G372" s="13">
        <f t="shared" si="71"/>
        <v>0</v>
      </c>
      <c r="H372" t="s">
        <v>646</v>
      </c>
      <c r="I372" t="s">
        <v>651</v>
      </c>
      <c r="J372" t="s">
        <v>665</v>
      </c>
      <c r="K372" t="s">
        <v>702</v>
      </c>
      <c r="L372" t="s">
        <v>707</v>
      </c>
      <c r="M372" t="s">
        <v>714</v>
      </c>
      <c r="N372" t="s">
        <v>733</v>
      </c>
      <c r="O372" t="s">
        <v>1086</v>
      </c>
      <c r="P372" s="6">
        <v>956.38</v>
      </c>
      <c r="Q372" s="6">
        <v>1454.22</v>
      </c>
      <c r="R372" s="10">
        <v>3.9E-2</v>
      </c>
      <c r="S372" s="10" t="b">
        <f t="shared" si="74"/>
        <v>0</v>
      </c>
      <c r="T372" s="8">
        <v>19</v>
      </c>
      <c r="U372">
        <f t="shared" si="75"/>
        <v>26552.60298</v>
      </c>
      <c r="V372">
        <f t="shared" si="76"/>
        <v>18171.22</v>
      </c>
      <c r="W372">
        <f t="shared" si="77"/>
        <v>8381.3829799999985</v>
      </c>
      <c r="X372" s="10">
        <f t="shared" si="78"/>
        <v>0.31565202802576603</v>
      </c>
      <c r="Y372" t="str">
        <f t="shared" si="79"/>
        <v>Medium</v>
      </c>
      <c r="Z372" t="str">
        <f t="shared" si="80"/>
        <v>Met</v>
      </c>
      <c r="AA372" t="str">
        <f t="shared" si="81"/>
        <v>Low Discount</v>
      </c>
      <c r="AB372" s="10">
        <f>MIN(R372,ControlPanel!$B$5)</f>
        <v>3.9E-2</v>
      </c>
      <c r="AC372">
        <f>P372*(1+ControlPanel!$B$6)</f>
        <v>1004.1990000000001</v>
      </c>
      <c r="AD372">
        <f>T372*(1+ControlPanel!$B$7)</f>
        <v>20.900000000000002</v>
      </c>
      <c r="AE372" s="6">
        <f t="shared" si="82"/>
        <v>29207.863278000001</v>
      </c>
      <c r="AF372">
        <f t="shared" si="83"/>
        <v>8220.1041779999978</v>
      </c>
    </row>
    <row r="373" spans="1:32" x14ac:dyDescent="0.3">
      <c r="A373" t="s">
        <v>396</v>
      </c>
      <c r="B373" s="4">
        <v>45861</v>
      </c>
      <c r="C373" s="4" t="str">
        <f t="shared" si="72"/>
        <v>Jul-2025</v>
      </c>
      <c r="D373" t="str">
        <f t="shared" si="73"/>
        <v>Q3-2025</v>
      </c>
      <c r="E373" s="4">
        <v>45886</v>
      </c>
      <c r="F373" s="12">
        <f t="shared" si="70"/>
        <v>45886</v>
      </c>
      <c r="G373" s="13">
        <f t="shared" si="71"/>
        <v>25</v>
      </c>
      <c r="H373" t="s">
        <v>649</v>
      </c>
      <c r="I373" t="s">
        <v>658</v>
      </c>
      <c r="J373" t="s">
        <v>674</v>
      </c>
      <c r="K373" t="s">
        <v>702</v>
      </c>
      <c r="L373" t="s">
        <v>708</v>
      </c>
      <c r="M373" t="s">
        <v>714</v>
      </c>
      <c r="N373" t="s">
        <v>728</v>
      </c>
      <c r="O373" t="s">
        <v>1115</v>
      </c>
      <c r="P373" s="6">
        <v>1142.06</v>
      </c>
      <c r="Q373" s="6">
        <v>1455</v>
      </c>
      <c r="R373" s="10">
        <v>7.8E-2</v>
      </c>
      <c r="S373" s="10" t="b">
        <f t="shared" si="74"/>
        <v>0</v>
      </c>
      <c r="T373" s="8">
        <v>28</v>
      </c>
      <c r="U373">
        <f t="shared" si="75"/>
        <v>37562.28</v>
      </c>
      <c r="V373">
        <f t="shared" si="76"/>
        <v>31977.68</v>
      </c>
      <c r="W373">
        <f t="shared" si="77"/>
        <v>5584.5999999999985</v>
      </c>
      <c r="X373" s="10">
        <f t="shared" si="78"/>
        <v>0.1486757459877302</v>
      </c>
      <c r="Y373" t="str">
        <f t="shared" si="79"/>
        <v>Medium</v>
      </c>
      <c r="Z373" t="str">
        <f t="shared" si="80"/>
        <v>Not Met</v>
      </c>
      <c r="AA373" t="str">
        <f t="shared" si="81"/>
        <v>Low Discount</v>
      </c>
      <c r="AB373" s="10">
        <f>MIN(R373,ControlPanel!$B$5)</f>
        <v>7.8E-2</v>
      </c>
      <c r="AC373">
        <f>P373*(1+ControlPanel!$B$6)</f>
        <v>1199.163</v>
      </c>
      <c r="AD373">
        <f>T373*(1+ControlPanel!$B$7)</f>
        <v>30.800000000000004</v>
      </c>
      <c r="AE373" s="6">
        <f t="shared" si="82"/>
        <v>41318.508000000009</v>
      </c>
      <c r="AF373">
        <f t="shared" si="83"/>
        <v>4384.2876000000033</v>
      </c>
    </row>
    <row r="374" spans="1:32" x14ac:dyDescent="0.3">
      <c r="A374" t="s">
        <v>87</v>
      </c>
      <c r="B374" s="4">
        <v>45394</v>
      </c>
      <c r="C374" s="4" t="str">
        <f t="shared" si="72"/>
        <v>Apr-2024</v>
      </c>
      <c r="D374" t="str">
        <f t="shared" si="73"/>
        <v>Q2-2024</v>
      </c>
      <c r="E374" s="4">
        <v>45419</v>
      </c>
      <c r="F374" s="12">
        <f t="shared" si="70"/>
        <v>45419</v>
      </c>
      <c r="G374" s="13">
        <f t="shared" si="71"/>
        <v>25</v>
      </c>
      <c r="H374" t="s">
        <v>646</v>
      </c>
      <c r="I374" t="s">
        <v>661</v>
      </c>
      <c r="J374" t="s">
        <v>682</v>
      </c>
      <c r="K374" t="s">
        <v>702</v>
      </c>
      <c r="L374" t="s">
        <v>710</v>
      </c>
      <c r="M374" t="s">
        <v>720</v>
      </c>
      <c r="N374" t="s">
        <v>731</v>
      </c>
      <c r="O374" t="s">
        <v>806</v>
      </c>
      <c r="P374" s="6">
        <v>1376.51</v>
      </c>
      <c r="Q374" s="6">
        <v>1455.91</v>
      </c>
      <c r="R374" s="10">
        <v>0.185</v>
      </c>
      <c r="S374" s="10" t="b">
        <f t="shared" si="74"/>
        <v>0</v>
      </c>
      <c r="T374" s="8">
        <v>17</v>
      </c>
      <c r="U374">
        <f t="shared" si="75"/>
        <v>20171.63305</v>
      </c>
      <c r="V374">
        <f t="shared" si="76"/>
        <v>23400.67</v>
      </c>
      <c r="W374">
        <f t="shared" si="77"/>
        <v>-3229.0369499999979</v>
      </c>
      <c r="X374" s="10">
        <f t="shared" si="78"/>
        <v>-0.1600781127634085</v>
      </c>
      <c r="Y374" t="str">
        <f t="shared" si="79"/>
        <v>Medium</v>
      </c>
      <c r="Z374" t="str">
        <f t="shared" si="80"/>
        <v>Not Met</v>
      </c>
      <c r="AA374" t="str">
        <f t="shared" si="81"/>
        <v>Low Discount</v>
      </c>
      <c r="AB374" s="10">
        <f>MIN(R374,ControlPanel!$B$5)</f>
        <v>0.185</v>
      </c>
      <c r="AC374">
        <f>P374*(1+ControlPanel!$B$6)</f>
        <v>1445.3355000000001</v>
      </c>
      <c r="AD374">
        <f>T374*(1+ControlPanel!$B$7)</f>
        <v>18.700000000000003</v>
      </c>
      <c r="AE374" s="6">
        <f t="shared" si="82"/>
        <v>22188.796355000002</v>
      </c>
      <c r="AF374">
        <f t="shared" si="83"/>
        <v>-4838.9774950000028</v>
      </c>
    </row>
    <row r="375" spans="1:32" x14ac:dyDescent="0.3">
      <c r="A375" t="s">
        <v>242</v>
      </c>
      <c r="B375" s="4">
        <v>45879</v>
      </c>
      <c r="C375" s="4" t="str">
        <f t="shared" si="72"/>
        <v>Aug-2025</v>
      </c>
      <c r="D375" t="str">
        <f t="shared" si="73"/>
        <v>Q3-2025</v>
      </c>
      <c r="E375" s="4">
        <v>45899</v>
      </c>
      <c r="F375" s="12">
        <f t="shared" si="70"/>
        <v>45899</v>
      </c>
      <c r="G375" s="13">
        <f t="shared" si="71"/>
        <v>20</v>
      </c>
      <c r="H375" t="s">
        <v>648</v>
      </c>
      <c r="I375" t="s">
        <v>660</v>
      </c>
      <c r="J375" t="s">
        <v>686</v>
      </c>
      <c r="K375" t="s">
        <v>701</v>
      </c>
      <c r="L375" t="s">
        <v>709</v>
      </c>
      <c r="M375" t="s">
        <v>723</v>
      </c>
      <c r="N375" t="s">
        <v>728</v>
      </c>
      <c r="O375" t="s">
        <v>962</v>
      </c>
      <c r="P375" s="6">
        <v>933.29</v>
      </c>
      <c r="Q375" s="6">
        <v>1456.81</v>
      </c>
      <c r="R375" s="10">
        <v>0.123</v>
      </c>
      <c r="S375" s="10" t="b">
        <f t="shared" si="74"/>
        <v>0</v>
      </c>
      <c r="T375" s="8">
        <v>13</v>
      </c>
      <c r="U375">
        <f t="shared" si="75"/>
        <v>16609.090810000002</v>
      </c>
      <c r="V375">
        <f t="shared" si="76"/>
        <v>12132.77</v>
      </c>
      <c r="W375">
        <f t="shared" si="77"/>
        <v>4476.3208100000011</v>
      </c>
      <c r="X375" s="10">
        <f t="shared" si="78"/>
        <v>0.26951028573489993</v>
      </c>
      <c r="Y375" t="str">
        <f t="shared" si="79"/>
        <v>Medium</v>
      </c>
      <c r="Z375" t="str">
        <f t="shared" si="80"/>
        <v>Not Met</v>
      </c>
      <c r="AA375" t="str">
        <f t="shared" si="81"/>
        <v>Low Discount</v>
      </c>
      <c r="AB375" s="10">
        <f>MIN(R375,ControlPanel!$B$5)</f>
        <v>0.123</v>
      </c>
      <c r="AC375">
        <f>P375*(1+ControlPanel!$B$6)</f>
        <v>979.95450000000005</v>
      </c>
      <c r="AD375">
        <f>T375*(1+ControlPanel!$B$7)</f>
        <v>14.3</v>
      </c>
      <c r="AE375" s="6">
        <f t="shared" si="82"/>
        <v>18269.999891000003</v>
      </c>
      <c r="AF375">
        <f t="shared" si="83"/>
        <v>4256.6505410000009</v>
      </c>
    </row>
    <row r="376" spans="1:32" x14ac:dyDescent="0.3">
      <c r="A376" t="s">
        <v>212</v>
      </c>
      <c r="B376" s="4">
        <v>44956</v>
      </c>
      <c r="C376" s="4" t="str">
        <f t="shared" si="72"/>
        <v>Jan-2023</v>
      </c>
      <c r="D376" t="str">
        <f t="shared" si="73"/>
        <v>Q1-2023</v>
      </c>
      <c r="E376" s="4">
        <v>44978</v>
      </c>
      <c r="F376" s="12">
        <f t="shared" si="70"/>
        <v>44978</v>
      </c>
      <c r="G376" s="13">
        <f t="shared" si="71"/>
        <v>22</v>
      </c>
      <c r="H376" t="s">
        <v>649</v>
      </c>
      <c r="I376" t="s">
        <v>656</v>
      </c>
      <c r="J376" t="s">
        <v>684</v>
      </c>
      <c r="K376" t="s">
        <v>705</v>
      </c>
      <c r="L376" t="s">
        <v>709</v>
      </c>
      <c r="M376" t="s">
        <v>715</v>
      </c>
      <c r="N376" t="s">
        <v>729</v>
      </c>
      <c r="O376" t="s">
        <v>932</v>
      </c>
      <c r="P376" s="6">
        <v>1142.8800000000001</v>
      </c>
      <c r="Q376" s="6">
        <v>1465.29</v>
      </c>
      <c r="R376" s="10">
        <v>0.186</v>
      </c>
      <c r="S376" s="10" t="b">
        <f t="shared" si="74"/>
        <v>0</v>
      </c>
      <c r="T376" s="8">
        <v>7</v>
      </c>
      <c r="U376">
        <f t="shared" si="75"/>
        <v>8349.2224200000001</v>
      </c>
      <c r="V376">
        <f t="shared" si="76"/>
        <v>8000.1600000000008</v>
      </c>
      <c r="W376">
        <f t="shared" si="77"/>
        <v>349.06241999999929</v>
      </c>
      <c r="X376" s="10">
        <f t="shared" si="78"/>
        <v>4.1807775915017401E-2</v>
      </c>
      <c r="Y376" t="str">
        <f t="shared" si="79"/>
        <v>Medium</v>
      </c>
      <c r="Z376" t="str">
        <f t="shared" si="80"/>
        <v>Not Met</v>
      </c>
      <c r="AA376" t="str">
        <f t="shared" si="81"/>
        <v>Low Discount</v>
      </c>
      <c r="AB376" s="10">
        <f>MIN(R376,ControlPanel!$B$5)</f>
        <v>0.186</v>
      </c>
      <c r="AC376">
        <f>P376*(1+ControlPanel!$B$6)</f>
        <v>1200.0240000000001</v>
      </c>
      <c r="AD376">
        <f>T376*(1+ControlPanel!$B$7)</f>
        <v>7.7000000000000011</v>
      </c>
      <c r="AE376" s="6">
        <f t="shared" si="82"/>
        <v>9184.1446620000006</v>
      </c>
      <c r="AF376">
        <f t="shared" si="83"/>
        <v>-56.040138000002116</v>
      </c>
    </row>
    <row r="377" spans="1:32" x14ac:dyDescent="0.3">
      <c r="A377" t="s">
        <v>171</v>
      </c>
      <c r="B377" s="4">
        <v>45323</v>
      </c>
      <c r="C377" s="4" t="str">
        <f t="shared" si="72"/>
        <v>Feb-2024</v>
      </c>
      <c r="D377" t="str">
        <f t="shared" si="73"/>
        <v>Q1-2024</v>
      </c>
      <c r="E377" s="4">
        <v>45343</v>
      </c>
      <c r="F377" s="12">
        <f t="shared" si="70"/>
        <v>45343</v>
      </c>
      <c r="G377" s="13">
        <f t="shared" si="71"/>
        <v>20</v>
      </c>
      <c r="H377" t="s">
        <v>649</v>
      </c>
      <c r="I377" t="s">
        <v>657</v>
      </c>
      <c r="J377" t="s">
        <v>690</v>
      </c>
      <c r="K377" t="s">
        <v>705</v>
      </c>
      <c r="L377" t="s">
        <v>709</v>
      </c>
      <c r="M377" t="s">
        <v>720</v>
      </c>
      <c r="N377" t="s">
        <v>729</v>
      </c>
      <c r="O377" t="s">
        <v>890</v>
      </c>
      <c r="P377" s="6">
        <v>656.2</v>
      </c>
      <c r="Q377" s="6">
        <v>1467.17</v>
      </c>
      <c r="R377" s="10">
        <v>1.7999999999999999E-2</v>
      </c>
      <c r="S377" s="10" t="b">
        <f t="shared" si="74"/>
        <v>0</v>
      </c>
      <c r="T377" s="8">
        <v>5</v>
      </c>
      <c r="U377">
        <f t="shared" si="75"/>
        <v>7203.8047000000006</v>
      </c>
      <c r="V377">
        <f t="shared" si="76"/>
        <v>3281</v>
      </c>
      <c r="W377">
        <f t="shared" si="77"/>
        <v>3922.8047000000006</v>
      </c>
      <c r="X377" s="10">
        <f t="shared" si="78"/>
        <v>0.54454623124360946</v>
      </c>
      <c r="Y377" t="str">
        <f t="shared" si="79"/>
        <v>Medium</v>
      </c>
      <c r="Z377" t="str">
        <f t="shared" si="80"/>
        <v>Not Met</v>
      </c>
      <c r="AA377" t="str">
        <f t="shared" si="81"/>
        <v>Low Discount</v>
      </c>
      <c r="AB377" s="10">
        <f>MIN(R377,ControlPanel!$B$5)</f>
        <v>1.7999999999999999E-2</v>
      </c>
      <c r="AC377">
        <f>P377*(1+ControlPanel!$B$6)</f>
        <v>689.0100000000001</v>
      </c>
      <c r="AD377">
        <f>T377*(1+ControlPanel!$B$7)</f>
        <v>5.5</v>
      </c>
      <c r="AE377" s="6">
        <f t="shared" si="82"/>
        <v>7924.1851700000007</v>
      </c>
      <c r="AF377">
        <f t="shared" si="83"/>
        <v>4134.6301700000004</v>
      </c>
    </row>
    <row r="378" spans="1:32" x14ac:dyDescent="0.3">
      <c r="A378" t="s">
        <v>158</v>
      </c>
      <c r="B378" s="4">
        <v>45458</v>
      </c>
      <c r="C378" s="4" t="str">
        <f t="shared" si="72"/>
        <v>Jun-2024</v>
      </c>
      <c r="D378" t="str">
        <f t="shared" si="73"/>
        <v>Q2-2024</v>
      </c>
      <c r="E378" s="4">
        <v>45479</v>
      </c>
      <c r="F378" s="12">
        <f t="shared" si="70"/>
        <v>45479</v>
      </c>
      <c r="G378" s="13">
        <f t="shared" si="71"/>
        <v>21</v>
      </c>
      <c r="H378" t="s">
        <v>648</v>
      </c>
      <c r="I378" t="s">
        <v>653</v>
      </c>
      <c r="J378" t="s">
        <v>667</v>
      </c>
      <c r="K378" t="s">
        <v>706</v>
      </c>
      <c r="L378" t="s">
        <v>710</v>
      </c>
      <c r="M378" t="s">
        <v>716</v>
      </c>
      <c r="N378" t="s">
        <v>728</v>
      </c>
      <c r="O378" t="s">
        <v>877</v>
      </c>
      <c r="P378" s="6">
        <v>817.23</v>
      </c>
      <c r="Q378" s="6">
        <v>1467.17</v>
      </c>
      <c r="R378" s="10">
        <v>0.245</v>
      </c>
      <c r="S378" s="10" t="b">
        <f t="shared" si="74"/>
        <v>0</v>
      </c>
      <c r="T378" s="8">
        <v>9</v>
      </c>
      <c r="U378">
        <f t="shared" si="75"/>
        <v>9969.4201499999999</v>
      </c>
      <c r="V378">
        <f t="shared" si="76"/>
        <v>7355.07</v>
      </c>
      <c r="W378">
        <f t="shared" si="77"/>
        <v>2614.3501500000002</v>
      </c>
      <c r="X378" s="10">
        <f t="shared" si="78"/>
        <v>0.26223693160328893</v>
      </c>
      <c r="Y378" t="str">
        <f t="shared" si="79"/>
        <v>Medium</v>
      </c>
      <c r="Z378" t="str">
        <f t="shared" si="80"/>
        <v>Not Met</v>
      </c>
      <c r="AA378" t="str">
        <f t="shared" si="81"/>
        <v>High Discount</v>
      </c>
      <c r="AB378" s="10">
        <f>MIN(R378,ControlPanel!$B$5)</f>
        <v>0.2</v>
      </c>
      <c r="AC378">
        <f>P378*(1+ControlPanel!$B$6)</f>
        <v>858.09150000000011</v>
      </c>
      <c r="AD378">
        <f>T378*(1+ControlPanel!$B$7)</f>
        <v>9.9</v>
      </c>
      <c r="AE378" s="6">
        <f t="shared" si="82"/>
        <v>11619.986400000002</v>
      </c>
      <c r="AF378">
        <f t="shared" si="83"/>
        <v>3124.8805499999999</v>
      </c>
    </row>
    <row r="379" spans="1:32" x14ac:dyDescent="0.3">
      <c r="A379" t="s">
        <v>404</v>
      </c>
      <c r="B379" s="4">
        <v>45823</v>
      </c>
      <c r="C379" s="4" t="str">
        <f t="shared" si="72"/>
        <v>Jun-2025</v>
      </c>
      <c r="D379" t="str">
        <f t="shared" si="73"/>
        <v>Q2-2025</v>
      </c>
      <c r="E379" s="4">
        <v>45838</v>
      </c>
      <c r="F379" s="12">
        <f t="shared" si="70"/>
        <v>45838</v>
      </c>
      <c r="G379" s="13">
        <f t="shared" si="71"/>
        <v>15</v>
      </c>
      <c r="H379" t="s">
        <v>646</v>
      </c>
      <c r="I379" t="s">
        <v>661</v>
      </c>
      <c r="J379" t="s">
        <v>682</v>
      </c>
      <c r="K379" t="s">
        <v>705</v>
      </c>
      <c r="L379" t="s">
        <v>711</v>
      </c>
      <c r="M379" t="s">
        <v>712</v>
      </c>
      <c r="N379" t="s">
        <v>732</v>
      </c>
      <c r="O379" t="s">
        <v>1123</v>
      </c>
      <c r="P379" s="6">
        <v>1487.59</v>
      </c>
      <c r="Q379" s="6">
        <v>1480.83</v>
      </c>
      <c r="R379" s="10">
        <v>8.9999999999999993E-3</v>
      </c>
      <c r="S379" s="10" t="b">
        <f t="shared" si="74"/>
        <v>0</v>
      </c>
      <c r="T379" s="8">
        <v>11</v>
      </c>
      <c r="U379">
        <f t="shared" si="75"/>
        <v>16142.527829999999</v>
      </c>
      <c r="V379">
        <f t="shared" si="76"/>
        <v>16363.49</v>
      </c>
      <c r="W379">
        <f t="shared" si="77"/>
        <v>-220.9621700000007</v>
      </c>
      <c r="X379" s="10">
        <f t="shared" si="78"/>
        <v>-1.3688201273492908E-2</v>
      </c>
      <c r="Y379" t="str">
        <f t="shared" si="79"/>
        <v>Medium</v>
      </c>
      <c r="Z379" t="str">
        <f t="shared" si="80"/>
        <v>Not Met</v>
      </c>
      <c r="AA379" t="str">
        <f t="shared" si="81"/>
        <v>Low Discount</v>
      </c>
      <c r="AB379" s="10">
        <f>MIN(R379,ControlPanel!$B$5)</f>
        <v>8.9999999999999993E-3</v>
      </c>
      <c r="AC379">
        <f>P379*(1+ControlPanel!$B$6)</f>
        <v>1561.9694999999999</v>
      </c>
      <c r="AD379">
        <f>T379*(1+ControlPanel!$B$7)</f>
        <v>12.100000000000001</v>
      </c>
      <c r="AE379" s="6">
        <f t="shared" si="82"/>
        <v>17756.780613000003</v>
      </c>
      <c r="AF379">
        <f t="shared" si="83"/>
        <v>-1143.0503369999969</v>
      </c>
    </row>
    <row r="380" spans="1:32" x14ac:dyDescent="0.3">
      <c r="A380" t="s">
        <v>572</v>
      </c>
      <c r="B380" s="4">
        <v>45362</v>
      </c>
      <c r="C380" s="4" t="str">
        <f t="shared" si="72"/>
        <v>Mar-2024</v>
      </c>
      <c r="D380" t="str">
        <f t="shared" si="73"/>
        <v>Q1-2024</v>
      </c>
      <c r="E380" s="4">
        <v>45380</v>
      </c>
      <c r="F380" s="12">
        <f t="shared" si="70"/>
        <v>45380</v>
      </c>
      <c r="G380" s="13">
        <f t="shared" si="71"/>
        <v>18</v>
      </c>
      <c r="H380" t="s">
        <v>648</v>
      </c>
      <c r="I380" t="s">
        <v>660</v>
      </c>
      <c r="J380" t="s">
        <v>700</v>
      </c>
      <c r="K380" t="s">
        <v>701</v>
      </c>
      <c r="L380" t="s">
        <v>707</v>
      </c>
      <c r="M380" t="s">
        <v>724</v>
      </c>
      <c r="N380" t="s">
        <v>732</v>
      </c>
      <c r="O380" t="s">
        <v>1290</v>
      </c>
      <c r="P380" s="6">
        <v>710.98</v>
      </c>
      <c r="Q380" s="6">
        <v>1481.45</v>
      </c>
      <c r="R380" s="10">
        <v>0.21099999999999999</v>
      </c>
      <c r="S380" s="10" t="b">
        <f t="shared" si="74"/>
        <v>0</v>
      </c>
      <c r="T380" s="8">
        <v>9</v>
      </c>
      <c r="U380">
        <f t="shared" si="75"/>
        <v>10519.776450000001</v>
      </c>
      <c r="V380">
        <f t="shared" si="76"/>
        <v>6398.82</v>
      </c>
      <c r="W380">
        <f t="shared" si="77"/>
        <v>4120.9564500000015</v>
      </c>
      <c r="X380" s="10">
        <f t="shared" si="78"/>
        <v>0.39173422264120461</v>
      </c>
      <c r="Y380" t="str">
        <f t="shared" si="79"/>
        <v>Medium</v>
      </c>
      <c r="Z380" t="str">
        <f t="shared" si="80"/>
        <v>Not Met</v>
      </c>
      <c r="AA380" t="str">
        <f t="shared" si="81"/>
        <v>High Discount</v>
      </c>
      <c r="AB380" s="10">
        <f>MIN(R380,ControlPanel!$B$5)</f>
        <v>0.2</v>
      </c>
      <c r="AC380">
        <f>P380*(1+ControlPanel!$B$6)</f>
        <v>746.529</v>
      </c>
      <c r="AD380">
        <f>T380*(1+ControlPanel!$B$7)</f>
        <v>9.9</v>
      </c>
      <c r="AE380" s="6">
        <f t="shared" si="82"/>
        <v>11733.084000000001</v>
      </c>
      <c r="AF380">
        <f t="shared" si="83"/>
        <v>4342.4469000000008</v>
      </c>
    </row>
    <row r="381" spans="1:32" x14ac:dyDescent="0.3">
      <c r="A381" t="s">
        <v>241</v>
      </c>
      <c r="B381" s="4">
        <v>45203</v>
      </c>
      <c r="C381" s="4" t="str">
        <f t="shared" si="72"/>
        <v>Oct-2023</v>
      </c>
      <c r="D381" t="str">
        <f t="shared" si="73"/>
        <v>Q4-2023</v>
      </c>
      <c r="E381" s="4">
        <v>45228</v>
      </c>
      <c r="F381" s="12">
        <f t="shared" si="70"/>
        <v>45228</v>
      </c>
      <c r="G381" s="13">
        <f t="shared" si="71"/>
        <v>25</v>
      </c>
      <c r="H381" t="s">
        <v>648</v>
      </c>
      <c r="I381" t="s">
        <v>660</v>
      </c>
      <c r="J381" t="s">
        <v>686</v>
      </c>
      <c r="K381" t="s">
        <v>705</v>
      </c>
      <c r="L381" t="s">
        <v>710</v>
      </c>
      <c r="M381" t="s">
        <v>719</v>
      </c>
      <c r="N381" t="s">
        <v>733</v>
      </c>
      <c r="O381" t="s">
        <v>961</v>
      </c>
      <c r="P381" s="6">
        <v>1239.8399999999999</v>
      </c>
      <c r="Q381" s="6">
        <v>1482.75</v>
      </c>
      <c r="R381" s="10">
        <v>6.7000000000000004E-2</v>
      </c>
      <c r="S381" s="10" t="b">
        <f t="shared" si="74"/>
        <v>0</v>
      </c>
      <c r="T381" s="8">
        <v>4</v>
      </c>
      <c r="U381">
        <f t="shared" si="75"/>
        <v>5533.6230000000005</v>
      </c>
      <c r="V381">
        <f t="shared" si="76"/>
        <v>4959.3599999999997</v>
      </c>
      <c r="W381">
        <f t="shared" si="77"/>
        <v>574.26300000000083</v>
      </c>
      <c r="X381" s="10">
        <f t="shared" si="78"/>
        <v>0.10377703721413634</v>
      </c>
      <c r="Y381" t="str">
        <f t="shared" si="79"/>
        <v>Medium</v>
      </c>
      <c r="Z381" t="str">
        <f t="shared" si="80"/>
        <v>Not Met</v>
      </c>
      <c r="AA381" t="str">
        <f t="shared" si="81"/>
        <v>Low Discount</v>
      </c>
      <c r="AB381" s="10">
        <f>MIN(R381,ControlPanel!$B$5)</f>
        <v>6.7000000000000004E-2</v>
      </c>
      <c r="AC381">
        <f>P381*(1+ControlPanel!$B$6)</f>
        <v>1301.8319999999999</v>
      </c>
      <c r="AD381">
        <f>T381*(1+ControlPanel!$B$7)</f>
        <v>4.4000000000000004</v>
      </c>
      <c r="AE381" s="6">
        <f t="shared" si="82"/>
        <v>6086.9853000000012</v>
      </c>
      <c r="AF381">
        <f t="shared" si="83"/>
        <v>358.92450000000099</v>
      </c>
    </row>
    <row r="382" spans="1:32" x14ac:dyDescent="0.3">
      <c r="A382" t="s">
        <v>437</v>
      </c>
      <c r="B382" s="4">
        <v>45915</v>
      </c>
      <c r="C382" s="4" t="str">
        <f t="shared" si="72"/>
        <v>Sep-2025</v>
      </c>
      <c r="D382" t="str">
        <f t="shared" si="73"/>
        <v>Q3-2025</v>
      </c>
      <c r="E382" s="4">
        <v>45925</v>
      </c>
      <c r="F382" s="12">
        <f t="shared" si="70"/>
        <v>45925</v>
      </c>
      <c r="G382" s="13">
        <f t="shared" si="71"/>
        <v>10</v>
      </c>
      <c r="H382" t="s">
        <v>647</v>
      </c>
      <c r="I382" t="s">
        <v>654</v>
      </c>
      <c r="J382" t="s">
        <v>680</v>
      </c>
      <c r="K382" t="s">
        <v>704</v>
      </c>
      <c r="L382" t="s">
        <v>707</v>
      </c>
      <c r="M382" t="s">
        <v>720</v>
      </c>
      <c r="N382" t="s">
        <v>730</v>
      </c>
      <c r="O382" t="s">
        <v>1156</v>
      </c>
      <c r="P382" s="6">
        <v>1488.91</v>
      </c>
      <c r="Q382" s="6">
        <v>1483.74</v>
      </c>
      <c r="R382" s="10">
        <v>0.16800000000000001</v>
      </c>
      <c r="S382" s="10" t="b">
        <f t="shared" si="74"/>
        <v>0</v>
      </c>
      <c r="T382" s="8">
        <v>24</v>
      </c>
      <c r="U382">
        <f t="shared" si="75"/>
        <v>29627.320319999999</v>
      </c>
      <c r="V382">
        <f t="shared" si="76"/>
        <v>35733.840000000004</v>
      </c>
      <c r="W382">
        <f t="shared" si="77"/>
        <v>-6106.5196800000049</v>
      </c>
      <c r="X382" s="10">
        <f t="shared" si="78"/>
        <v>-0.20611110333450519</v>
      </c>
      <c r="Y382" t="str">
        <f t="shared" si="79"/>
        <v>Medium</v>
      </c>
      <c r="Z382" t="str">
        <f t="shared" si="80"/>
        <v>Not Met</v>
      </c>
      <c r="AA382" t="str">
        <f t="shared" si="81"/>
        <v>Low Discount</v>
      </c>
      <c r="AB382" s="10">
        <f>MIN(R382,ControlPanel!$B$5)</f>
        <v>0.16800000000000001</v>
      </c>
      <c r="AC382">
        <f>P382*(1+ControlPanel!$B$6)</f>
        <v>1563.3555000000001</v>
      </c>
      <c r="AD382">
        <f>T382*(1+ControlPanel!$B$7)</f>
        <v>26.400000000000002</v>
      </c>
      <c r="AE382" s="6">
        <f t="shared" si="82"/>
        <v>32590.052351999999</v>
      </c>
      <c r="AF382">
        <f t="shared" si="83"/>
        <v>-8682.5328480000098</v>
      </c>
    </row>
    <row r="383" spans="1:32" x14ac:dyDescent="0.3">
      <c r="A383" t="s">
        <v>327</v>
      </c>
      <c r="B383" s="4">
        <v>45600</v>
      </c>
      <c r="C383" s="4" t="str">
        <f t="shared" si="72"/>
        <v>Nov-2024</v>
      </c>
      <c r="D383" t="str">
        <f t="shared" si="73"/>
        <v>Q4-2024</v>
      </c>
      <c r="E383" s="4">
        <v>45601</v>
      </c>
      <c r="F383" s="12">
        <f t="shared" si="70"/>
        <v>45601</v>
      </c>
      <c r="G383" s="13">
        <f t="shared" si="71"/>
        <v>1</v>
      </c>
      <c r="H383" t="s">
        <v>649</v>
      </c>
      <c r="I383" t="s">
        <v>658</v>
      </c>
      <c r="J383" t="s">
        <v>683</v>
      </c>
      <c r="K383" t="s">
        <v>701</v>
      </c>
      <c r="L383" t="s">
        <v>707</v>
      </c>
      <c r="M383" t="s">
        <v>724</v>
      </c>
      <c r="N383" t="s">
        <v>728</v>
      </c>
      <c r="O383" t="s">
        <v>1047</v>
      </c>
      <c r="P383" s="6">
        <v>840.68</v>
      </c>
      <c r="Q383" s="6">
        <v>1493.53</v>
      </c>
      <c r="R383" s="10">
        <v>0</v>
      </c>
      <c r="S383" s="10" t="b">
        <f t="shared" si="74"/>
        <v>0</v>
      </c>
      <c r="T383" s="8">
        <v>27</v>
      </c>
      <c r="U383">
        <f t="shared" si="75"/>
        <v>40325.31</v>
      </c>
      <c r="V383">
        <f t="shared" si="76"/>
        <v>22698.359999999997</v>
      </c>
      <c r="W383">
        <f t="shared" si="77"/>
        <v>17626.95</v>
      </c>
      <c r="X383" s="10">
        <f t="shared" si="78"/>
        <v>0.43711877230454027</v>
      </c>
      <c r="Y383" t="str">
        <f t="shared" si="79"/>
        <v>Medium</v>
      </c>
      <c r="Z383" t="str">
        <f t="shared" si="80"/>
        <v>Met</v>
      </c>
      <c r="AA383" t="str">
        <f t="shared" si="81"/>
        <v>Low Discount</v>
      </c>
      <c r="AB383" s="10">
        <f>MIN(R383,ControlPanel!$B$5)</f>
        <v>0</v>
      </c>
      <c r="AC383">
        <f>P383*(1+ControlPanel!$B$6)</f>
        <v>882.71399999999994</v>
      </c>
      <c r="AD383">
        <f>T383*(1+ControlPanel!$B$7)</f>
        <v>29.700000000000003</v>
      </c>
      <c r="AE383" s="6">
        <f t="shared" si="82"/>
        <v>44357.841</v>
      </c>
      <c r="AF383">
        <f t="shared" si="83"/>
        <v>18141.235199999999</v>
      </c>
    </row>
    <row r="384" spans="1:32" x14ac:dyDescent="0.3">
      <c r="A384" t="s">
        <v>96</v>
      </c>
      <c r="B384" s="4">
        <v>45157</v>
      </c>
      <c r="C384" s="4" t="str">
        <f t="shared" si="72"/>
        <v>Aug-2023</v>
      </c>
      <c r="D384" t="str">
        <f t="shared" si="73"/>
        <v>Q3-2023</v>
      </c>
      <c r="E384" s="4">
        <v>45181</v>
      </c>
      <c r="F384" s="12">
        <f t="shared" si="70"/>
        <v>45181</v>
      </c>
      <c r="G384" s="13">
        <f t="shared" si="71"/>
        <v>24</v>
      </c>
      <c r="H384" t="s">
        <v>648</v>
      </c>
      <c r="I384" t="s">
        <v>653</v>
      </c>
      <c r="J384" t="s">
        <v>688</v>
      </c>
      <c r="K384" t="s">
        <v>706</v>
      </c>
      <c r="L384" t="s">
        <v>707</v>
      </c>
      <c r="M384" t="s">
        <v>714</v>
      </c>
      <c r="N384" t="s">
        <v>728</v>
      </c>
      <c r="O384" t="s">
        <v>815</v>
      </c>
      <c r="P384" s="6">
        <v>1183.95</v>
      </c>
      <c r="Q384" s="6">
        <v>1503.53</v>
      </c>
      <c r="R384" s="10">
        <v>0.24099999999999999</v>
      </c>
      <c r="S384" s="10" t="b">
        <f t="shared" si="74"/>
        <v>0</v>
      </c>
      <c r="T384" s="8">
        <v>16</v>
      </c>
      <c r="U384">
        <f t="shared" si="75"/>
        <v>18258.868320000001</v>
      </c>
      <c r="V384">
        <f t="shared" si="76"/>
        <v>18943.2</v>
      </c>
      <c r="W384">
        <f t="shared" si="77"/>
        <v>-684.33167999999932</v>
      </c>
      <c r="X384" s="10">
        <f t="shared" si="78"/>
        <v>-3.7479413729623705E-2</v>
      </c>
      <c r="Y384" t="str">
        <f t="shared" si="79"/>
        <v>Medium</v>
      </c>
      <c r="Z384" t="str">
        <f t="shared" si="80"/>
        <v>Not Met</v>
      </c>
      <c r="AA384" t="str">
        <f t="shared" si="81"/>
        <v>High Discount</v>
      </c>
      <c r="AB384" s="10">
        <f>MIN(R384,ControlPanel!$B$5)</f>
        <v>0.2</v>
      </c>
      <c r="AC384">
        <f>P384*(1+ControlPanel!$B$6)</f>
        <v>1243.1475</v>
      </c>
      <c r="AD384">
        <f>T384*(1+ControlPanel!$B$7)</f>
        <v>17.600000000000001</v>
      </c>
      <c r="AE384" s="6">
        <f t="shared" si="82"/>
        <v>21169.702400000002</v>
      </c>
      <c r="AF384">
        <f t="shared" si="83"/>
        <v>-709.6935999999987</v>
      </c>
    </row>
    <row r="385" spans="1:32" x14ac:dyDescent="0.3">
      <c r="A385" t="s">
        <v>534</v>
      </c>
      <c r="B385" s="4">
        <v>45482</v>
      </c>
      <c r="C385" s="4" t="str">
        <f t="shared" si="72"/>
        <v>Jul-2024</v>
      </c>
      <c r="D385" t="str">
        <f t="shared" si="73"/>
        <v>Q3-2024</v>
      </c>
      <c r="E385" s="4">
        <v>45512</v>
      </c>
      <c r="F385" s="12">
        <f t="shared" si="70"/>
        <v>45512</v>
      </c>
      <c r="G385" s="13">
        <f t="shared" si="71"/>
        <v>30</v>
      </c>
      <c r="H385" t="s">
        <v>649</v>
      </c>
      <c r="I385" t="s">
        <v>657</v>
      </c>
      <c r="J385" t="s">
        <v>673</v>
      </c>
      <c r="K385" t="s">
        <v>701</v>
      </c>
      <c r="L385" t="s">
        <v>711</v>
      </c>
      <c r="M385" t="s">
        <v>713</v>
      </c>
      <c r="N385" t="s">
        <v>727</v>
      </c>
      <c r="O385" t="s">
        <v>1253</v>
      </c>
      <c r="P385" s="6">
        <v>1062.3800000000001</v>
      </c>
      <c r="Q385" s="6">
        <v>1503.96</v>
      </c>
      <c r="R385" s="10">
        <v>0.18</v>
      </c>
      <c r="S385" s="10" t="b">
        <f t="shared" si="74"/>
        <v>0</v>
      </c>
      <c r="T385" s="8">
        <v>6</v>
      </c>
      <c r="U385">
        <f t="shared" si="75"/>
        <v>7399.4832000000006</v>
      </c>
      <c r="V385">
        <f t="shared" si="76"/>
        <v>6374.2800000000007</v>
      </c>
      <c r="W385">
        <f t="shared" si="77"/>
        <v>1025.2031999999999</v>
      </c>
      <c r="X385" s="10">
        <f t="shared" si="78"/>
        <v>0.13855064905073369</v>
      </c>
      <c r="Y385" t="str">
        <f t="shared" si="79"/>
        <v>Medium</v>
      </c>
      <c r="Z385" t="str">
        <f t="shared" si="80"/>
        <v>Not Met</v>
      </c>
      <c r="AA385" t="str">
        <f t="shared" si="81"/>
        <v>Low Discount</v>
      </c>
      <c r="AB385" s="10">
        <f>MIN(R385,ControlPanel!$B$5)</f>
        <v>0.18</v>
      </c>
      <c r="AC385">
        <f>P385*(1+ControlPanel!$B$6)</f>
        <v>1115.4990000000003</v>
      </c>
      <c r="AD385">
        <f>T385*(1+ControlPanel!$B$7)</f>
        <v>6.6000000000000005</v>
      </c>
      <c r="AE385" s="6">
        <f t="shared" si="82"/>
        <v>8139.431520000001</v>
      </c>
      <c r="AF385">
        <f t="shared" si="83"/>
        <v>777.13811999999871</v>
      </c>
    </row>
    <row r="386" spans="1:32" x14ac:dyDescent="0.3">
      <c r="A386" t="s">
        <v>179</v>
      </c>
      <c r="B386" s="4">
        <v>45447</v>
      </c>
      <c r="C386" s="4" t="str">
        <f t="shared" si="72"/>
        <v>Jun-2024</v>
      </c>
      <c r="D386" t="str">
        <f t="shared" si="73"/>
        <v>Q2-2024</v>
      </c>
      <c r="E386" s="4">
        <v>45459</v>
      </c>
      <c r="F386" s="12">
        <f t="shared" ref="F386:F449" si="84">IF(B386&gt;E386,B386+14,E386)</f>
        <v>45459</v>
      </c>
      <c r="G386" s="13">
        <f t="shared" ref="G386:G449" si="85">F386-B386</f>
        <v>12</v>
      </c>
      <c r="H386" t="s">
        <v>647</v>
      </c>
      <c r="I386" t="s">
        <v>659</v>
      </c>
      <c r="J386" t="s">
        <v>685</v>
      </c>
      <c r="K386" t="s">
        <v>701</v>
      </c>
      <c r="L386" t="s">
        <v>707</v>
      </c>
      <c r="M386" t="s">
        <v>713</v>
      </c>
      <c r="N386" t="s">
        <v>728</v>
      </c>
      <c r="O386" t="s">
        <v>898</v>
      </c>
      <c r="P386" s="6">
        <v>918.42</v>
      </c>
      <c r="Q386" s="6">
        <v>1511.71</v>
      </c>
      <c r="R386" s="10">
        <v>0.02</v>
      </c>
      <c r="S386" s="10" t="b">
        <f t="shared" si="74"/>
        <v>0</v>
      </c>
      <c r="T386" s="8">
        <v>8</v>
      </c>
      <c r="U386">
        <f t="shared" si="75"/>
        <v>11851.806399999999</v>
      </c>
      <c r="V386">
        <f t="shared" si="76"/>
        <v>7347.36</v>
      </c>
      <c r="W386">
        <f t="shared" si="77"/>
        <v>4504.4463999999998</v>
      </c>
      <c r="X386" s="10">
        <f t="shared" si="78"/>
        <v>0.38006412254590999</v>
      </c>
      <c r="Y386" t="str">
        <f t="shared" si="79"/>
        <v>Medium</v>
      </c>
      <c r="Z386" t="str">
        <f t="shared" si="80"/>
        <v>Not Met</v>
      </c>
      <c r="AA386" t="str">
        <f t="shared" si="81"/>
        <v>Low Discount</v>
      </c>
      <c r="AB386" s="10">
        <f>MIN(R386,ControlPanel!$B$5)</f>
        <v>0.02</v>
      </c>
      <c r="AC386">
        <f>P386*(1+ControlPanel!$B$6)</f>
        <v>964.34100000000001</v>
      </c>
      <c r="AD386">
        <f>T386*(1+ControlPanel!$B$7)</f>
        <v>8.8000000000000007</v>
      </c>
      <c r="AE386" s="6">
        <f t="shared" si="82"/>
        <v>13036.98704</v>
      </c>
      <c r="AF386">
        <f t="shared" si="83"/>
        <v>4550.7862399999995</v>
      </c>
    </row>
    <row r="387" spans="1:32" x14ac:dyDescent="0.3">
      <c r="A387" t="s">
        <v>298</v>
      </c>
      <c r="B387" s="4">
        <v>45304</v>
      </c>
      <c r="C387" s="4" t="str">
        <f t="shared" ref="C387:C450" si="86">TEXT(B387,"MMM-YYYY")</f>
        <v>Jan-2024</v>
      </c>
      <c r="D387" t="str">
        <f t="shared" ref="D387:D450" si="87">"Q" &amp; ROUNDUP(MONTH(B387)/3,0) &amp; "-" &amp; YEAR(B387)</f>
        <v>Q1-2024</v>
      </c>
      <c r="E387" s="4">
        <v>45327</v>
      </c>
      <c r="F387" s="12">
        <f t="shared" si="84"/>
        <v>45327</v>
      </c>
      <c r="G387" s="13">
        <f t="shared" si="85"/>
        <v>23</v>
      </c>
      <c r="H387" t="s">
        <v>649</v>
      </c>
      <c r="I387" t="s">
        <v>656</v>
      </c>
      <c r="J387" t="s">
        <v>698</v>
      </c>
      <c r="K387" t="s">
        <v>702</v>
      </c>
      <c r="L387" t="s">
        <v>711</v>
      </c>
      <c r="M387" t="s">
        <v>717</v>
      </c>
      <c r="N387" t="s">
        <v>731</v>
      </c>
      <c r="O387" t="s">
        <v>1018</v>
      </c>
      <c r="P387" s="6">
        <v>1017.93</v>
      </c>
      <c r="Q387" s="6">
        <v>1529.14</v>
      </c>
      <c r="R387" s="10">
        <v>0.155</v>
      </c>
      <c r="S387" s="10" t="b">
        <f t="shared" ref="S387:S450" si="88">IF(R387&gt;30,TRUE)</f>
        <v>0</v>
      </c>
      <c r="T387" s="8">
        <v>12</v>
      </c>
      <c r="U387">
        <f t="shared" ref="U387:U450" si="89">(Q387*(100%-R387))*T387</f>
        <v>15505.479599999999</v>
      </c>
      <c r="V387">
        <f t="shared" ref="V387:V450" si="90">P387*T387</f>
        <v>12215.16</v>
      </c>
      <c r="W387">
        <f t="shared" ref="W387:W450" si="91">U387-V387</f>
        <v>3290.3195999999989</v>
      </c>
      <c r="X387" s="10">
        <f t="shared" ref="X387:X450" si="92">IF(U387=0,0,W387/U387)</f>
        <v>0.21220366508366495</v>
      </c>
      <c r="Y387" t="str">
        <f t="shared" ref="Y387:Y450" si="93">IF(Q387&lt;=_xlfn.PERCENTILE.INC($Q$2:$Q$610,0.33),"Low",IF(Q387&lt;=_xlfn.PERCENTILE.INC($Q$2:$Q$610,0.67),"Medium","High"))</f>
        <v>Medium</v>
      </c>
      <c r="Z387" t="str">
        <f t="shared" ref="Z387:Z450" si="94">IF(G387&lt;=7,"Met","Not Met")</f>
        <v>Not Met</v>
      </c>
      <c r="AA387" t="str">
        <f t="shared" ref="AA387:AA450" si="95">IF(R387&gt;20%,"High Discount","Low Discount")</f>
        <v>Low Discount</v>
      </c>
      <c r="AB387" s="10">
        <f>MIN(R387,ControlPanel!$B$5)</f>
        <v>0.155</v>
      </c>
      <c r="AC387">
        <f>P387*(1+ControlPanel!$B$6)</f>
        <v>1068.8264999999999</v>
      </c>
      <c r="AD387">
        <f>T387*(1+ControlPanel!$B$7)</f>
        <v>13.200000000000001</v>
      </c>
      <c r="AE387" s="6">
        <f t="shared" ref="AE387:AE450" si="96">(Q387*(100%-AB387)*AD387)</f>
        <v>17056.027560000002</v>
      </c>
      <c r="AF387">
        <f t="shared" ref="AF387:AF450" si="97">AE387-(AC387*AD387)</f>
        <v>2947.5177600000025</v>
      </c>
    </row>
    <row r="388" spans="1:32" x14ac:dyDescent="0.3">
      <c r="A388" t="s">
        <v>385</v>
      </c>
      <c r="B388" s="4">
        <v>44962</v>
      </c>
      <c r="C388" s="4" t="str">
        <f t="shared" si="86"/>
        <v>Feb-2023</v>
      </c>
      <c r="D388" t="str">
        <f t="shared" si="87"/>
        <v>Q1-2023</v>
      </c>
      <c r="E388" s="4">
        <v>44985</v>
      </c>
      <c r="F388" s="12">
        <f t="shared" si="84"/>
        <v>44985</v>
      </c>
      <c r="G388" s="13">
        <f t="shared" si="85"/>
        <v>23</v>
      </c>
      <c r="H388" t="s">
        <v>648</v>
      </c>
      <c r="I388" t="s">
        <v>660</v>
      </c>
      <c r="J388" t="s">
        <v>697</v>
      </c>
      <c r="K388" t="s">
        <v>703</v>
      </c>
      <c r="L388" t="s">
        <v>710</v>
      </c>
      <c r="M388" t="s">
        <v>716</v>
      </c>
      <c r="N388" t="s">
        <v>730</v>
      </c>
      <c r="O388" t="s">
        <v>1105</v>
      </c>
      <c r="P388" s="6">
        <v>1214.49</v>
      </c>
      <c r="Q388" s="6">
        <v>1533.95</v>
      </c>
      <c r="R388" s="10">
        <v>0</v>
      </c>
      <c r="S388" s="10" t="b">
        <f t="shared" si="88"/>
        <v>0</v>
      </c>
      <c r="T388" s="8">
        <v>11</v>
      </c>
      <c r="U388">
        <f t="shared" si="89"/>
        <v>16873.45</v>
      </c>
      <c r="V388">
        <f t="shared" si="90"/>
        <v>13359.39</v>
      </c>
      <c r="W388">
        <f t="shared" si="91"/>
        <v>3514.0600000000013</v>
      </c>
      <c r="X388" s="10">
        <f t="shared" si="92"/>
        <v>0.20825972163369086</v>
      </c>
      <c r="Y388" t="str">
        <f t="shared" si="93"/>
        <v>Medium</v>
      </c>
      <c r="Z388" t="str">
        <f t="shared" si="94"/>
        <v>Not Met</v>
      </c>
      <c r="AA388" t="str">
        <f t="shared" si="95"/>
        <v>Low Discount</v>
      </c>
      <c r="AB388" s="10">
        <f>MIN(R388,ControlPanel!$B$5)</f>
        <v>0</v>
      </c>
      <c r="AC388">
        <f>P388*(1+ControlPanel!$B$6)</f>
        <v>1275.2145</v>
      </c>
      <c r="AD388">
        <f>T388*(1+ControlPanel!$B$7)</f>
        <v>12.100000000000001</v>
      </c>
      <c r="AE388" s="6">
        <f t="shared" si="96"/>
        <v>18560.795000000002</v>
      </c>
      <c r="AF388">
        <f t="shared" si="97"/>
        <v>3130.6995499999994</v>
      </c>
    </row>
    <row r="389" spans="1:32" x14ac:dyDescent="0.3">
      <c r="A389" t="s">
        <v>580</v>
      </c>
      <c r="B389" s="4">
        <v>45330</v>
      </c>
      <c r="C389" s="4" t="str">
        <f t="shared" si="86"/>
        <v>Feb-2024</v>
      </c>
      <c r="D389" t="str">
        <f t="shared" si="87"/>
        <v>Q1-2024</v>
      </c>
      <c r="E389" s="4">
        <v>45331</v>
      </c>
      <c r="F389" s="12">
        <f t="shared" si="84"/>
        <v>45331</v>
      </c>
      <c r="G389" s="13">
        <f t="shared" si="85"/>
        <v>1</v>
      </c>
      <c r="H389" t="s">
        <v>646</v>
      </c>
      <c r="I389" t="s">
        <v>650</v>
      </c>
      <c r="J389" t="s">
        <v>675</v>
      </c>
      <c r="K389" t="s">
        <v>701</v>
      </c>
      <c r="L389" t="s">
        <v>711</v>
      </c>
      <c r="M389" t="s">
        <v>721</v>
      </c>
      <c r="N389" t="s">
        <v>727</v>
      </c>
      <c r="O389" t="s">
        <v>1298</v>
      </c>
      <c r="P389" s="6">
        <v>1233.52</v>
      </c>
      <c r="Q389" s="6">
        <v>1543.76</v>
      </c>
      <c r="R389" s="10">
        <v>0.126</v>
      </c>
      <c r="S389" s="10" t="b">
        <f t="shared" si="88"/>
        <v>0</v>
      </c>
      <c r="T389" s="8">
        <v>13</v>
      </c>
      <c r="U389">
        <f t="shared" si="89"/>
        <v>17540.201119999998</v>
      </c>
      <c r="V389">
        <f t="shared" si="90"/>
        <v>16035.76</v>
      </c>
      <c r="W389">
        <f t="shared" si="91"/>
        <v>1504.4411199999977</v>
      </c>
      <c r="X389" s="10">
        <f t="shared" si="92"/>
        <v>8.5771030201277298E-2</v>
      </c>
      <c r="Y389" t="str">
        <f t="shared" si="93"/>
        <v>Medium</v>
      </c>
      <c r="Z389" t="str">
        <f t="shared" si="94"/>
        <v>Met</v>
      </c>
      <c r="AA389" t="str">
        <f t="shared" si="95"/>
        <v>Low Discount</v>
      </c>
      <c r="AB389" s="10">
        <f>MIN(R389,ControlPanel!$B$5)</f>
        <v>0.126</v>
      </c>
      <c r="AC389">
        <f>P389*(1+ControlPanel!$B$6)</f>
        <v>1295.1960000000001</v>
      </c>
      <c r="AD389">
        <f>T389*(1+ControlPanel!$B$7)</f>
        <v>14.3</v>
      </c>
      <c r="AE389" s="6">
        <f t="shared" si="96"/>
        <v>19294.221232</v>
      </c>
      <c r="AF389">
        <f t="shared" si="97"/>
        <v>772.91843199999857</v>
      </c>
    </row>
    <row r="390" spans="1:32" x14ac:dyDescent="0.3">
      <c r="A390" t="s">
        <v>217</v>
      </c>
      <c r="B390" s="4">
        <v>44946</v>
      </c>
      <c r="C390" s="4" t="str">
        <f t="shared" si="86"/>
        <v>Jan-2023</v>
      </c>
      <c r="D390" t="str">
        <f t="shared" si="87"/>
        <v>Q1-2023</v>
      </c>
      <c r="E390" s="4">
        <v>44960</v>
      </c>
      <c r="F390" s="12">
        <f t="shared" si="84"/>
        <v>44960</v>
      </c>
      <c r="G390" s="13">
        <f t="shared" si="85"/>
        <v>14</v>
      </c>
      <c r="H390" t="s">
        <v>646</v>
      </c>
      <c r="I390" t="s">
        <v>650</v>
      </c>
      <c r="J390" t="s">
        <v>662</v>
      </c>
      <c r="K390" t="s">
        <v>701</v>
      </c>
      <c r="L390" t="s">
        <v>707</v>
      </c>
      <c r="M390" t="s">
        <v>724</v>
      </c>
      <c r="N390" t="s">
        <v>729</v>
      </c>
      <c r="O390" t="s">
        <v>937</v>
      </c>
      <c r="P390" s="6">
        <v>884.36</v>
      </c>
      <c r="Q390" s="6">
        <v>1545.34</v>
      </c>
      <c r="R390" s="10">
        <v>0.24299999999999999</v>
      </c>
      <c r="S390" s="10" t="b">
        <f t="shared" si="88"/>
        <v>0</v>
      </c>
      <c r="T390" s="8">
        <v>41</v>
      </c>
      <c r="U390">
        <f t="shared" si="89"/>
        <v>47962.717579999997</v>
      </c>
      <c r="V390">
        <f t="shared" si="90"/>
        <v>36258.76</v>
      </c>
      <c r="W390">
        <f t="shared" si="91"/>
        <v>11703.957579999995</v>
      </c>
      <c r="X390" s="10">
        <f t="shared" si="92"/>
        <v>0.24402198562827965</v>
      </c>
      <c r="Y390" t="str">
        <f t="shared" si="93"/>
        <v>Medium</v>
      </c>
      <c r="Z390" t="str">
        <f t="shared" si="94"/>
        <v>Not Met</v>
      </c>
      <c r="AA390" t="str">
        <f t="shared" si="95"/>
        <v>High Discount</v>
      </c>
      <c r="AB390" s="10">
        <f>MIN(R390,ControlPanel!$B$5)</f>
        <v>0.2</v>
      </c>
      <c r="AC390">
        <f>P390*(1+ControlPanel!$B$6)</f>
        <v>928.57800000000009</v>
      </c>
      <c r="AD390">
        <f>T390*(1+ControlPanel!$B$7)</f>
        <v>45.1</v>
      </c>
      <c r="AE390" s="6">
        <f t="shared" si="96"/>
        <v>55755.867200000001</v>
      </c>
      <c r="AF390">
        <f t="shared" si="97"/>
        <v>13876.999399999993</v>
      </c>
    </row>
    <row r="391" spans="1:32" x14ac:dyDescent="0.3">
      <c r="A391" t="s">
        <v>636</v>
      </c>
      <c r="B391" s="4">
        <v>45501</v>
      </c>
      <c r="C391" s="4" t="str">
        <f t="shared" si="86"/>
        <v>Jul-2024</v>
      </c>
      <c r="D391" t="str">
        <f t="shared" si="87"/>
        <v>Q3-2024</v>
      </c>
      <c r="E391" s="4">
        <v>45527</v>
      </c>
      <c r="F391" s="12">
        <f t="shared" si="84"/>
        <v>45527</v>
      </c>
      <c r="G391" s="13">
        <f t="shared" si="85"/>
        <v>26</v>
      </c>
      <c r="H391" t="s">
        <v>647</v>
      </c>
      <c r="I391" t="s">
        <v>654</v>
      </c>
      <c r="J391" t="s">
        <v>696</v>
      </c>
      <c r="K391" t="s">
        <v>701</v>
      </c>
      <c r="L391" t="s">
        <v>707</v>
      </c>
      <c r="M391" t="s">
        <v>713</v>
      </c>
      <c r="N391" t="s">
        <v>729</v>
      </c>
      <c r="O391" t="s">
        <v>1354</v>
      </c>
      <c r="P391" s="6">
        <v>1339.24</v>
      </c>
      <c r="Q391" s="6">
        <v>1558.89</v>
      </c>
      <c r="R391" s="10">
        <v>0.192</v>
      </c>
      <c r="S391" s="10" t="b">
        <f t="shared" si="88"/>
        <v>0</v>
      </c>
      <c r="T391" s="8">
        <v>24</v>
      </c>
      <c r="U391">
        <f t="shared" si="89"/>
        <v>30229.994880000006</v>
      </c>
      <c r="V391">
        <f t="shared" si="90"/>
        <v>32141.760000000002</v>
      </c>
      <c r="W391">
        <f t="shared" si="91"/>
        <v>-1911.7651199999964</v>
      </c>
      <c r="X391" s="10">
        <f t="shared" si="92"/>
        <v>-6.3240669659021656E-2</v>
      </c>
      <c r="Y391" t="str">
        <f t="shared" si="93"/>
        <v>Medium</v>
      </c>
      <c r="Z391" t="str">
        <f t="shared" si="94"/>
        <v>Not Met</v>
      </c>
      <c r="AA391" t="str">
        <f t="shared" si="95"/>
        <v>Low Discount</v>
      </c>
      <c r="AB391" s="10">
        <f>MIN(R391,ControlPanel!$B$5)</f>
        <v>0.192</v>
      </c>
      <c r="AC391">
        <f>P391*(1+ControlPanel!$B$6)</f>
        <v>1406.202</v>
      </c>
      <c r="AD391">
        <f>T391*(1+ControlPanel!$B$7)</f>
        <v>26.400000000000002</v>
      </c>
      <c r="AE391" s="6">
        <f t="shared" si="96"/>
        <v>33252.994368000007</v>
      </c>
      <c r="AF391">
        <f t="shared" si="97"/>
        <v>-3870.7384319999983</v>
      </c>
    </row>
    <row r="392" spans="1:32" x14ac:dyDescent="0.3">
      <c r="A392" t="s">
        <v>549</v>
      </c>
      <c r="B392" s="4">
        <v>45667</v>
      </c>
      <c r="C392" s="4" t="str">
        <f t="shared" si="86"/>
        <v>Jan-2025</v>
      </c>
      <c r="D392" t="str">
        <f t="shared" si="87"/>
        <v>Q1-2025</v>
      </c>
      <c r="E392" s="4">
        <v>45694</v>
      </c>
      <c r="F392" s="12">
        <f t="shared" si="84"/>
        <v>45694</v>
      </c>
      <c r="G392" s="13">
        <f t="shared" si="85"/>
        <v>27</v>
      </c>
      <c r="H392" t="s">
        <v>648</v>
      </c>
      <c r="I392" t="s">
        <v>655</v>
      </c>
      <c r="J392" t="s">
        <v>672</v>
      </c>
      <c r="K392" t="s">
        <v>703</v>
      </c>
      <c r="L392" t="s">
        <v>707</v>
      </c>
      <c r="M392" t="s">
        <v>717</v>
      </c>
      <c r="N392" t="s">
        <v>731</v>
      </c>
      <c r="O392" t="s">
        <v>1268</v>
      </c>
      <c r="P392" s="6">
        <v>725.62</v>
      </c>
      <c r="Q392" s="6">
        <v>1559.19</v>
      </c>
      <c r="R392" s="10">
        <v>0.19</v>
      </c>
      <c r="S392" s="10" t="b">
        <f t="shared" si="88"/>
        <v>0</v>
      </c>
      <c r="T392" s="8">
        <v>12</v>
      </c>
      <c r="U392">
        <f t="shared" si="89"/>
        <v>15155.326800000003</v>
      </c>
      <c r="V392">
        <f t="shared" si="90"/>
        <v>8707.44</v>
      </c>
      <c r="W392">
        <f t="shared" si="91"/>
        <v>6447.886800000002</v>
      </c>
      <c r="X392" s="10">
        <f t="shared" si="92"/>
        <v>0.4254534979740589</v>
      </c>
      <c r="Y392" t="str">
        <f t="shared" si="93"/>
        <v>Medium</v>
      </c>
      <c r="Z392" t="str">
        <f t="shared" si="94"/>
        <v>Not Met</v>
      </c>
      <c r="AA392" t="str">
        <f t="shared" si="95"/>
        <v>Low Discount</v>
      </c>
      <c r="AB392" s="10">
        <f>MIN(R392,ControlPanel!$B$5)</f>
        <v>0.19</v>
      </c>
      <c r="AC392">
        <f>P392*(1+ControlPanel!$B$6)</f>
        <v>761.90100000000007</v>
      </c>
      <c r="AD392">
        <f>T392*(1+ControlPanel!$B$7)</f>
        <v>13.200000000000001</v>
      </c>
      <c r="AE392" s="6">
        <f t="shared" si="96"/>
        <v>16670.859480000003</v>
      </c>
      <c r="AF392">
        <f t="shared" si="97"/>
        <v>6613.7662800000016</v>
      </c>
    </row>
    <row r="393" spans="1:32" x14ac:dyDescent="0.3">
      <c r="A393" t="s">
        <v>210</v>
      </c>
      <c r="B393" s="4">
        <v>45588</v>
      </c>
      <c r="C393" s="4" t="str">
        <f t="shared" si="86"/>
        <v>Oct-2024</v>
      </c>
      <c r="D393" t="str">
        <f t="shared" si="87"/>
        <v>Q4-2024</v>
      </c>
      <c r="E393" s="4">
        <v>45610</v>
      </c>
      <c r="F393" s="12">
        <f t="shared" si="84"/>
        <v>45610</v>
      </c>
      <c r="G393" s="13">
        <f t="shared" si="85"/>
        <v>22</v>
      </c>
      <c r="H393" t="s">
        <v>647</v>
      </c>
      <c r="I393" t="s">
        <v>652</v>
      </c>
      <c r="J393" t="s">
        <v>666</v>
      </c>
      <c r="K393" t="s">
        <v>703</v>
      </c>
      <c r="L393" t="s">
        <v>711</v>
      </c>
      <c r="M393" t="s">
        <v>717</v>
      </c>
      <c r="N393" t="s">
        <v>730</v>
      </c>
      <c r="O393" t="s">
        <v>930</v>
      </c>
      <c r="P393" s="6">
        <v>1406.4</v>
      </c>
      <c r="Q393" s="6">
        <v>1564.76</v>
      </c>
      <c r="R393" s="10">
        <v>0.185</v>
      </c>
      <c r="S393" s="10" t="b">
        <f t="shared" si="88"/>
        <v>0</v>
      </c>
      <c r="T393" s="8">
        <v>17</v>
      </c>
      <c r="U393">
        <f t="shared" si="89"/>
        <v>21679.749799999998</v>
      </c>
      <c r="V393">
        <f t="shared" si="90"/>
        <v>23908.800000000003</v>
      </c>
      <c r="W393">
        <f t="shared" si="91"/>
        <v>-2229.0502000000051</v>
      </c>
      <c r="X393" s="10">
        <f t="shared" si="92"/>
        <v>-0.10281715520536151</v>
      </c>
      <c r="Y393" t="str">
        <f t="shared" si="93"/>
        <v>Medium</v>
      </c>
      <c r="Z393" t="str">
        <f t="shared" si="94"/>
        <v>Not Met</v>
      </c>
      <c r="AA393" t="str">
        <f t="shared" si="95"/>
        <v>Low Discount</v>
      </c>
      <c r="AB393" s="10">
        <f>MIN(R393,ControlPanel!$B$5)</f>
        <v>0.185</v>
      </c>
      <c r="AC393">
        <f>P393*(1+ControlPanel!$B$6)</f>
        <v>1476.7200000000003</v>
      </c>
      <c r="AD393">
        <f>T393*(1+ControlPanel!$B$7)</f>
        <v>18.700000000000003</v>
      </c>
      <c r="AE393" s="6">
        <f t="shared" si="96"/>
        <v>23847.72478</v>
      </c>
      <c r="AF393">
        <f t="shared" si="97"/>
        <v>-3766.9392200000075</v>
      </c>
    </row>
    <row r="394" spans="1:32" x14ac:dyDescent="0.3">
      <c r="A394" t="s">
        <v>468</v>
      </c>
      <c r="B394" s="4">
        <v>45070</v>
      </c>
      <c r="C394" s="4" t="str">
        <f t="shared" si="86"/>
        <v>May-2023</v>
      </c>
      <c r="D394" t="str">
        <f t="shared" si="87"/>
        <v>Q2-2023</v>
      </c>
      <c r="E394" s="4">
        <v>45098</v>
      </c>
      <c r="F394" s="12">
        <f t="shared" si="84"/>
        <v>45098</v>
      </c>
      <c r="G394" s="13">
        <f t="shared" si="85"/>
        <v>28</v>
      </c>
      <c r="H394" t="s">
        <v>648</v>
      </c>
      <c r="I394" t="s">
        <v>660</v>
      </c>
      <c r="J394" t="s">
        <v>697</v>
      </c>
      <c r="K394" t="s">
        <v>705</v>
      </c>
      <c r="L394" t="s">
        <v>709</v>
      </c>
      <c r="M394" t="s">
        <v>715</v>
      </c>
      <c r="N394" t="s">
        <v>732</v>
      </c>
      <c r="O394" t="s">
        <v>1187</v>
      </c>
      <c r="P394" s="6">
        <v>813.97</v>
      </c>
      <c r="Q394" s="6">
        <v>1568.83</v>
      </c>
      <c r="R394" s="10">
        <v>1.7000000000000001E-2</v>
      </c>
      <c r="S394" s="10" t="b">
        <f t="shared" si="88"/>
        <v>0</v>
      </c>
      <c r="T394" s="8">
        <v>15</v>
      </c>
      <c r="U394">
        <f t="shared" si="89"/>
        <v>23132.398349999999</v>
      </c>
      <c r="V394">
        <f t="shared" si="90"/>
        <v>12209.550000000001</v>
      </c>
      <c r="W394">
        <f t="shared" si="91"/>
        <v>10922.848349999998</v>
      </c>
      <c r="X394" s="10">
        <f t="shared" si="92"/>
        <v>0.47218832153649121</v>
      </c>
      <c r="Y394" t="str">
        <f t="shared" si="93"/>
        <v>Medium</v>
      </c>
      <c r="Z394" t="str">
        <f t="shared" si="94"/>
        <v>Not Met</v>
      </c>
      <c r="AA394" t="str">
        <f t="shared" si="95"/>
        <v>Low Discount</v>
      </c>
      <c r="AB394" s="10">
        <f>MIN(R394,ControlPanel!$B$5)</f>
        <v>1.7000000000000001E-2</v>
      </c>
      <c r="AC394">
        <f>P394*(1+ControlPanel!$B$6)</f>
        <v>854.66850000000011</v>
      </c>
      <c r="AD394">
        <f>T394*(1+ControlPanel!$B$7)</f>
        <v>16.5</v>
      </c>
      <c r="AE394" s="6">
        <f t="shared" si="96"/>
        <v>25445.638185</v>
      </c>
      <c r="AF394">
        <f t="shared" si="97"/>
        <v>11343.607934999998</v>
      </c>
    </row>
    <row r="395" spans="1:32" x14ac:dyDescent="0.3">
      <c r="A395" t="s">
        <v>386</v>
      </c>
      <c r="B395" s="4">
        <v>45022</v>
      </c>
      <c r="C395" s="4" t="str">
        <f t="shared" si="86"/>
        <v>Apr-2023</v>
      </c>
      <c r="D395" t="str">
        <f t="shared" si="87"/>
        <v>Q2-2023</v>
      </c>
      <c r="E395" s="4">
        <v>45024</v>
      </c>
      <c r="F395" s="12">
        <f t="shared" si="84"/>
        <v>45024</v>
      </c>
      <c r="G395" s="13">
        <f t="shared" si="85"/>
        <v>2</v>
      </c>
      <c r="H395" t="s">
        <v>646</v>
      </c>
      <c r="I395" t="s">
        <v>651</v>
      </c>
      <c r="J395" t="s">
        <v>669</v>
      </c>
      <c r="K395" t="s">
        <v>705</v>
      </c>
      <c r="L395" t="s">
        <v>709</v>
      </c>
      <c r="M395" t="s">
        <v>723</v>
      </c>
      <c r="N395" t="s">
        <v>732</v>
      </c>
      <c r="O395" t="s">
        <v>1106</v>
      </c>
      <c r="P395" s="6">
        <v>720.35</v>
      </c>
      <c r="Q395" s="6">
        <v>1571.66</v>
      </c>
      <c r="R395" s="10">
        <v>0.107</v>
      </c>
      <c r="S395" s="10" t="b">
        <f t="shared" si="88"/>
        <v>0</v>
      </c>
      <c r="T395" s="8">
        <v>23</v>
      </c>
      <c r="U395">
        <f t="shared" si="89"/>
        <v>32280.324740000004</v>
      </c>
      <c r="V395">
        <f t="shared" si="90"/>
        <v>16568.05</v>
      </c>
      <c r="W395">
        <f t="shared" si="91"/>
        <v>15712.274740000004</v>
      </c>
      <c r="X395" s="10">
        <f t="shared" si="92"/>
        <v>0.48674463056222655</v>
      </c>
      <c r="Y395" t="str">
        <f t="shared" si="93"/>
        <v>Medium</v>
      </c>
      <c r="Z395" t="str">
        <f t="shared" si="94"/>
        <v>Met</v>
      </c>
      <c r="AA395" t="str">
        <f t="shared" si="95"/>
        <v>Low Discount</v>
      </c>
      <c r="AB395" s="10">
        <f>MIN(R395,ControlPanel!$B$5)</f>
        <v>0.107</v>
      </c>
      <c r="AC395">
        <f>P395*(1+ControlPanel!$B$6)</f>
        <v>756.36750000000006</v>
      </c>
      <c r="AD395">
        <f>T395*(1+ControlPanel!$B$7)</f>
        <v>25.3</v>
      </c>
      <c r="AE395" s="6">
        <f t="shared" si="96"/>
        <v>35508.357214000003</v>
      </c>
      <c r="AF395">
        <f t="shared" si="97"/>
        <v>16372.259464000002</v>
      </c>
    </row>
    <row r="396" spans="1:32" x14ac:dyDescent="0.3">
      <c r="A396" t="s">
        <v>55</v>
      </c>
      <c r="B396" s="4">
        <v>45531</v>
      </c>
      <c r="C396" s="4" t="str">
        <f t="shared" si="86"/>
        <v>Aug-2024</v>
      </c>
      <c r="D396" t="str">
        <f t="shared" si="87"/>
        <v>Q3-2024</v>
      </c>
      <c r="E396" s="4">
        <v>45554</v>
      </c>
      <c r="F396" s="12">
        <f t="shared" si="84"/>
        <v>45554</v>
      </c>
      <c r="G396" s="13">
        <f t="shared" si="85"/>
        <v>23</v>
      </c>
      <c r="H396" t="s">
        <v>649</v>
      </c>
      <c r="I396" t="s">
        <v>656</v>
      </c>
      <c r="J396" t="s">
        <v>671</v>
      </c>
      <c r="K396" t="s">
        <v>705</v>
      </c>
      <c r="L396" t="s">
        <v>711</v>
      </c>
      <c r="M396" t="s">
        <v>726</v>
      </c>
      <c r="N396" t="s">
        <v>732</v>
      </c>
      <c r="O396" t="s">
        <v>774</v>
      </c>
      <c r="P396" s="6">
        <v>1024.01</v>
      </c>
      <c r="Q396" s="6">
        <v>1580.97</v>
      </c>
      <c r="R396" s="10">
        <v>3.6999999999999998E-2</v>
      </c>
      <c r="S396" s="10" t="b">
        <f t="shared" si="88"/>
        <v>0</v>
      </c>
      <c r="T396" s="8">
        <v>27</v>
      </c>
      <c r="U396">
        <f t="shared" si="89"/>
        <v>41106.800969999997</v>
      </c>
      <c r="V396">
        <f t="shared" si="90"/>
        <v>27648.27</v>
      </c>
      <c r="W396">
        <f t="shared" si="91"/>
        <v>13458.530969999996</v>
      </c>
      <c r="X396" s="10">
        <f t="shared" si="92"/>
        <v>0.32740399769425299</v>
      </c>
      <c r="Y396" t="str">
        <f t="shared" si="93"/>
        <v>Medium</v>
      </c>
      <c r="Z396" t="str">
        <f t="shared" si="94"/>
        <v>Not Met</v>
      </c>
      <c r="AA396" t="str">
        <f t="shared" si="95"/>
        <v>Low Discount</v>
      </c>
      <c r="AB396" s="10">
        <f>MIN(R396,ControlPanel!$B$5)</f>
        <v>3.6999999999999998E-2</v>
      </c>
      <c r="AC396">
        <f>P396*(1+ControlPanel!$B$6)</f>
        <v>1075.2105000000001</v>
      </c>
      <c r="AD396">
        <f>T396*(1+ControlPanel!$B$7)</f>
        <v>29.700000000000003</v>
      </c>
      <c r="AE396" s="6">
        <f t="shared" si="96"/>
        <v>45217.481067000001</v>
      </c>
      <c r="AF396">
        <f t="shared" si="97"/>
        <v>13283.729216999993</v>
      </c>
    </row>
    <row r="397" spans="1:32" x14ac:dyDescent="0.3">
      <c r="A397" t="s">
        <v>487</v>
      </c>
      <c r="B397" s="4">
        <v>45328</v>
      </c>
      <c r="C397" s="4" t="str">
        <f t="shared" si="86"/>
        <v>Feb-2024</v>
      </c>
      <c r="D397" t="str">
        <f t="shared" si="87"/>
        <v>Q1-2024</v>
      </c>
      <c r="E397" s="4">
        <v>45350</v>
      </c>
      <c r="F397" s="12">
        <f t="shared" si="84"/>
        <v>45350</v>
      </c>
      <c r="G397" s="13">
        <f t="shared" si="85"/>
        <v>22</v>
      </c>
      <c r="H397" t="s">
        <v>646</v>
      </c>
      <c r="I397" t="s">
        <v>650</v>
      </c>
      <c r="J397" t="s">
        <v>662</v>
      </c>
      <c r="K397" t="s">
        <v>703</v>
      </c>
      <c r="L397" t="s">
        <v>708</v>
      </c>
      <c r="M397" t="s">
        <v>723</v>
      </c>
      <c r="N397" t="s">
        <v>732</v>
      </c>
      <c r="O397" t="s">
        <v>1206</v>
      </c>
      <c r="P397" s="6">
        <v>834.93</v>
      </c>
      <c r="Q397" s="6">
        <v>1588.53</v>
      </c>
      <c r="R397" s="10">
        <v>0.126</v>
      </c>
      <c r="S397" s="10" t="b">
        <f t="shared" si="88"/>
        <v>0</v>
      </c>
      <c r="T397" s="8">
        <v>6</v>
      </c>
      <c r="U397">
        <f t="shared" si="89"/>
        <v>8330.2513199999994</v>
      </c>
      <c r="V397">
        <f t="shared" si="90"/>
        <v>5009.58</v>
      </c>
      <c r="W397">
        <f t="shared" si="91"/>
        <v>3320.6713199999995</v>
      </c>
      <c r="X397" s="10">
        <f t="shared" si="92"/>
        <v>0.39862798761274343</v>
      </c>
      <c r="Y397" t="str">
        <f t="shared" si="93"/>
        <v>Medium</v>
      </c>
      <c r="Z397" t="str">
        <f t="shared" si="94"/>
        <v>Not Met</v>
      </c>
      <c r="AA397" t="str">
        <f t="shared" si="95"/>
        <v>Low Discount</v>
      </c>
      <c r="AB397" s="10">
        <f>MIN(R397,ControlPanel!$B$5)</f>
        <v>0.126</v>
      </c>
      <c r="AC397">
        <f>P397*(1+ControlPanel!$B$6)</f>
        <v>876.67650000000003</v>
      </c>
      <c r="AD397">
        <f>T397*(1+ControlPanel!$B$7)</f>
        <v>6.6000000000000005</v>
      </c>
      <c r="AE397" s="6">
        <f t="shared" si="96"/>
        <v>9163.2764520000001</v>
      </c>
      <c r="AF397">
        <f t="shared" si="97"/>
        <v>3377.2115519999998</v>
      </c>
    </row>
    <row r="398" spans="1:32" x14ac:dyDescent="0.3">
      <c r="A398" t="s">
        <v>248</v>
      </c>
      <c r="B398" s="4">
        <v>44999</v>
      </c>
      <c r="C398" s="4" t="str">
        <f t="shared" si="86"/>
        <v>Mar-2023</v>
      </c>
      <c r="D398" t="str">
        <f t="shared" si="87"/>
        <v>Q1-2023</v>
      </c>
      <c r="E398" s="4">
        <v>45015</v>
      </c>
      <c r="F398" s="12">
        <f t="shared" si="84"/>
        <v>45015</v>
      </c>
      <c r="G398" s="13">
        <f t="shared" si="85"/>
        <v>16</v>
      </c>
      <c r="H398" t="s">
        <v>646</v>
      </c>
      <c r="I398" t="s">
        <v>661</v>
      </c>
      <c r="J398" t="s">
        <v>695</v>
      </c>
      <c r="K398" t="s">
        <v>704</v>
      </c>
      <c r="L398" t="s">
        <v>710</v>
      </c>
      <c r="M398" t="s">
        <v>723</v>
      </c>
      <c r="N398" t="s">
        <v>727</v>
      </c>
      <c r="O398" t="s">
        <v>968</v>
      </c>
      <c r="P398" s="6">
        <v>1309.77</v>
      </c>
      <c r="Q398" s="6">
        <v>1589.07</v>
      </c>
      <c r="R398" s="10">
        <v>0.10199999999999999</v>
      </c>
      <c r="S398" s="10" t="b">
        <f t="shared" si="88"/>
        <v>0</v>
      </c>
      <c r="T398" s="8">
        <v>10</v>
      </c>
      <c r="U398">
        <f t="shared" si="89"/>
        <v>14269.848600000001</v>
      </c>
      <c r="V398">
        <f t="shared" si="90"/>
        <v>13097.7</v>
      </c>
      <c r="W398">
        <f t="shared" si="91"/>
        <v>1172.1486000000004</v>
      </c>
      <c r="X398" s="10">
        <f t="shared" si="92"/>
        <v>8.2141628328137997E-2</v>
      </c>
      <c r="Y398" t="str">
        <f t="shared" si="93"/>
        <v>Medium</v>
      </c>
      <c r="Z398" t="str">
        <f t="shared" si="94"/>
        <v>Not Met</v>
      </c>
      <c r="AA398" t="str">
        <f t="shared" si="95"/>
        <v>Low Discount</v>
      </c>
      <c r="AB398" s="10">
        <f>MIN(R398,ControlPanel!$B$5)</f>
        <v>0.10199999999999999</v>
      </c>
      <c r="AC398">
        <f>P398*(1+ControlPanel!$B$6)</f>
        <v>1375.2585000000001</v>
      </c>
      <c r="AD398">
        <f>T398*(1+ControlPanel!$B$7)</f>
        <v>11</v>
      </c>
      <c r="AE398" s="6">
        <f t="shared" si="96"/>
        <v>15696.83346</v>
      </c>
      <c r="AF398">
        <f t="shared" si="97"/>
        <v>568.98995999999897</v>
      </c>
    </row>
    <row r="399" spans="1:32" x14ac:dyDescent="0.3">
      <c r="A399" t="s">
        <v>441</v>
      </c>
      <c r="B399" s="4">
        <v>45522</v>
      </c>
      <c r="C399" s="4" t="str">
        <f t="shared" si="86"/>
        <v>Aug-2024</v>
      </c>
      <c r="D399" t="str">
        <f t="shared" si="87"/>
        <v>Q3-2024</v>
      </c>
      <c r="E399" s="4">
        <v>45547</v>
      </c>
      <c r="F399" s="12">
        <f t="shared" si="84"/>
        <v>45547</v>
      </c>
      <c r="G399" s="13">
        <f t="shared" si="85"/>
        <v>25</v>
      </c>
      <c r="H399" t="s">
        <v>647</v>
      </c>
      <c r="I399" t="s">
        <v>654</v>
      </c>
      <c r="J399" t="s">
        <v>691</v>
      </c>
      <c r="K399" t="s">
        <v>704</v>
      </c>
      <c r="L399" t="s">
        <v>709</v>
      </c>
      <c r="M399" t="s">
        <v>712</v>
      </c>
      <c r="N399" t="s">
        <v>730</v>
      </c>
      <c r="O399" t="s">
        <v>1160</v>
      </c>
      <c r="P399" s="6">
        <v>1154.03</v>
      </c>
      <c r="Q399" s="6">
        <v>1590.36</v>
      </c>
      <c r="R399" s="10">
        <v>0</v>
      </c>
      <c r="S399" s="10" t="b">
        <f t="shared" si="88"/>
        <v>0</v>
      </c>
      <c r="T399" s="8">
        <v>18</v>
      </c>
      <c r="U399">
        <f t="shared" si="89"/>
        <v>28626.48</v>
      </c>
      <c r="V399">
        <f t="shared" si="90"/>
        <v>20772.54</v>
      </c>
      <c r="W399">
        <f t="shared" si="91"/>
        <v>7853.9399999999987</v>
      </c>
      <c r="X399" s="10">
        <f t="shared" si="92"/>
        <v>0.27435926456902837</v>
      </c>
      <c r="Y399" t="str">
        <f t="shared" si="93"/>
        <v>Medium</v>
      </c>
      <c r="Z399" t="str">
        <f t="shared" si="94"/>
        <v>Not Met</v>
      </c>
      <c r="AA399" t="str">
        <f t="shared" si="95"/>
        <v>Low Discount</v>
      </c>
      <c r="AB399" s="10">
        <f>MIN(R399,ControlPanel!$B$5)</f>
        <v>0</v>
      </c>
      <c r="AC399">
        <f>P399*(1+ControlPanel!$B$6)</f>
        <v>1211.7315000000001</v>
      </c>
      <c r="AD399">
        <f>T399*(1+ControlPanel!$B$7)</f>
        <v>19.8</v>
      </c>
      <c r="AE399" s="6">
        <f t="shared" si="96"/>
        <v>31489.128000000001</v>
      </c>
      <c r="AF399">
        <f t="shared" si="97"/>
        <v>7496.844299999997</v>
      </c>
    </row>
    <row r="400" spans="1:32" x14ac:dyDescent="0.3">
      <c r="A400" t="s">
        <v>302</v>
      </c>
      <c r="B400" s="4">
        <v>45319</v>
      </c>
      <c r="C400" s="4" t="str">
        <f t="shared" si="86"/>
        <v>Jan-2024</v>
      </c>
      <c r="D400" t="str">
        <f t="shared" si="87"/>
        <v>Q1-2024</v>
      </c>
      <c r="E400" s="4">
        <v>45321</v>
      </c>
      <c r="F400" s="12">
        <f t="shared" si="84"/>
        <v>45321</v>
      </c>
      <c r="G400" s="13">
        <f t="shared" si="85"/>
        <v>2</v>
      </c>
      <c r="H400" t="s">
        <v>646</v>
      </c>
      <c r="I400" t="s">
        <v>661</v>
      </c>
      <c r="J400" t="s">
        <v>695</v>
      </c>
      <c r="K400" t="s">
        <v>704</v>
      </c>
      <c r="L400" t="s">
        <v>711</v>
      </c>
      <c r="M400" t="s">
        <v>721</v>
      </c>
      <c r="N400" t="s">
        <v>733</v>
      </c>
      <c r="O400" t="s">
        <v>1022</v>
      </c>
      <c r="P400" s="6">
        <v>798.45</v>
      </c>
      <c r="Q400" s="6">
        <v>1592.02</v>
      </c>
      <c r="R400" s="10">
        <v>6.6000000000000003E-2</v>
      </c>
      <c r="S400" s="10" t="b">
        <f t="shared" si="88"/>
        <v>0</v>
      </c>
      <c r="T400" s="8">
        <v>18</v>
      </c>
      <c r="U400">
        <f t="shared" si="89"/>
        <v>26765.040239999995</v>
      </c>
      <c r="V400">
        <f t="shared" si="90"/>
        <v>14372.1</v>
      </c>
      <c r="W400">
        <f t="shared" si="91"/>
        <v>12392.940239999994</v>
      </c>
      <c r="X400" s="10">
        <f t="shared" si="92"/>
        <v>0.46302714768494579</v>
      </c>
      <c r="Y400" t="str">
        <f t="shared" si="93"/>
        <v>Medium</v>
      </c>
      <c r="Z400" t="str">
        <f t="shared" si="94"/>
        <v>Met</v>
      </c>
      <c r="AA400" t="str">
        <f t="shared" si="95"/>
        <v>Low Discount</v>
      </c>
      <c r="AB400" s="10">
        <f>MIN(R400,ControlPanel!$B$5)</f>
        <v>6.6000000000000003E-2</v>
      </c>
      <c r="AC400">
        <f>P400*(1+ControlPanel!$B$6)</f>
        <v>838.37250000000006</v>
      </c>
      <c r="AD400">
        <f>T400*(1+ControlPanel!$B$7)</f>
        <v>19.8</v>
      </c>
      <c r="AE400" s="6">
        <f t="shared" si="96"/>
        <v>29441.544263999996</v>
      </c>
      <c r="AF400">
        <f t="shared" si="97"/>
        <v>12841.768763999993</v>
      </c>
    </row>
    <row r="401" spans="1:32" x14ac:dyDescent="0.3">
      <c r="A401" t="s">
        <v>542</v>
      </c>
      <c r="B401" s="4">
        <v>45448</v>
      </c>
      <c r="C401" s="4" t="str">
        <f t="shared" si="86"/>
        <v>Jun-2024</v>
      </c>
      <c r="D401" t="str">
        <f t="shared" si="87"/>
        <v>Q2-2024</v>
      </c>
      <c r="E401" s="4">
        <v>45466</v>
      </c>
      <c r="F401" s="12">
        <f t="shared" si="84"/>
        <v>45466</v>
      </c>
      <c r="G401" s="13">
        <f t="shared" si="85"/>
        <v>18</v>
      </c>
      <c r="H401" t="s">
        <v>646</v>
      </c>
      <c r="I401" t="s">
        <v>650</v>
      </c>
      <c r="J401" t="s">
        <v>664</v>
      </c>
      <c r="K401" t="s">
        <v>704</v>
      </c>
      <c r="L401" t="s">
        <v>710</v>
      </c>
      <c r="M401" t="s">
        <v>726</v>
      </c>
      <c r="N401" t="s">
        <v>731</v>
      </c>
      <c r="O401" t="s">
        <v>1261</v>
      </c>
      <c r="P401" s="6">
        <v>1208.74</v>
      </c>
      <c r="Q401" s="6">
        <v>1594.78</v>
      </c>
      <c r="R401" s="10">
        <v>5.8999999999999997E-2</v>
      </c>
      <c r="S401" s="10" t="b">
        <f t="shared" si="88"/>
        <v>0</v>
      </c>
      <c r="T401" s="8">
        <v>39</v>
      </c>
      <c r="U401">
        <f t="shared" si="89"/>
        <v>58526.831220000007</v>
      </c>
      <c r="V401">
        <f t="shared" si="90"/>
        <v>47140.86</v>
      </c>
      <c r="W401">
        <f t="shared" si="91"/>
        <v>11385.971220000007</v>
      </c>
      <c r="X401" s="10">
        <f t="shared" si="92"/>
        <v>0.19454275898178389</v>
      </c>
      <c r="Y401" t="str">
        <f t="shared" si="93"/>
        <v>Medium</v>
      </c>
      <c r="Z401" t="str">
        <f t="shared" si="94"/>
        <v>Not Met</v>
      </c>
      <c r="AA401" t="str">
        <f t="shared" si="95"/>
        <v>Low Discount</v>
      </c>
      <c r="AB401" s="10">
        <f>MIN(R401,ControlPanel!$B$5)</f>
        <v>5.8999999999999997E-2</v>
      </c>
      <c r="AC401">
        <f>P401*(1+ControlPanel!$B$6)</f>
        <v>1269.1770000000001</v>
      </c>
      <c r="AD401">
        <f>T401*(1+ControlPanel!$B$7)</f>
        <v>42.900000000000006</v>
      </c>
      <c r="AE401" s="6">
        <f t="shared" si="96"/>
        <v>64379.514342000017</v>
      </c>
      <c r="AF401">
        <f t="shared" si="97"/>
        <v>9931.8210420000032</v>
      </c>
    </row>
    <row r="402" spans="1:32" x14ac:dyDescent="0.3">
      <c r="A402" t="s">
        <v>625</v>
      </c>
      <c r="B402" s="4">
        <v>45323</v>
      </c>
      <c r="C402" s="4" t="str">
        <f t="shared" si="86"/>
        <v>Feb-2024</v>
      </c>
      <c r="D402" t="str">
        <f t="shared" si="87"/>
        <v>Q1-2024</v>
      </c>
      <c r="E402" s="4">
        <v>45323</v>
      </c>
      <c r="F402" s="12">
        <f t="shared" si="84"/>
        <v>45323</v>
      </c>
      <c r="G402" s="13">
        <f t="shared" si="85"/>
        <v>0</v>
      </c>
      <c r="H402" t="s">
        <v>648</v>
      </c>
      <c r="I402" t="s">
        <v>660</v>
      </c>
      <c r="J402" t="s">
        <v>697</v>
      </c>
      <c r="K402" t="s">
        <v>704</v>
      </c>
      <c r="L402" t="s">
        <v>710</v>
      </c>
      <c r="M402" t="s">
        <v>722</v>
      </c>
      <c r="N402" t="s">
        <v>728</v>
      </c>
      <c r="O402" t="s">
        <v>1343</v>
      </c>
      <c r="P402" s="6">
        <v>714.43</v>
      </c>
      <c r="Q402" s="6">
        <v>1595.52</v>
      </c>
      <c r="R402" s="10">
        <v>0.19400000000000001</v>
      </c>
      <c r="S402" s="10" t="b">
        <f t="shared" si="88"/>
        <v>0</v>
      </c>
      <c r="T402" s="8">
        <v>14</v>
      </c>
      <c r="U402">
        <f t="shared" si="89"/>
        <v>18003.847679999999</v>
      </c>
      <c r="V402">
        <f t="shared" si="90"/>
        <v>10002.019999999999</v>
      </c>
      <c r="W402">
        <f t="shared" si="91"/>
        <v>8001.8276800000003</v>
      </c>
      <c r="X402" s="10">
        <f t="shared" si="92"/>
        <v>0.44445097638151093</v>
      </c>
      <c r="Y402" t="str">
        <f t="shared" si="93"/>
        <v>Medium</v>
      </c>
      <c r="Z402" t="str">
        <f t="shared" si="94"/>
        <v>Met</v>
      </c>
      <c r="AA402" t="str">
        <f t="shared" si="95"/>
        <v>Low Discount</v>
      </c>
      <c r="AB402" s="10">
        <f>MIN(R402,ControlPanel!$B$5)</f>
        <v>0.19400000000000001</v>
      </c>
      <c r="AC402">
        <f>P402*(1+ControlPanel!$B$6)</f>
        <v>750.15149999999994</v>
      </c>
      <c r="AD402">
        <f>T402*(1+ControlPanel!$B$7)</f>
        <v>15.400000000000002</v>
      </c>
      <c r="AE402" s="6">
        <f t="shared" si="96"/>
        <v>19804.232448000002</v>
      </c>
      <c r="AF402">
        <f t="shared" si="97"/>
        <v>8251.8993480000026</v>
      </c>
    </row>
    <row r="403" spans="1:32" x14ac:dyDescent="0.3">
      <c r="A403" t="s">
        <v>401</v>
      </c>
      <c r="B403" s="4">
        <v>45419</v>
      </c>
      <c r="C403" s="4" t="str">
        <f t="shared" si="86"/>
        <v>May-2024</v>
      </c>
      <c r="D403" t="str">
        <f t="shared" si="87"/>
        <v>Q2-2024</v>
      </c>
      <c r="E403" s="4">
        <v>45424</v>
      </c>
      <c r="F403" s="12">
        <f t="shared" si="84"/>
        <v>45424</v>
      </c>
      <c r="G403" s="13">
        <f t="shared" si="85"/>
        <v>5</v>
      </c>
      <c r="H403" t="s">
        <v>646</v>
      </c>
      <c r="I403" t="s">
        <v>651</v>
      </c>
      <c r="J403" t="s">
        <v>669</v>
      </c>
      <c r="K403" t="s">
        <v>703</v>
      </c>
      <c r="L403" t="s">
        <v>710</v>
      </c>
      <c r="M403" t="s">
        <v>716</v>
      </c>
      <c r="N403" t="s">
        <v>731</v>
      </c>
      <c r="O403" t="s">
        <v>1120</v>
      </c>
      <c r="P403" s="6">
        <v>1163.99</v>
      </c>
      <c r="Q403" s="6">
        <v>1617.85</v>
      </c>
      <c r="R403" s="10">
        <v>0.127</v>
      </c>
      <c r="S403" s="10" t="b">
        <f t="shared" si="88"/>
        <v>0</v>
      </c>
      <c r="T403" s="8">
        <v>14</v>
      </c>
      <c r="U403">
        <f t="shared" si="89"/>
        <v>19773.362699999998</v>
      </c>
      <c r="V403">
        <f t="shared" si="90"/>
        <v>16295.86</v>
      </c>
      <c r="W403">
        <f t="shared" si="91"/>
        <v>3477.5026999999973</v>
      </c>
      <c r="X403" s="10">
        <f t="shared" si="92"/>
        <v>0.17586804797749436</v>
      </c>
      <c r="Y403" t="str">
        <f t="shared" si="93"/>
        <v>Medium</v>
      </c>
      <c r="Z403" t="str">
        <f t="shared" si="94"/>
        <v>Met</v>
      </c>
      <c r="AA403" t="str">
        <f t="shared" si="95"/>
        <v>Low Discount</v>
      </c>
      <c r="AB403" s="10">
        <f>MIN(R403,ControlPanel!$B$5)</f>
        <v>0.127</v>
      </c>
      <c r="AC403">
        <f>P403*(1+ControlPanel!$B$6)</f>
        <v>1222.1895</v>
      </c>
      <c r="AD403">
        <f>T403*(1+ControlPanel!$B$7)</f>
        <v>15.400000000000002</v>
      </c>
      <c r="AE403" s="6">
        <f t="shared" si="96"/>
        <v>21750.698970000001</v>
      </c>
      <c r="AF403">
        <f t="shared" si="97"/>
        <v>2928.9806700000008</v>
      </c>
    </row>
    <row r="404" spans="1:32" x14ac:dyDescent="0.3">
      <c r="A404" t="s">
        <v>391</v>
      </c>
      <c r="B404" s="4">
        <v>44998</v>
      </c>
      <c r="C404" s="4" t="str">
        <f t="shared" si="86"/>
        <v>Mar-2023</v>
      </c>
      <c r="D404" t="str">
        <f t="shared" si="87"/>
        <v>Q1-2023</v>
      </c>
      <c r="E404" s="4">
        <v>45020</v>
      </c>
      <c r="F404" s="12">
        <f t="shared" si="84"/>
        <v>45020</v>
      </c>
      <c r="G404" s="13">
        <f t="shared" si="85"/>
        <v>22</v>
      </c>
      <c r="H404" t="s">
        <v>646</v>
      </c>
      <c r="I404" t="s">
        <v>661</v>
      </c>
      <c r="J404" t="s">
        <v>687</v>
      </c>
      <c r="K404" t="s">
        <v>705</v>
      </c>
      <c r="L404" t="s">
        <v>707</v>
      </c>
      <c r="M404" t="s">
        <v>720</v>
      </c>
      <c r="N404" t="s">
        <v>727</v>
      </c>
      <c r="O404" t="s">
        <v>1111</v>
      </c>
      <c r="P404" s="6">
        <v>1113.7</v>
      </c>
      <c r="Q404" s="6">
        <v>1620.6</v>
      </c>
      <c r="R404" s="10">
        <v>0.13900000000000001</v>
      </c>
      <c r="S404" s="10" t="b">
        <f t="shared" si="88"/>
        <v>0</v>
      </c>
      <c r="T404" s="8">
        <v>11</v>
      </c>
      <c r="U404">
        <f t="shared" si="89"/>
        <v>15348.702599999999</v>
      </c>
      <c r="V404">
        <f t="shared" si="90"/>
        <v>12250.7</v>
      </c>
      <c r="W404">
        <f t="shared" si="91"/>
        <v>3098.002599999998</v>
      </c>
      <c r="X404" s="10">
        <f t="shared" si="92"/>
        <v>0.20184133348182787</v>
      </c>
      <c r="Y404" t="str">
        <f t="shared" si="93"/>
        <v>Medium</v>
      </c>
      <c r="Z404" t="str">
        <f t="shared" si="94"/>
        <v>Not Met</v>
      </c>
      <c r="AA404" t="str">
        <f t="shared" si="95"/>
        <v>Low Discount</v>
      </c>
      <c r="AB404" s="10">
        <f>MIN(R404,ControlPanel!$B$5)</f>
        <v>0.13900000000000001</v>
      </c>
      <c r="AC404">
        <f>P404*(1+ControlPanel!$B$6)</f>
        <v>1169.385</v>
      </c>
      <c r="AD404">
        <f>T404*(1+ControlPanel!$B$7)</f>
        <v>12.100000000000001</v>
      </c>
      <c r="AE404" s="6">
        <f t="shared" si="96"/>
        <v>16883.57286</v>
      </c>
      <c r="AF404">
        <f t="shared" si="97"/>
        <v>2734.0143599999992</v>
      </c>
    </row>
    <row r="405" spans="1:32" x14ac:dyDescent="0.3">
      <c r="A405" t="s">
        <v>520</v>
      </c>
      <c r="B405" s="4">
        <v>45774</v>
      </c>
      <c r="C405" s="4" t="str">
        <f t="shared" si="86"/>
        <v>Apr-2025</v>
      </c>
      <c r="D405" t="str">
        <f t="shared" si="87"/>
        <v>Q2-2025</v>
      </c>
      <c r="E405" s="4">
        <v>45794</v>
      </c>
      <c r="F405" s="12">
        <f t="shared" si="84"/>
        <v>45794</v>
      </c>
      <c r="G405" s="13">
        <f t="shared" si="85"/>
        <v>20</v>
      </c>
      <c r="H405" t="s">
        <v>648</v>
      </c>
      <c r="I405" t="s">
        <v>660</v>
      </c>
      <c r="J405" t="s">
        <v>697</v>
      </c>
      <c r="K405" t="s">
        <v>701</v>
      </c>
      <c r="L405" t="s">
        <v>711</v>
      </c>
      <c r="M405" t="s">
        <v>725</v>
      </c>
      <c r="N405" t="s">
        <v>730</v>
      </c>
      <c r="O405" t="s">
        <v>1239</v>
      </c>
      <c r="P405" s="6">
        <v>932.26</v>
      </c>
      <c r="Q405" s="6">
        <v>1624.67</v>
      </c>
      <c r="R405" s="10">
        <v>0.23499999999999999</v>
      </c>
      <c r="S405" s="10" t="b">
        <f t="shared" si="88"/>
        <v>0</v>
      </c>
      <c r="T405" s="8">
        <v>28</v>
      </c>
      <c r="U405">
        <f t="shared" si="89"/>
        <v>34800.431400000001</v>
      </c>
      <c r="V405">
        <f t="shared" si="90"/>
        <v>26103.279999999999</v>
      </c>
      <c r="W405">
        <f t="shared" si="91"/>
        <v>8697.1514000000025</v>
      </c>
      <c r="X405" s="10">
        <f t="shared" si="92"/>
        <v>0.24991504559337163</v>
      </c>
      <c r="Y405" t="str">
        <f t="shared" si="93"/>
        <v>Medium</v>
      </c>
      <c r="Z405" t="str">
        <f t="shared" si="94"/>
        <v>Not Met</v>
      </c>
      <c r="AA405" t="str">
        <f t="shared" si="95"/>
        <v>High Discount</v>
      </c>
      <c r="AB405" s="10">
        <f>MIN(R405,ControlPanel!$B$5)</f>
        <v>0.2</v>
      </c>
      <c r="AC405">
        <f>P405*(1+ControlPanel!$B$6)</f>
        <v>978.87300000000005</v>
      </c>
      <c r="AD405">
        <f>T405*(1+ControlPanel!$B$7)</f>
        <v>30.800000000000004</v>
      </c>
      <c r="AE405" s="6">
        <f t="shared" si="96"/>
        <v>40031.868800000011</v>
      </c>
      <c r="AF405">
        <f t="shared" si="97"/>
        <v>9882.5804000000062</v>
      </c>
    </row>
    <row r="406" spans="1:32" x14ac:dyDescent="0.3">
      <c r="A406" t="s">
        <v>532</v>
      </c>
      <c r="B406" s="4">
        <v>45413</v>
      </c>
      <c r="C406" s="4" t="str">
        <f t="shared" si="86"/>
        <v>May-2024</v>
      </c>
      <c r="D406" t="str">
        <f t="shared" si="87"/>
        <v>Q2-2024</v>
      </c>
      <c r="E406" s="4">
        <v>45438</v>
      </c>
      <c r="F406" s="12">
        <f t="shared" si="84"/>
        <v>45438</v>
      </c>
      <c r="G406" s="13">
        <f t="shared" si="85"/>
        <v>25</v>
      </c>
      <c r="H406" t="s">
        <v>649</v>
      </c>
      <c r="I406" t="s">
        <v>656</v>
      </c>
      <c r="J406" t="s">
        <v>671</v>
      </c>
      <c r="K406" t="s">
        <v>703</v>
      </c>
      <c r="L406" t="s">
        <v>707</v>
      </c>
      <c r="M406" t="s">
        <v>717</v>
      </c>
      <c r="N406" t="s">
        <v>729</v>
      </c>
      <c r="O406" t="s">
        <v>1251</v>
      </c>
      <c r="P406" s="6">
        <v>930.71</v>
      </c>
      <c r="Q406" s="6">
        <v>1625.42</v>
      </c>
      <c r="R406" s="10">
        <v>0.13800000000000001</v>
      </c>
      <c r="S406" s="10" t="b">
        <f t="shared" si="88"/>
        <v>0</v>
      </c>
      <c r="T406" s="8">
        <v>7</v>
      </c>
      <c r="U406">
        <f t="shared" si="89"/>
        <v>9807.7842799999999</v>
      </c>
      <c r="V406">
        <f t="shared" si="90"/>
        <v>6514.97</v>
      </c>
      <c r="W406">
        <f t="shared" si="91"/>
        <v>3292.8142799999996</v>
      </c>
      <c r="X406" s="10">
        <f t="shared" si="92"/>
        <v>0.33573477821231196</v>
      </c>
      <c r="Y406" t="str">
        <f t="shared" si="93"/>
        <v>Medium</v>
      </c>
      <c r="Z406" t="str">
        <f t="shared" si="94"/>
        <v>Not Met</v>
      </c>
      <c r="AA406" t="str">
        <f t="shared" si="95"/>
        <v>Low Discount</v>
      </c>
      <c r="AB406" s="10">
        <f>MIN(R406,ControlPanel!$B$5)</f>
        <v>0.13800000000000001</v>
      </c>
      <c r="AC406">
        <f>P406*(1+ControlPanel!$B$6)</f>
        <v>977.24550000000011</v>
      </c>
      <c r="AD406">
        <f>T406*(1+ControlPanel!$B$7)</f>
        <v>7.7000000000000011</v>
      </c>
      <c r="AE406" s="6">
        <f t="shared" si="96"/>
        <v>10788.562708000001</v>
      </c>
      <c r="AF406">
        <f t="shared" si="97"/>
        <v>3263.7723579999993</v>
      </c>
    </row>
    <row r="407" spans="1:32" x14ac:dyDescent="0.3">
      <c r="A407" t="s">
        <v>513</v>
      </c>
      <c r="B407" s="4">
        <v>45908</v>
      </c>
      <c r="C407" s="4" t="str">
        <f t="shared" si="86"/>
        <v>Sep-2025</v>
      </c>
      <c r="D407" t="str">
        <f t="shared" si="87"/>
        <v>Q3-2025</v>
      </c>
      <c r="E407" s="4">
        <v>45935</v>
      </c>
      <c r="F407" s="12">
        <f t="shared" si="84"/>
        <v>45935</v>
      </c>
      <c r="G407" s="13">
        <f t="shared" si="85"/>
        <v>27</v>
      </c>
      <c r="H407" t="s">
        <v>648</v>
      </c>
      <c r="I407" t="s">
        <v>655</v>
      </c>
      <c r="J407" t="s">
        <v>692</v>
      </c>
      <c r="K407" t="s">
        <v>702</v>
      </c>
      <c r="L407" t="s">
        <v>708</v>
      </c>
      <c r="M407" t="s">
        <v>712</v>
      </c>
      <c r="N407" t="s">
        <v>732</v>
      </c>
      <c r="O407" t="s">
        <v>1232</v>
      </c>
      <c r="P407" s="6">
        <v>660.78</v>
      </c>
      <c r="Q407" s="6">
        <v>1630.39</v>
      </c>
      <c r="R407" s="10">
        <v>0.218</v>
      </c>
      <c r="S407" s="10" t="b">
        <f t="shared" si="88"/>
        <v>0</v>
      </c>
      <c r="T407" s="8">
        <v>13</v>
      </c>
      <c r="U407">
        <f t="shared" si="89"/>
        <v>16574.544740000001</v>
      </c>
      <c r="V407">
        <f t="shared" si="90"/>
        <v>8590.14</v>
      </c>
      <c r="W407">
        <f t="shared" si="91"/>
        <v>7984.4047400000018</v>
      </c>
      <c r="X407" s="10">
        <f t="shared" si="92"/>
        <v>0.48172694123724097</v>
      </c>
      <c r="Y407" t="str">
        <f t="shared" si="93"/>
        <v>Medium</v>
      </c>
      <c r="Z407" t="str">
        <f t="shared" si="94"/>
        <v>Not Met</v>
      </c>
      <c r="AA407" t="str">
        <f t="shared" si="95"/>
        <v>High Discount</v>
      </c>
      <c r="AB407" s="10">
        <f>MIN(R407,ControlPanel!$B$5)</f>
        <v>0.2</v>
      </c>
      <c r="AC407">
        <f>P407*(1+ControlPanel!$B$6)</f>
        <v>693.81899999999996</v>
      </c>
      <c r="AD407">
        <f>T407*(1+ControlPanel!$B$7)</f>
        <v>14.3</v>
      </c>
      <c r="AE407" s="6">
        <f t="shared" si="96"/>
        <v>18651.661600000003</v>
      </c>
      <c r="AF407">
        <f t="shared" si="97"/>
        <v>8730.0499000000036</v>
      </c>
    </row>
    <row r="408" spans="1:32" x14ac:dyDescent="0.3">
      <c r="A408" t="s">
        <v>151</v>
      </c>
      <c r="B408" s="4">
        <v>45640</v>
      </c>
      <c r="C408" s="4" t="str">
        <f t="shared" si="86"/>
        <v>Dec-2024</v>
      </c>
      <c r="D408" t="str">
        <f t="shared" si="87"/>
        <v>Q4-2024</v>
      </c>
      <c r="E408" s="4">
        <v>45669</v>
      </c>
      <c r="F408" s="12">
        <f t="shared" si="84"/>
        <v>45669</v>
      </c>
      <c r="G408" s="13">
        <f t="shared" si="85"/>
        <v>29</v>
      </c>
      <c r="H408" t="s">
        <v>647</v>
      </c>
      <c r="I408" t="s">
        <v>659</v>
      </c>
      <c r="J408" t="s">
        <v>676</v>
      </c>
      <c r="K408" t="s">
        <v>702</v>
      </c>
      <c r="L408" t="s">
        <v>708</v>
      </c>
      <c r="M408" t="s">
        <v>713</v>
      </c>
      <c r="N408" t="s">
        <v>727</v>
      </c>
      <c r="O408" t="s">
        <v>870</v>
      </c>
      <c r="P408" s="6">
        <v>1412.15</v>
      </c>
      <c r="Q408" s="6">
        <v>1631.04</v>
      </c>
      <c r="R408" s="10">
        <v>8.9999999999999993E-3</v>
      </c>
      <c r="S408" s="10" t="b">
        <f t="shared" si="88"/>
        <v>0</v>
      </c>
      <c r="T408" s="8">
        <v>6</v>
      </c>
      <c r="U408">
        <f t="shared" si="89"/>
        <v>9698.1638399999993</v>
      </c>
      <c r="V408">
        <f t="shared" si="90"/>
        <v>8472.9000000000015</v>
      </c>
      <c r="W408">
        <f t="shared" si="91"/>
        <v>1225.2638399999978</v>
      </c>
      <c r="X408" s="10">
        <f t="shared" si="92"/>
        <v>0.12633977526203535</v>
      </c>
      <c r="Y408" t="str">
        <f t="shared" si="93"/>
        <v>Medium</v>
      </c>
      <c r="Z408" t="str">
        <f t="shared" si="94"/>
        <v>Not Met</v>
      </c>
      <c r="AA408" t="str">
        <f t="shared" si="95"/>
        <v>Low Discount</v>
      </c>
      <c r="AB408" s="10">
        <f>MIN(R408,ControlPanel!$B$5)</f>
        <v>8.9999999999999993E-3</v>
      </c>
      <c r="AC408">
        <f>P408*(1+ControlPanel!$B$6)</f>
        <v>1482.7575000000002</v>
      </c>
      <c r="AD408">
        <f>T408*(1+ControlPanel!$B$7)</f>
        <v>6.6000000000000005</v>
      </c>
      <c r="AE408" s="6">
        <f t="shared" si="96"/>
        <v>10667.980224000001</v>
      </c>
      <c r="AF408">
        <f t="shared" si="97"/>
        <v>881.78072399999837</v>
      </c>
    </row>
    <row r="409" spans="1:32" x14ac:dyDescent="0.3">
      <c r="A409" t="s">
        <v>354</v>
      </c>
      <c r="B409" s="4">
        <v>45131</v>
      </c>
      <c r="C409" s="4" t="str">
        <f t="shared" si="86"/>
        <v>Jul-2023</v>
      </c>
      <c r="D409" t="str">
        <f t="shared" si="87"/>
        <v>Q3-2023</v>
      </c>
      <c r="E409" s="4">
        <v>45157</v>
      </c>
      <c r="F409" s="12">
        <f t="shared" si="84"/>
        <v>45157</v>
      </c>
      <c r="G409" s="13">
        <f t="shared" si="85"/>
        <v>26</v>
      </c>
      <c r="H409" t="s">
        <v>646</v>
      </c>
      <c r="I409" t="s">
        <v>650</v>
      </c>
      <c r="J409" t="s">
        <v>664</v>
      </c>
      <c r="K409" t="s">
        <v>706</v>
      </c>
      <c r="L409" t="s">
        <v>710</v>
      </c>
      <c r="M409" t="s">
        <v>724</v>
      </c>
      <c r="N409" t="s">
        <v>733</v>
      </c>
      <c r="O409" t="s">
        <v>1074</v>
      </c>
      <c r="P409" s="6">
        <v>661.45</v>
      </c>
      <c r="Q409" s="6">
        <v>1634.86</v>
      </c>
      <c r="R409" s="10">
        <v>0</v>
      </c>
      <c r="S409" s="10" t="b">
        <f t="shared" si="88"/>
        <v>0</v>
      </c>
      <c r="T409" s="8">
        <v>24</v>
      </c>
      <c r="U409">
        <f t="shared" si="89"/>
        <v>39236.639999999999</v>
      </c>
      <c r="V409">
        <f t="shared" si="90"/>
        <v>15874.800000000001</v>
      </c>
      <c r="W409">
        <f t="shared" si="91"/>
        <v>23361.839999999997</v>
      </c>
      <c r="X409" s="10">
        <f t="shared" si="92"/>
        <v>0.59540878118003981</v>
      </c>
      <c r="Y409" t="str">
        <f t="shared" si="93"/>
        <v>Medium</v>
      </c>
      <c r="Z409" t="str">
        <f t="shared" si="94"/>
        <v>Not Met</v>
      </c>
      <c r="AA409" t="str">
        <f t="shared" si="95"/>
        <v>Low Discount</v>
      </c>
      <c r="AB409" s="10">
        <f>MIN(R409,ControlPanel!$B$5)</f>
        <v>0</v>
      </c>
      <c r="AC409">
        <f>P409*(1+ControlPanel!$B$6)</f>
        <v>694.52250000000004</v>
      </c>
      <c r="AD409">
        <f>T409*(1+ControlPanel!$B$7)</f>
        <v>26.400000000000002</v>
      </c>
      <c r="AE409" s="6">
        <f t="shared" si="96"/>
        <v>43160.304000000004</v>
      </c>
      <c r="AF409">
        <f t="shared" si="97"/>
        <v>24824.91</v>
      </c>
    </row>
    <row r="410" spans="1:32" x14ac:dyDescent="0.3">
      <c r="A410" t="s">
        <v>413</v>
      </c>
      <c r="B410" s="4">
        <v>45541</v>
      </c>
      <c r="C410" s="4" t="str">
        <f t="shared" si="86"/>
        <v>Sep-2024</v>
      </c>
      <c r="D410" t="str">
        <f t="shared" si="87"/>
        <v>Q3-2024</v>
      </c>
      <c r="E410" s="4">
        <v>45569</v>
      </c>
      <c r="F410" s="12">
        <f t="shared" si="84"/>
        <v>45569</v>
      </c>
      <c r="G410" s="13">
        <f t="shared" si="85"/>
        <v>28</v>
      </c>
      <c r="H410" t="s">
        <v>646</v>
      </c>
      <c r="I410" t="s">
        <v>661</v>
      </c>
      <c r="J410" t="s">
        <v>695</v>
      </c>
      <c r="K410" t="s">
        <v>701</v>
      </c>
      <c r="L410" t="s">
        <v>709</v>
      </c>
      <c r="M410" t="s">
        <v>726</v>
      </c>
      <c r="N410" t="s">
        <v>732</v>
      </c>
      <c r="O410" t="s">
        <v>1132</v>
      </c>
      <c r="P410" s="6">
        <v>1174.17</v>
      </c>
      <c r="Q410" s="6">
        <v>1641.61</v>
      </c>
      <c r="R410" s="10">
        <v>0.122</v>
      </c>
      <c r="S410" s="10" t="b">
        <f t="shared" si="88"/>
        <v>0</v>
      </c>
      <c r="T410" s="8">
        <v>9</v>
      </c>
      <c r="U410">
        <f t="shared" si="89"/>
        <v>12972.00222</v>
      </c>
      <c r="V410">
        <f t="shared" si="90"/>
        <v>10567.53</v>
      </c>
      <c r="W410">
        <f t="shared" si="91"/>
        <v>2404.4722199999997</v>
      </c>
      <c r="X410" s="10">
        <f t="shared" si="92"/>
        <v>0.18535860380079394</v>
      </c>
      <c r="Y410" t="str">
        <f t="shared" si="93"/>
        <v>High</v>
      </c>
      <c r="Z410" t="str">
        <f t="shared" si="94"/>
        <v>Not Met</v>
      </c>
      <c r="AA410" t="str">
        <f t="shared" si="95"/>
        <v>Low Discount</v>
      </c>
      <c r="AB410" s="10">
        <f>MIN(R410,ControlPanel!$B$5)</f>
        <v>0.122</v>
      </c>
      <c r="AC410">
        <f>P410*(1+ControlPanel!$B$6)</f>
        <v>1232.8785</v>
      </c>
      <c r="AD410">
        <f>T410*(1+ControlPanel!$B$7)</f>
        <v>9.9</v>
      </c>
      <c r="AE410" s="6">
        <f t="shared" si="96"/>
        <v>14269.202442</v>
      </c>
      <c r="AF410">
        <f t="shared" si="97"/>
        <v>2063.7052919999987</v>
      </c>
    </row>
    <row r="411" spans="1:32" x14ac:dyDescent="0.3">
      <c r="A411" t="s">
        <v>157</v>
      </c>
      <c r="B411" s="4">
        <v>45133</v>
      </c>
      <c r="C411" s="4" t="str">
        <f t="shared" si="86"/>
        <v>Jul-2023</v>
      </c>
      <c r="D411" t="str">
        <f t="shared" si="87"/>
        <v>Q3-2023</v>
      </c>
      <c r="E411" s="4">
        <v>45163</v>
      </c>
      <c r="F411" s="12">
        <f t="shared" si="84"/>
        <v>45163</v>
      </c>
      <c r="G411" s="13">
        <f t="shared" si="85"/>
        <v>30</v>
      </c>
      <c r="H411" t="s">
        <v>648</v>
      </c>
      <c r="I411" t="s">
        <v>660</v>
      </c>
      <c r="J411" t="s">
        <v>700</v>
      </c>
      <c r="K411" t="s">
        <v>704</v>
      </c>
      <c r="L411" t="s">
        <v>707</v>
      </c>
      <c r="M411" t="s">
        <v>724</v>
      </c>
      <c r="N411" t="s">
        <v>733</v>
      </c>
      <c r="O411" t="s">
        <v>876</v>
      </c>
      <c r="P411" s="6">
        <v>1261.48</v>
      </c>
      <c r="Q411" s="6">
        <v>1643.18</v>
      </c>
      <c r="R411" s="10">
        <v>0.151</v>
      </c>
      <c r="S411" s="10" t="b">
        <f t="shared" si="88"/>
        <v>0</v>
      </c>
      <c r="T411" s="8">
        <v>23</v>
      </c>
      <c r="U411">
        <f t="shared" si="89"/>
        <v>32086.37586</v>
      </c>
      <c r="V411">
        <f t="shared" si="90"/>
        <v>29014.04</v>
      </c>
      <c r="W411">
        <f t="shared" si="91"/>
        <v>3072.3358599999992</v>
      </c>
      <c r="X411" s="10">
        <f t="shared" si="92"/>
        <v>9.5752037357079045E-2</v>
      </c>
      <c r="Y411" t="str">
        <f t="shared" si="93"/>
        <v>High</v>
      </c>
      <c r="Z411" t="str">
        <f t="shared" si="94"/>
        <v>Not Met</v>
      </c>
      <c r="AA411" t="str">
        <f t="shared" si="95"/>
        <v>Low Discount</v>
      </c>
      <c r="AB411" s="10">
        <f>MIN(R411,ControlPanel!$B$5)</f>
        <v>0.151</v>
      </c>
      <c r="AC411">
        <f>P411*(1+ControlPanel!$B$6)</f>
        <v>1324.5540000000001</v>
      </c>
      <c r="AD411">
        <f>T411*(1+ControlPanel!$B$7)</f>
        <v>25.3</v>
      </c>
      <c r="AE411" s="6">
        <f t="shared" si="96"/>
        <v>35295.013445999997</v>
      </c>
      <c r="AF411">
        <f t="shared" si="97"/>
        <v>1783.7972459999946</v>
      </c>
    </row>
    <row r="412" spans="1:32" x14ac:dyDescent="0.3">
      <c r="A412" t="s">
        <v>577</v>
      </c>
      <c r="B412" s="4">
        <v>45029</v>
      </c>
      <c r="C412" s="4" t="str">
        <f t="shared" si="86"/>
        <v>Apr-2023</v>
      </c>
      <c r="D412" t="str">
        <f t="shared" si="87"/>
        <v>Q2-2023</v>
      </c>
      <c r="E412" s="4">
        <v>45048</v>
      </c>
      <c r="F412" s="12">
        <f t="shared" si="84"/>
        <v>45048</v>
      </c>
      <c r="G412" s="13">
        <f t="shared" si="85"/>
        <v>19</v>
      </c>
      <c r="H412" t="s">
        <v>648</v>
      </c>
      <c r="I412" t="s">
        <v>653</v>
      </c>
      <c r="J412" t="s">
        <v>681</v>
      </c>
      <c r="K412" t="s">
        <v>704</v>
      </c>
      <c r="L412" t="s">
        <v>710</v>
      </c>
      <c r="M412" t="s">
        <v>718</v>
      </c>
      <c r="N412" t="s">
        <v>732</v>
      </c>
      <c r="O412" t="s">
        <v>1295</v>
      </c>
      <c r="P412" s="6">
        <v>671.05</v>
      </c>
      <c r="Q412" s="6">
        <v>1645.48</v>
      </c>
      <c r="R412" s="10">
        <v>0.13700000000000001</v>
      </c>
      <c r="S412" s="10" t="b">
        <f t="shared" si="88"/>
        <v>0</v>
      </c>
      <c r="T412" s="8">
        <v>6</v>
      </c>
      <c r="U412">
        <f t="shared" si="89"/>
        <v>8520.2954399999999</v>
      </c>
      <c r="V412">
        <f t="shared" si="90"/>
        <v>4026.2999999999997</v>
      </c>
      <c r="W412">
        <f t="shared" si="91"/>
        <v>4493.9954400000006</v>
      </c>
      <c r="X412" s="10">
        <f t="shared" si="92"/>
        <v>0.52744596377517172</v>
      </c>
      <c r="Y412" t="str">
        <f t="shared" si="93"/>
        <v>High</v>
      </c>
      <c r="Z412" t="str">
        <f t="shared" si="94"/>
        <v>Not Met</v>
      </c>
      <c r="AA412" t="str">
        <f t="shared" si="95"/>
        <v>Low Discount</v>
      </c>
      <c r="AB412" s="10">
        <f>MIN(R412,ControlPanel!$B$5)</f>
        <v>0.13700000000000001</v>
      </c>
      <c r="AC412">
        <f>P412*(1+ControlPanel!$B$6)</f>
        <v>704.60249999999996</v>
      </c>
      <c r="AD412">
        <f>T412*(1+ControlPanel!$B$7)</f>
        <v>6.6000000000000005</v>
      </c>
      <c r="AE412" s="6">
        <f t="shared" si="96"/>
        <v>9372.3249840000008</v>
      </c>
      <c r="AF412">
        <f t="shared" si="97"/>
        <v>4721.9484840000005</v>
      </c>
    </row>
    <row r="413" spans="1:32" x14ac:dyDescent="0.3">
      <c r="A413" t="s">
        <v>374</v>
      </c>
      <c r="B413" s="4">
        <v>45466</v>
      </c>
      <c r="C413" s="4" t="str">
        <f t="shared" si="86"/>
        <v>Jun-2024</v>
      </c>
      <c r="D413" t="str">
        <f t="shared" si="87"/>
        <v>Q2-2024</v>
      </c>
      <c r="E413" s="4">
        <v>45468</v>
      </c>
      <c r="F413" s="12">
        <f t="shared" si="84"/>
        <v>45468</v>
      </c>
      <c r="G413" s="13">
        <f t="shared" si="85"/>
        <v>2</v>
      </c>
      <c r="H413" t="s">
        <v>649</v>
      </c>
      <c r="I413" t="s">
        <v>658</v>
      </c>
      <c r="J413" t="s">
        <v>674</v>
      </c>
      <c r="K413" t="s">
        <v>705</v>
      </c>
      <c r="L413" t="s">
        <v>709</v>
      </c>
      <c r="M413" t="s">
        <v>716</v>
      </c>
      <c r="N413" t="s">
        <v>733</v>
      </c>
      <c r="O413" t="s">
        <v>1094</v>
      </c>
      <c r="P413" s="6">
        <v>951.44</v>
      </c>
      <c r="Q413" s="6">
        <v>1646.43</v>
      </c>
      <c r="R413" s="10">
        <v>0.11</v>
      </c>
      <c r="S413" s="10" t="b">
        <f t="shared" si="88"/>
        <v>0</v>
      </c>
      <c r="T413" s="8">
        <v>24</v>
      </c>
      <c r="U413">
        <f t="shared" si="89"/>
        <v>35167.7448</v>
      </c>
      <c r="V413">
        <f t="shared" si="90"/>
        <v>22834.560000000001</v>
      </c>
      <c r="W413">
        <f t="shared" si="91"/>
        <v>12333.184799999999</v>
      </c>
      <c r="X413" s="10">
        <f t="shared" si="92"/>
        <v>0.35069592520473475</v>
      </c>
      <c r="Y413" t="str">
        <f t="shared" si="93"/>
        <v>High</v>
      </c>
      <c r="Z413" t="str">
        <f t="shared" si="94"/>
        <v>Met</v>
      </c>
      <c r="AA413" t="str">
        <f t="shared" si="95"/>
        <v>Low Discount</v>
      </c>
      <c r="AB413" s="10">
        <f>MIN(R413,ControlPanel!$B$5)</f>
        <v>0.11</v>
      </c>
      <c r="AC413">
        <f>P413*(1+ControlPanel!$B$6)</f>
        <v>999.01200000000006</v>
      </c>
      <c r="AD413">
        <f>T413*(1+ControlPanel!$B$7)</f>
        <v>26.400000000000002</v>
      </c>
      <c r="AE413" s="6">
        <f t="shared" si="96"/>
        <v>38684.519280000008</v>
      </c>
      <c r="AF413">
        <f t="shared" si="97"/>
        <v>12310.602480000005</v>
      </c>
    </row>
    <row r="414" spans="1:32" x14ac:dyDescent="0.3">
      <c r="A414" t="s">
        <v>289</v>
      </c>
      <c r="B414" s="4">
        <v>45316</v>
      </c>
      <c r="C414" s="4" t="str">
        <f t="shared" si="86"/>
        <v>Jan-2024</v>
      </c>
      <c r="D414" t="str">
        <f t="shared" si="87"/>
        <v>Q1-2024</v>
      </c>
      <c r="E414" s="4">
        <v>45318</v>
      </c>
      <c r="F414" s="12">
        <f t="shared" si="84"/>
        <v>45318</v>
      </c>
      <c r="G414" s="13">
        <f t="shared" si="85"/>
        <v>2</v>
      </c>
      <c r="H414" t="s">
        <v>648</v>
      </c>
      <c r="I414" t="s">
        <v>655</v>
      </c>
      <c r="J414" t="s">
        <v>670</v>
      </c>
      <c r="K414" t="s">
        <v>703</v>
      </c>
      <c r="L414" t="s">
        <v>709</v>
      </c>
      <c r="M414" t="s">
        <v>725</v>
      </c>
      <c r="N414" t="s">
        <v>731</v>
      </c>
      <c r="O414" t="s">
        <v>1009</v>
      </c>
      <c r="P414" s="6">
        <v>1410.97</v>
      </c>
      <c r="Q414" s="6">
        <v>1650.75</v>
      </c>
      <c r="R414" s="10">
        <v>0.13500000000000001</v>
      </c>
      <c r="S414" s="10" t="b">
        <f t="shared" si="88"/>
        <v>0</v>
      </c>
      <c r="T414" s="8">
        <v>6</v>
      </c>
      <c r="U414">
        <f t="shared" si="89"/>
        <v>8567.3924999999999</v>
      </c>
      <c r="V414">
        <f t="shared" si="90"/>
        <v>8465.82</v>
      </c>
      <c r="W414">
        <f t="shared" si="91"/>
        <v>101.57250000000022</v>
      </c>
      <c r="X414" s="10">
        <f t="shared" si="92"/>
        <v>1.1855707556295596E-2</v>
      </c>
      <c r="Y414" t="str">
        <f t="shared" si="93"/>
        <v>High</v>
      </c>
      <c r="Z414" t="str">
        <f t="shared" si="94"/>
        <v>Met</v>
      </c>
      <c r="AA414" t="str">
        <f t="shared" si="95"/>
        <v>Low Discount</v>
      </c>
      <c r="AB414" s="10">
        <f>MIN(R414,ControlPanel!$B$5)</f>
        <v>0.13500000000000001</v>
      </c>
      <c r="AC414">
        <f>P414*(1+ControlPanel!$B$6)</f>
        <v>1481.5185000000001</v>
      </c>
      <c r="AD414">
        <f>T414*(1+ControlPanel!$B$7)</f>
        <v>6.6000000000000005</v>
      </c>
      <c r="AE414" s="6">
        <f t="shared" si="96"/>
        <v>9424.1317500000005</v>
      </c>
      <c r="AF414">
        <f t="shared" si="97"/>
        <v>-353.89035000000149</v>
      </c>
    </row>
    <row r="415" spans="1:32" x14ac:dyDescent="0.3">
      <c r="A415" t="s">
        <v>172</v>
      </c>
      <c r="B415" s="4">
        <v>45531</v>
      </c>
      <c r="C415" s="4" t="str">
        <f t="shared" si="86"/>
        <v>Aug-2024</v>
      </c>
      <c r="D415" t="str">
        <f t="shared" si="87"/>
        <v>Q3-2024</v>
      </c>
      <c r="E415" s="4">
        <v>45553</v>
      </c>
      <c r="F415" s="12">
        <f t="shared" si="84"/>
        <v>45553</v>
      </c>
      <c r="G415" s="13">
        <f t="shared" si="85"/>
        <v>22</v>
      </c>
      <c r="H415" t="s">
        <v>647</v>
      </c>
      <c r="I415" t="s">
        <v>654</v>
      </c>
      <c r="J415" t="s">
        <v>680</v>
      </c>
      <c r="K415" t="s">
        <v>704</v>
      </c>
      <c r="L415" t="s">
        <v>711</v>
      </c>
      <c r="M415" t="s">
        <v>717</v>
      </c>
      <c r="N415" t="s">
        <v>727</v>
      </c>
      <c r="O415" t="s">
        <v>891</v>
      </c>
      <c r="P415" s="6">
        <v>896.75</v>
      </c>
      <c r="Q415" s="6">
        <v>1651.14</v>
      </c>
      <c r="R415" s="10">
        <v>2.5000000000000001E-2</v>
      </c>
      <c r="S415" s="10" t="b">
        <f t="shared" si="88"/>
        <v>0</v>
      </c>
      <c r="T415" s="8">
        <v>15</v>
      </c>
      <c r="U415">
        <f t="shared" si="89"/>
        <v>24147.922500000001</v>
      </c>
      <c r="V415">
        <f t="shared" si="90"/>
        <v>13451.25</v>
      </c>
      <c r="W415">
        <f t="shared" si="91"/>
        <v>10696.672500000001</v>
      </c>
      <c r="X415" s="10">
        <f t="shared" si="92"/>
        <v>0.44296450346815552</v>
      </c>
      <c r="Y415" t="str">
        <f t="shared" si="93"/>
        <v>High</v>
      </c>
      <c r="Z415" t="str">
        <f t="shared" si="94"/>
        <v>Not Met</v>
      </c>
      <c r="AA415" t="str">
        <f t="shared" si="95"/>
        <v>Low Discount</v>
      </c>
      <c r="AB415" s="10">
        <f>MIN(R415,ControlPanel!$B$5)</f>
        <v>2.5000000000000001E-2</v>
      </c>
      <c r="AC415">
        <f>P415*(1+ControlPanel!$B$6)</f>
        <v>941.58750000000009</v>
      </c>
      <c r="AD415">
        <f>T415*(1+ControlPanel!$B$7)</f>
        <v>16.5</v>
      </c>
      <c r="AE415" s="6">
        <f t="shared" si="96"/>
        <v>26562.714749999999</v>
      </c>
      <c r="AF415">
        <f t="shared" si="97"/>
        <v>11026.520999999997</v>
      </c>
    </row>
    <row r="416" spans="1:32" x14ac:dyDescent="0.3">
      <c r="A416" t="s">
        <v>263</v>
      </c>
      <c r="B416" s="4">
        <v>45912</v>
      </c>
      <c r="C416" s="4" t="str">
        <f t="shared" si="86"/>
        <v>Sep-2025</v>
      </c>
      <c r="D416" t="str">
        <f t="shared" si="87"/>
        <v>Q3-2025</v>
      </c>
      <c r="E416" s="4">
        <v>45930</v>
      </c>
      <c r="F416" s="12">
        <f t="shared" si="84"/>
        <v>45930</v>
      </c>
      <c r="G416" s="13">
        <f t="shared" si="85"/>
        <v>18</v>
      </c>
      <c r="H416" t="s">
        <v>647</v>
      </c>
      <c r="I416" t="s">
        <v>652</v>
      </c>
      <c r="J416" t="s">
        <v>694</v>
      </c>
      <c r="K416" t="s">
        <v>703</v>
      </c>
      <c r="L416" t="s">
        <v>709</v>
      </c>
      <c r="M416" t="s">
        <v>721</v>
      </c>
      <c r="N416" t="s">
        <v>732</v>
      </c>
      <c r="O416" t="s">
        <v>983</v>
      </c>
      <c r="P416" s="6">
        <v>1212.99</v>
      </c>
      <c r="Q416" s="6">
        <v>1653.64</v>
      </c>
      <c r="R416" s="10">
        <v>0.107</v>
      </c>
      <c r="S416" s="10" t="b">
        <f t="shared" si="88"/>
        <v>0</v>
      </c>
      <c r="T416" s="8">
        <v>8</v>
      </c>
      <c r="U416">
        <f t="shared" si="89"/>
        <v>11813.604160000001</v>
      </c>
      <c r="V416">
        <f t="shared" si="90"/>
        <v>9703.92</v>
      </c>
      <c r="W416">
        <f t="shared" si="91"/>
        <v>2109.6841600000007</v>
      </c>
      <c r="X416" s="10">
        <f t="shared" si="92"/>
        <v>0.17858090819931455</v>
      </c>
      <c r="Y416" t="str">
        <f t="shared" si="93"/>
        <v>High</v>
      </c>
      <c r="Z416" t="str">
        <f t="shared" si="94"/>
        <v>Not Met</v>
      </c>
      <c r="AA416" t="str">
        <f t="shared" si="95"/>
        <v>Low Discount</v>
      </c>
      <c r="AB416" s="10">
        <f>MIN(R416,ControlPanel!$B$5)</f>
        <v>0.107</v>
      </c>
      <c r="AC416">
        <f>P416*(1+ControlPanel!$B$6)</f>
        <v>1273.6395</v>
      </c>
      <c r="AD416">
        <f>T416*(1+ControlPanel!$B$7)</f>
        <v>8.8000000000000007</v>
      </c>
      <c r="AE416" s="6">
        <f t="shared" si="96"/>
        <v>12994.964576000002</v>
      </c>
      <c r="AF416">
        <f t="shared" si="97"/>
        <v>1786.9369760000009</v>
      </c>
    </row>
    <row r="417" spans="1:32" x14ac:dyDescent="0.3">
      <c r="A417" t="s">
        <v>573</v>
      </c>
      <c r="B417" s="4">
        <v>45430</v>
      </c>
      <c r="C417" s="4" t="str">
        <f t="shared" si="86"/>
        <v>May-2024</v>
      </c>
      <c r="D417" t="str">
        <f t="shared" si="87"/>
        <v>Q2-2024</v>
      </c>
      <c r="E417" s="4">
        <v>45434</v>
      </c>
      <c r="F417" s="12">
        <f t="shared" si="84"/>
        <v>45434</v>
      </c>
      <c r="G417" s="13">
        <f t="shared" si="85"/>
        <v>4</v>
      </c>
      <c r="H417" t="s">
        <v>646</v>
      </c>
      <c r="I417" t="s">
        <v>650</v>
      </c>
      <c r="J417" t="s">
        <v>664</v>
      </c>
      <c r="K417" t="s">
        <v>701</v>
      </c>
      <c r="L417" t="s">
        <v>711</v>
      </c>
      <c r="M417" t="s">
        <v>722</v>
      </c>
      <c r="N417" t="s">
        <v>733</v>
      </c>
      <c r="O417" t="s">
        <v>1291</v>
      </c>
      <c r="P417" s="6">
        <v>857.42</v>
      </c>
      <c r="Q417" s="6">
        <v>1658.92</v>
      </c>
      <c r="R417" s="10">
        <v>0.122</v>
      </c>
      <c r="S417" s="10" t="b">
        <f t="shared" si="88"/>
        <v>0</v>
      </c>
      <c r="T417" s="8">
        <v>9</v>
      </c>
      <c r="U417">
        <f t="shared" si="89"/>
        <v>13108.78584</v>
      </c>
      <c r="V417">
        <f t="shared" si="90"/>
        <v>7716.78</v>
      </c>
      <c r="W417">
        <f t="shared" si="91"/>
        <v>5392.0058400000007</v>
      </c>
      <c r="X417" s="10">
        <f t="shared" si="92"/>
        <v>0.41132763215544305</v>
      </c>
      <c r="Y417" t="str">
        <f t="shared" si="93"/>
        <v>High</v>
      </c>
      <c r="Z417" t="str">
        <f t="shared" si="94"/>
        <v>Met</v>
      </c>
      <c r="AA417" t="str">
        <f t="shared" si="95"/>
        <v>Low Discount</v>
      </c>
      <c r="AB417" s="10">
        <f>MIN(R417,ControlPanel!$B$5)</f>
        <v>0.122</v>
      </c>
      <c r="AC417">
        <f>P417*(1+ControlPanel!$B$6)</f>
        <v>900.29099999999994</v>
      </c>
      <c r="AD417">
        <f>T417*(1+ControlPanel!$B$7)</f>
        <v>9.9</v>
      </c>
      <c r="AE417" s="6">
        <f t="shared" si="96"/>
        <v>14419.664424000001</v>
      </c>
      <c r="AF417">
        <f t="shared" si="97"/>
        <v>5506.7835240000004</v>
      </c>
    </row>
    <row r="418" spans="1:32" x14ac:dyDescent="0.3">
      <c r="A418" t="s">
        <v>44</v>
      </c>
      <c r="B418" s="4">
        <v>45754</v>
      </c>
      <c r="C418" s="4" t="str">
        <f t="shared" si="86"/>
        <v>Apr-2025</v>
      </c>
      <c r="D418" t="str">
        <f t="shared" si="87"/>
        <v>Q2-2025</v>
      </c>
      <c r="E418" s="4">
        <v>45758</v>
      </c>
      <c r="F418" s="12">
        <f t="shared" si="84"/>
        <v>45758</v>
      </c>
      <c r="G418" s="13">
        <f t="shared" si="85"/>
        <v>4</v>
      </c>
      <c r="H418" t="s">
        <v>649</v>
      </c>
      <c r="I418" t="s">
        <v>657</v>
      </c>
      <c r="J418" t="s">
        <v>679</v>
      </c>
      <c r="K418" t="s">
        <v>702</v>
      </c>
      <c r="L418" t="s">
        <v>707</v>
      </c>
      <c r="M418" t="s">
        <v>718</v>
      </c>
      <c r="N418" t="s">
        <v>729</v>
      </c>
      <c r="O418" t="s">
        <v>763</v>
      </c>
      <c r="P418" s="6">
        <v>754.77</v>
      </c>
      <c r="Q418" s="6">
        <v>1666.18</v>
      </c>
      <c r="R418" s="10">
        <v>0.13900000000000001</v>
      </c>
      <c r="S418" s="10" t="b">
        <f t="shared" si="88"/>
        <v>0</v>
      </c>
      <c r="T418" s="8">
        <v>14</v>
      </c>
      <c r="U418">
        <f t="shared" si="89"/>
        <v>20084.133719999998</v>
      </c>
      <c r="V418">
        <f t="shared" si="90"/>
        <v>10566.779999999999</v>
      </c>
      <c r="W418">
        <f t="shared" si="91"/>
        <v>9517.3537199999992</v>
      </c>
      <c r="X418" s="10">
        <f t="shared" si="92"/>
        <v>0.47387424584424648</v>
      </c>
      <c r="Y418" t="str">
        <f t="shared" si="93"/>
        <v>High</v>
      </c>
      <c r="Z418" t="str">
        <f t="shared" si="94"/>
        <v>Met</v>
      </c>
      <c r="AA418" t="str">
        <f t="shared" si="95"/>
        <v>Low Discount</v>
      </c>
      <c r="AB418" s="10">
        <f>MIN(R418,ControlPanel!$B$5)</f>
        <v>0.13900000000000001</v>
      </c>
      <c r="AC418">
        <f>P418*(1+ControlPanel!$B$6)</f>
        <v>792.50850000000003</v>
      </c>
      <c r="AD418">
        <f>T418*(1+ControlPanel!$B$7)</f>
        <v>15.400000000000002</v>
      </c>
      <c r="AE418" s="6">
        <f t="shared" si="96"/>
        <v>22092.547092000001</v>
      </c>
      <c r="AF418">
        <f t="shared" si="97"/>
        <v>9887.9161919999988</v>
      </c>
    </row>
    <row r="419" spans="1:32" x14ac:dyDescent="0.3">
      <c r="A419" t="s">
        <v>269</v>
      </c>
      <c r="B419" s="4">
        <v>45411</v>
      </c>
      <c r="C419" s="4" t="str">
        <f t="shared" si="86"/>
        <v>Apr-2024</v>
      </c>
      <c r="D419" t="str">
        <f t="shared" si="87"/>
        <v>Q2-2024</v>
      </c>
      <c r="E419" s="4">
        <v>45431</v>
      </c>
      <c r="F419" s="12">
        <f t="shared" si="84"/>
        <v>45431</v>
      </c>
      <c r="G419" s="13">
        <f t="shared" si="85"/>
        <v>20</v>
      </c>
      <c r="H419" t="s">
        <v>649</v>
      </c>
      <c r="I419" t="s">
        <v>656</v>
      </c>
      <c r="J419" t="s">
        <v>698</v>
      </c>
      <c r="K419" t="s">
        <v>706</v>
      </c>
      <c r="L419" t="s">
        <v>709</v>
      </c>
      <c r="M419" t="s">
        <v>712</v>
      </c>
      <c r="N419" t="s">
        <v>731</v>
      </c>
      <c r="O419" t="s">
        <v>989</v>
      </c>
      <c r="P419" s="6">
        <v>668.97</v>
      </c>
      <c r="Q419" s="6">
        <v>1667.44</v>
      </c>
      <c r="R419" s="10">
        <v>3.4000000000000002E-2</v>
      </c>
      <c r="S419" s="10" t="b">
        <f t="shared" si="88"/>
        <v>0</v>
      </c>
      <c r="T419" s="8">
        <v>15</v>
      </c>
      <c r="U419">
        <f t="shared" si="89"/>
        <v>24161.205600000001</v>
      </c>
      <c r="V419">
        <f t="shared" si="90"/>
        <v>10034.550000000001</v>
      </c>
      <c r="W419">
        <f t="shared" si="91"/>
        <v>14126.6556</v>
      </c>
      <c r="X419" s="10">
        <f t="shared" si="92"/>
        <v>0.58468339013679016</v>
      </c>
      <c r="Y419" t="str">
        <f t="shared" si="93"/>
        <v>High</v>
      </c>
      <c r="Z419" t="str">
        <f t="shared" si="94"/>
        <v>Not Met</v>
      </c>
      <c r="AA419" t="str">
        <f t="shared" si="95"/>
        <v>Low Discount</v>
      </c>
      <c r="AB419" s="10">
        <f>MIN(R419,ControlPanel!$B$5)</f>
        <v>3.4000000000000002E-2</v>
      </c>
      <c r="AC419">
        <f>P419*(1+ControlPanel!$B$6)</f>
        <v>702.41850000000011</v>
      </c>
      <c r="AD419">
        <f>T419*(1+ControlPanel!$B$7)</f>
        <v>16.5</v>
      </c>
      <c r="AE419" s="6">
        <f t="shared" si="96"/>
        <v>26577.326160000001</v>
      </c>
      <c r="AF419">
        <f t="shared" si="97"/>
        <v>14987.420909999999</v>
      </c>
    </row>
    <row r="420" spans="1:32" x14ac:dyDescent="0.3">
      <c r="A420" t="s">
        <v>516</v>
      </c>
      <c r="B420" s="4">
        <v>44980</v>
      </c>
      <c r="C420" s="4" t="str">
        <f t="shared" si="86"/>
        <v>Feb-2023</v>
      </c>
      <c r="D420" t="str">
        <f t="shared" si="87"/>
        <v>Q1-2023</v>
      </c>
      <c r="E420" s="4">
        <v>45003</v>
      </c>
      <c r="F420" s="12">
        <f t="shared" si="84"/>
        <v>45003</v>
      </c>
      <c r="G420" s="13">
        <f t="shared" si="85"/>
        <v>23</v>
      </c>
      <c r="H420" t="s">
        <v>647</v>
      </c>
      <c r="I420" t="s">
        <v>659</v>
      </c>
      <c r="J420" t="s">
        <v>699</v>
      </c>
      <c r="K420" t="s">
        <v>702</v>
      </c>
      <c r="L420" t="s">
        <v>710</v>
      </c>
      <c r="M420" t="s">
        <v>723</v>
      </c>
      <c r="N420" t="s">
        <v>728</v>
      </c>
      <c r="O420" t="s">
        <v>1235</v>
      </c>
      <c r="P420" s="6">
        <v>770.11</v>
      </c>
      <c r="Q420" s="6">
        <v>1667.82</v>
      </c>
      <c r="R420" s="10">
        <v>6.9000000000000006E-2</v>
      </c>
      <c r="S420" s="10" t="b">
        <f t="shared" si="88"/>
        <v>0</v>
      </c>
      <c r="T420" s="8">
        <v>7</v>
      </c>
      <c r="U420">
        <f t="shared" si="89"/>
        <v>10869.182940000001</v>
      </c>
      <c r="V420">
        <f t="shared" si="90"/>
        <v>5390.77</v>
      </c>
      <c r="W420">
        <f t="shared" si="91"/>
        <v>5478.4129400000002</v>
      </c>
      <c r="X420" s="10">
        <f t="shared" si="92"/>
        <v>0.50403171703355287</v>
      </c>
      <c r="Y420" t="str">
        <f t="shared" si="93"/>
        <v>High</v>
      </c>
      <c r="Z420" t="str">
        <f t="shared" si="94"/>
        <v>Not Met</v>
      </c>
      <c r="AA420" t="str">
        <f t="shared" si="95"/>
        <v>Low Discount</v>
      </c>
      <c r="AB420" s="10">
        <f>MIN(R420,ControlPanel!$B$5)</f>
        <v>6.9000000000000006E-2</v>
      </c>
      <c r="AC420">
        <f>P420*(1+ControlPanel!$B$6)</f>
        <v>808.6155</v>
      </c>
      <c r="AD420">
        <f>T420*(1+ControlPanel!$B$7)</f>
        <v>7.7000000000000011</v>
      </c>
      <c r="AE420" s="6">
        <f t="shared" si="96"/>
        <v>11956.101234000002</v>
      </c>
      <c r="AF420">
        <f t="shared" si="97"/>
        <v>5729.7618840000005</v>
      </c>
    </row>
    <row r="421" spans="1:32" x14ac:dyDescent="0.3">
      <c r="A421" t="s">
        <v>101</v>
      </c>
      <c r="B421" s="4">
        <v>45388</v>
      </c>
      <c r="C421" s="4" t="str">
        <f t="shared" si="86"/>
        <v>Apr-2024</v>
      </c>
      <c r="D421" t="str">
        <f t="shared" si="87"/>
        <v>Q2-2024</v>
      </c>
      <c r="E421" s="4">
        <v>45407</v>
      </c>
      <c r="F421" s="12">
        <f t="shared" si="84"/>
        <v>45407</v>
      </c>
      <c r="G421" s="13">
        <f t="shared" si="85"/>
        <v>19</v>
      </c>
      <c r="H421" t="s">
        <v>647</v>
      </c>
      <c r="I421" t="s">
        <v>659</v>
      </c>
      <c r="J421" t="s">
        <v>685</v>
      </c>
      <c r="K421" t="s">
        <v>701</v>
      </c>
      <c r="L421" t="s">
        <v>707</v>
      </c>
      <c r="M421" t="s">
        <v>723</v>
      </c>
      <c r="N421" t="s">
        <v>727</v>
      </c>
      <c r="O421" t="s">
        <v>820</v>
      </c>
      <c r="P421" s="6">
        <v>1366.48</v>
      </c>
      <c r="Q421" s="6">
        <v>1678.14</v>
      </c>
      <c r="R421" s="10">
        <v>0.154</v>
      </c>
      <c r="S421" s="10" t="b">
        <f t="shared" si="88"/>
        <v>0</v>
      </c>
      <c r="T421" s="8">
        <v>10</v>
      </c>
      <c r="U421">
        <f t="shared" si="89"/>
        <v>14197.064399999999</v>
      </c>
      <c r="V421">
        <f t="shared" si="90"/>
        <v>13664.8</v>
      </c>
      <c r="W421">
        <f t="shared" si="91"/>
        <v>532.26440000000002</v>
      </c>
      <c r="X421" s="10">
        <f t="shared" si="92"/>
        <v>3.7491159087790014E-2</v>
      </c>
      <c r="Y421" t="str">
        <f t="shared" si="93"/>
        <v>High</v>
      </c>
      <c r="Z421" t="str">
        <f t="shared" si="94"/>
        <v>Not Met</v>
      </c>
      <c r="AA421" t="str">
        <f t="shared" si="95"/>
        <v>Low Discount</v>
      </c>
      <c r="AB421" s="10">
        <f>MIN(R421,ControlPanel!$B$5)</f>
        <v>0.154</v>
      </c>
      <c r="AC421">
        <f>P421*(1+ControlPanel!$B$6)</f>
        <v>1434.8040000000001</v>
      </c>
      <c r="AD421">
        <f>T421*(1+ControlPanel!$B$7)</f>
        <v>11</v>
      </c>
      <c r="AE421" s="6">
        <f t="shared" si="96"/>
        <v>15616.770839999999</v>
      </c>
      <c r="AF421">
        <f t="shared" si="97"/>
        <v>-166.07316000000174</v>
      </c>
    </row>
    <row r="422" spans="1:32" x14ac:dyDescent="0.3">
      <c r="A422" t="s">
        <v>137</v>
      </c>
      <c r="B422" s="4">
        <v>45289</v>
      </c>
      <c r="C422" s="4" t="str">
        <f t="shared" si="86"/>
        <v>Dec-2023</v>
      </c>
      <c r="D422" t="str">
        <f t="shared" si="87"/>
        <v>Q4-2023</v>
      </c>
      <c r="E422" s="4">
        <v>45311</v>
      </c>
      <c r="F422" s="12">
        <f t="shared" si="84"/>
        <v>45311</v>
      </c>
      <c r="G422" s="13">
        <f t="shared" si="85"/>
        <v>22</v>
      </c>
      <c r="H422" t="s">
        <v>646</v>
      </c>
      <c r="I422" t="s">
        <v>650</v>
      </c>
      <c r="J422" t="s">
        <v>662</v>
      </c>
      <c r="K422" t="s">
        <v>701</v>
      </c>
      <c r="L422" t="s">
        <v>711</v>
      </c>
      <c r="M422" t="s">
        <v>716</v>
      </c>
      <c r="N422" t="s">
        <v>730</v>
      </c>
      <c r="O422" t="s">
        <v>856</v>
      </c>
      <c r="P422" s="6">
        <v>1395.49</v>
      </c>
      <c r="Q422" s="6">
        <v>1679.42</v>
      </c>
      <c r="R422" s="10">
        <v>0.20300000000000001</v>
      </c>
      <c r="S422" s="10" t="b">
        <f t="shared" si="88"/>
        <v>0</v>
      </c>
      <c r="T422" s="8">
        <v>12</v>
      </c>
      <c r="U422">
        <f t="shared" si="89"/>
        <v>16061.972880000001</v>
      </c>
      <c r="V422">
        <f t="shared" si="90"/>
        <v>16745.88</v>
      </c>
      <c r="W422">
        <f t="shared" si="91"/>
        <v>-683.90711999999985</v>
      </c>
      <c r="X422" s="10">
        <f t="shared" si="92"/>
        <v>-4.2579272490964375E-2</v>
      </c>
      <c r="Y422" t="str">
        <f t="shared" si="93"/>
        <v>High</v>
      </c>
      <c r="Z422" t="str">
        <f t="shared" si="94"/>
        <v>Not Met</v>
      </c>
      <c r="AA422" t="str">
        <f t="shared" si="95"/>
        <v>High Discount</v>
      </c>
      <c r="AB422" s="10">
        <f>MIN(R422,ControlPanel!$B$5)</f>
        <v>0.2</v>
      </c>
      <c r="AC422">
        <f>P422*(1+ControlPanel!$B$6)</f>
        <v>1465.2645</v>
      </c>
      <c r="AD422">
        <f>T422*(1+ControlPanel!$B$7)</f>
        <v>13.200000000000001</v>
      </c>
      <c r="AE422" s="6">
        <f t="shared" si="96"/>
        <v>17734.675200000001</v>
      </c>
      <c r="AF422">
        <f t="shared" si="97"/>
        <v>-1606.8162000000011</v>
      </c>
    </row>
    <row r="423" spans="1:32" x14ac:dyDescent="0.3">
      <c r="A423" t="s">
        <v>407</v>
      </c>
      <c r="B423" s="4">
        <v>45360</v>
      </c>
      <c r="C423" s="4" t="str">
        <f t="shared" si="86"/>
        <v>Mar-2024</v>
      </c>
      <c r="D423" t="str">
        <f t="shared" si="87"/>
        <v>Q1-2024</v>
      </c>
      <c r="E423" s="4">
        <v>45377</v>
      </c>
      <c r="F423" s="12">
        <f t="shared" si="84"/>
        <v>45377</v>
      </c>
      <c r="G423" s="13">
        <f t="shared" si="85"/>
        <v>17</v>
      </c>
      <c r="H423" t="s">
        <v>648</v>
      </c>
      <c r="I423" t="s">
        <v>660</v>
      </c>
      <c r="J423" t="s">
        <v>686</v>
      </c>
      <c r="K423" t="s">
        <v>702</v>
      </c>
      <c r="L423" t="s">
        <v>711</v>
      </c>
      <c r="M423" t="s">
        <v>714</v>
      </c>
      <c r="N423" t="s">
        <v>730</v>
      </c>
      <c r="O423" t="s">
        <v>1126</v>
      </c>
      <c r="P423" s="6">
        <v>1137.4100000000001</v>
      </c>
      <c r="Q423" s="6">
        <v>1680.93</v>
      </c>
      <c r="R423" s="10">
        <v>0.254</v>
      </c>
      <c r="S423" s="10" t="b">
        <f t="shared" si="88"/>
        <v>0</v>
      </c>
      <c r="T423" s="8">
        <v>9</v>
      </c>
      <c r="U423">
        <f t="shared" si="89"/>
        <v>11285.764020000001</v>
      </c>
      <c r="V423">
        <f t="shared" si="90"/>
        <v>10236.69</v>
      </c>
      <c r="W423">
        <f t="shared" si="91"/>
        <v>1049.07402</v>
      </c>
      <c r="X423" s="10">
        <f t="shared" si="92"/>
        <v>9.2955516183121464E-2</v>
      </c>
      <c r="Y423" t="str">
        <f t="shared" si="93"/>
        <v>High</v>
      </c>
      <c r="Z423" t="str">
        <f t="shared" si="94"/>
        <v>Not Met</v>
      </c>
      <c r="AA423" t="str">
        <f t="shared" si="95"/>
        <v>High Discount</v>
      </c>
      <c r="AB423" s="10">
        <f>MIN(R423,ControlPanel!$B$5)</f>
        <v>0.2</v>
      </c>
      <c r="AC423">
        <f>P423*(1+ControlPanel!$B$6)</f>
        <v>1194.2805000000001</v>
      </c>
      <c r="AD423">
        <f>T423*(1+ControlPanel!$B$7)</f>
        <v>9.9</v>
      </c>
      <c r="AE423" s="6">
        <f t="shared" si="96"/>
        <v>13312.965600000001</v>
      </c>
      <c r="AF423">
        <f t="shared" si="97"/>
        <v>1489.5886499999997</v>
      </c>
    </row>
    <row r="424" spans="1:32" x14ac:dyDescent="0.3">
      <c r="A424" t="s">
        <v>435</v>
      </c>
      <c r="B424" s="4">
        <v>45713</v>
      </c>
      <c r="C424" s="4" t="str">
        <f t="shared" si="86"/>
        <v>Feb-2025</v>
      </c>
      <c r="D424" t="str">
        <f t="shared" si="87"/>
        <v>Q1-2025</v>
      </c>
      <c r="E424" s="4">
        <v>45733</v>
      </c>
      <c r="F424" s="12">
        <f t="shared" si="84"/>
        <v>45733</v>
      </c>
      <c r="G424" s="13">
        <f t="shared" si="85"/>
        <v>20</v>
      </c>
      <c r="H424" t="s">
        <v>648</v>
      </c>
      <c r="I424" t="s">
        <v>660</v>
      </c>
      <c r="J424" t="s">
        <v>686</v>
      </c>
      <c r="K424" t="s">
        <v>703</v>
      </c>
      <c r="L424" t="s">
        <v>709</v>
      </c>
      <c r="M424" t="s">
        <v>722</v>
      </c>
      <c r="N424" t="s">
        <v>730</v>
      </c>
      <c r="O424" t="s">
        <v>1154</v>
      </c>
      <c r="P424" s="6">
        <v>1205.26</v>
      </c>
      <c r="Q424" s="6">
        <v>1696.35</v>
      </c>
      <c r="R424" s="10">
        <v>1.9E-2</v>
      </c>
      <c r="S424" s="10" t="b">
        <f t="shared" si="88"/>
        <v>0</v>
      </c>
      <c r="T424" s="8">
        <v>6</v>
      </c>
      <c r="U424">
        <f t="shared" si="89"/>
        <v>9984.7160999999996</v>
      </c>
      <c r="V424">
        <f t="shared" si="90"/>
        <v>7231.5599999999995</v>
      </c>
      <c r="W424">
        <f t="shared" si="91"/>
        <v>2753.1561000000002</v>
      </c>
      <c r="X424" s="10">
        <f t="shared" si="92"/>
        <v>0.27573704374028224</v>
      </c>
      <c r="Y424" t="str">
        <f t="shared" si="93"/>
        <v>High</v>
      </c>
      <c r="Z424" t="str">
        <f t="shared" si="94"/>
        <v>Not Met</v>
      </c>
      <c r="AA424" t="str">
        <f t="shared" si="95"/>
        <v>Low Discount</v>
      </c>
      <c r="AB424" s="10">
        <f>MIN(R424,ControlPanel!$B$5)</f>
        <v>1.9E-2</v>
      </c>
      <c r="AC424">
        <f>P424*(1+ControlPanel!$B$6)</f>
        <v>1265.5230000000001</v>
      </c>
      <c r="AD424">
        <f>T424*(1+ControlPanel!$B$7)</f>
        <v>6.6000000000000005</v>
      </c>
      <c r="AE424" s="6">
        <f t="shared" si="96"/>
        <v>10983.18771</v>
      </c>
      <c r="AF424">
        <f t="shared" si="97"/>
        <v>2630.7359099999994</v>
      </c>
    </row>
    <row r="425" spans="1:32" x14ac:dyDescent="0.3">
      <c r="A425" t="s">
        <v>610</v>
      </c>
      <c r="B425" s="4">
        <v>45705</v>
      </c>
      <c r="C425" s="4" t="str">
        <f t="shared" si="86"/>
        <v>Feb-2025</v>
      </c>
      <c r="D425" t="str">
        <f t="shared" si="87"/>
        <v>Q1-2025</v>
      </c>
      <c r="E425" s="4">
        <v>45703</v>
      </c>
      <c r="F425" s="12">
        <f t="shared" si="84"/>
        <v>45719</v>
      </c>
      <c r="G425" s="13">
        <f t="shared" si="85"/>
        <v>14</v>
      </c>
      <c r="H425" t="s">
        <v>648</v>
      </c>
      <c r="I425" t="s">
        <v>653</v>
      </c>
      <c r="J425" t="s">
        <v>667</v>
      </c>
      <c r="K425" t="s">
        <v>705</v>
      </c>
      <c r="L425" t="s">
        <v>707</v>
      </c>
      <c r="M425" t="s">
        <v>726</v>
      </c>
      <c r="N425" t="s">
        <v>727</v>
      </c>
      <c r="O425" t="s">
        <v>1328</v>
      </c>
      <c r="P425" s="6">
        <v>1133.47</v>
      </c>
      <c r="Q425" s="6">
        <v>1698.75</v>
      </c>
      <c r="R425" s="10">
        <v>4.2999999999999997E-2</v>
      </c>
      <c r="S425" s="10" t="b">
        <f t="shared" si="88"/>
        <v>0</v>
      </c>
      <c r="T425" s="8">
        <v>5</v>
      </c>
      <c r="U425">
        <f t="shared" si="89"/>
        <v>8128.5187499999993</v>
      </c>
      <c r="V425">
        <f t="shared" si="90"/>
        <v>5667.35</v>
      </c>
      <c r="W425">
        <f t="shared" si="91"/>
        <v>2461.1687499999989</v>
      </c>
      <c r="X425" s="10">
        <f t="shared" si="92"/>
        <v>0.30278194904821976</v>
      </c>
      <c r="Y425" t="str">
        <f t="shared" si="93"/>
        <v>High</v>
      </c>
      <c r="Z425" t="str">
        <f t="shared" si="94"/>
        <v>Not Met</v>
      </c>
      <c r="AA425" t="str">
        <f t="shared" si="95"/>
        <v>Low Discount</v>
      </c>
      <c r="AB425" s="10">
        <f>MIN(R425,ControlPanel!$B$5)</f>
        <v>4.2999999999999997E-2</v>
      </c>
      <c r="AC425">
        <f>P425*(1+ControlPanel!$B$6)</f>
        <v>1190.1435000000001</v>
      </c>
      <c r="AD425">
        <f>T425*(1+ControlPanel!$B$7)</f>
        <v>5.5</v>
      </c>
      <c r="AE425" s="6">
        <f t="shared" si="96"/>
        <v>8941.3706249999996</v>
      </c>
      <c r="AF425">
        <f t="shared" si="97"/>
        <v>2395.5813749999988</v>
      </c>
    </row>
    <row r="426" spans="1:32" x14ac:dyDescent="0.3">
      <c r="A426" t="s">
        <v>434</v>
      </c>
      <c r="B426" s="4">
        <v>45211</v>
      </c>
      <c r="C426" s="4" t="str">
        <f t="shared" si="86"/>
        <v>Oct-2023</v>
      </c>
      <c r="D426" t="str">
        <f t="shared" si="87"/>
        <v>Q4-2023</v>
      </c>
      <c r="E426" s="4">
        <v>45228</v>
      </c>
      <c r="F426" s="12">
        <f t="shared" si="84"/>
        <v>45228</v>
      </c>
      <c r="G426" s="13">
        <f t="shared" si="85"/>
        <v>17</v>
      </c>
      <c r="H426" t="s">
        <v>647</v>
      </c>
      <c r="I426" t="s">
        <v>652</v>
      </c>
      <c r="J426" t="s">
        <v>694</v>
      </c>
      <c r="K426" t="s">
        <v>703</v>
      </c>
      <c r="L426" t="s">
        <v>711</v>
      </c>
      <c r="M426" t="s">
        <v>722</v>
      </c>
      <c r="N426" t="s">
        <v>730</v>
      </c>
      <c r="O426" t="s">
        <v>1153</v>
      </c>
      <c r="P426" s="6">
        <v>1102.19</v>
      </c>
      <c r="Q426" s="6">
        <v>1711.16</v>
      </c>
      <c r="R426" s="10">
        <v>0.151</v>
      </c>
      <c r="S426" s="10" t="b">
        <f t="shared" si="88"/>
        <v>0</v>
      </c>
      <c r="T426" s="8">
        <v>10</v>
      </c>
      <c r="U426">
        <f t="shared" si="89"/>
        <v>14527.7484</v>
      </c>
      <c r="V426">
        <f t="shared" si="90"/>
        <v>11021.900000000001</v>
      </c>
      <c r="W426">
        <f t="shared" si="91"/>
        <v>3505.8483999999989</v>
      </c>
      <c r="X426" s="10">
        <f t="shared" si="92"/>
        <v>0.24132083675127516</v>
      </c>
      <c r="Y426" t="str">
        <f t="shared" si="93"/>
        <v>High</v>
      </c>
      <c r="Z426" t="str">
        <f t="shared" si="94"/>
        <v>Not Met</v>
      </c>
      <c r="AA426" t="str">
        <f t="shared" si="95"/>
        <v>Low Discount</v>
      </c>
      <c r="AB426" s="10">
        <f>MIN(R426,ControlPanel!$B$5)</f>
        <v>0.151</v>
      </c>
      <c r="AC426">
        <f>P426*(1+ControlPanel!$B$6)</f>
        <v>1157.2995000000001</v>
      </c>
      <c r="AD426">
        <f>T426*(1+ControlPanel!$B$7)</f>
        <v>11</v>
      </c>
      <c r="AE426" s="6">
        <f t="shared" si="96"/>
        <v>15980.52324</v>
      </c>
      <c r="AF426">
        <f t="shared" si="97"/>
        <v>3250.2287400000005</v>
      </c>
    </row>
    <row r="427" spans="1:32" x14ac:dyDescent="0.3">
      <c r="A427" t="s">
        <v>559</v>
      </c>
      <c r="B427" s="4">
        <v>45889</v>
      </c>
      <c r="C427" s="4" t="str">
        <f t="shared" si="86"/>
        <v>Aug-2025</v>
      </c>
      <c r="D427" t="str">
        <f t="shared" si="87"/>
        <v>Q3-2025</v>
      </c>
      <c r="E427" s="4">
        <v>45895</v>
      </c>
      <c r="F427" s="12">
        <f t="shared" si="84"/>
        <v>45895</v>
      </c>
      <c r="G427" s="13">
        <f t="shared" si="85"/>
        <v>6</v>
      </c>
      <c r="H427" t="s">
        <v>648</v>
      </c>
      <c r="I427" t="s">
        <v>660</v>
      </c>
      <c r="J427" t="s">
        <v>700</v>
      </c>
      <c r="K427" t="s">
        <v>701</v>
      </c>
      <c r="L427" t="s">
        <v>707</v>
      </c>
      <c r="M427" t="s">
        <v>724</v>
      </c>
      <c r="N427" t="s">
        <v>729</v>
      </c>
      <c r="O427" t="s">
        <v>1277</v>
      </c>
      <c r="P427" s="6">
        <v>1304.95</v>
      </c>
      <c r="Q427" s="6">
        <v>1712.03</v>
      </c>
      <c r="R427" s="10">
        <v>0.21199999999999999</v>
      </c>
      <c r="S427" s="10" t="b">
        <f t="shared" si="88"/>
        <v>0</v>
      </c>
      <c r="T427" s="8">
        <v>8</v>
      </c>
      <c r="U427">
        <f t="shared" si="89"/>
        <v>10792.637119999999</v>
      </c>
      <c r="V427">
        <f t="shared" si="90"/>
        <v>10439.6</v>
      </c>
      <c r="W427">
        <f t="shared" si="91"/>
        <v>353.03711999999905</v>
      </c>
      <c r="X427" s="10">
        <f t="shared" si="92"/>
        <v>3.2710922833287949E-2</v>
      </c>
      <c r="Y427" t="str">
        <f t="shared" si="93"/>
        <v>High</v>
      </c>
      <c r="Z427" t="str">
        <f t="shared" si="94"/>
        <v>Met</v>
      </c>
      <c r="AA427" t="str">
        <f t="shared" si="95"/>
        <v>High Discount</v>
      </c>
      <c r="AB427" s="10">
        <f>MIN(R427,ControlPanel!$B$5)</f>
        <v>0.2</v>
      </c>
      <c r="AC427">
        <f>P427*(1+ControlPanel!$B$6)</f>
        <v>1370.1975000000002</v>
      </c>
      <c r="AD427">
        <f>T427*(1+ControlPanel!$B$7)</f>
        <v>8.8000000000000007</v>
      </c>
      <c r="AE427" s="6">
        <f t="shared" si="96"/>
        <v>12052.691200000001</v>
      </c>
      <c r="AF427">
        <f t="shared" si="97"/>
        <v>-5.0468000000018947</v>
      </c>
    </row>
    <row r="428" spans="1:32" x14ac:dyDescent="0.3">
      <c r="A428" t="s">
        <v>601</v>
      </c>
      <c r="B428" s="4">
        <v>45364</v>
      </c>
      <c r="C428" s="4" t="str">
        <f t="shared" si="86"/>
        <v>Mar-2024</v>
      </c>
      <c r="D428" t="str">
        <f t="shared" si="87"/>
        <v>Q1-2024</v>
      </c>
      <c r="E428" s="4">
        <v>45388</v>
      </c>
      <c r="F428" s="12">
        <f t="shared" si="84"/>
        <v>45388</v>
      </c>
      <c r="G428" s="13">
        <f t="shared" si="85"/>
        <v>24</v>
      </c>
      <c r="H428" t="s">
        <v>646</v>
      </c>
      <c r="I428" t="s">
        <v>651</v>
      </c>
      <c r="J428" t="s">
        <v>669</v>
      </c>
      <c r="K428" t="s">
        <v>704</v>
      </c>
      <c r="L428" t="s">
        <v>710</v>
      </c>
      <c r="M428" t="s">
        <v>716</v>
      </c>
      <c r="N428" t="s">
        <v>727</v>
      </c>
      <c r="O428" t="s">
        <v>1319</v>
      </c>
      <c r="P428" s="6">
        <v>1232.78</v>
      </c>
      <c r="Q428" s="6">
        <v>1731.75</v>
      </c>
      <c r="R428" s="10">
        <v>9.2999999999999999E-2</v>
      </c>
      <c r="S428" s="10" t="b">
        <f t="shared" si="88"/>
        <v>0</v>
      </c>
      <c r="T428" s="8">
        <v>16</v>
      </c>
      <c r="U428">
        <f t="shared" si="89"/>
        <v>25131.155999999999</v>
      </c>
      <c r="V428">
        <f t="shared" si="90"/>
        <v>19724.48</v>
      </c>
      <c r="W428">
        <f t="shared" si="91"/>
        <v>5406.6759999999995</v>
      </c>
      <c r="X428" s="10">
        <f t="shared" si="92"/>
        <v>0.21513837246484005</v>
      </c>
      <c r="Y428" t="str">
        <f t="shared" si="93"/>
        <v>High</v>
      </c>
      <c r="Z428" t="str">
        <f t="shared" si="94"/>
        <v>Not Met</v>
      </c>
      <c r="AA428" t="str">
        <f t="shared" si="95"/>
        <v>Low Discount</v>
      </c>
      <c r="AB428" s="10">
        <f>MIN(R428,ControlPanel!$B$5)</f>
        <v>9.2999999999999999E-2</v>
      </c>
      <c r="AC428">
        <f>P428*(1+ControlPanel!$B$6)</f>
        <v>1294.4190000000001</v>
      </c>
      <c r="AD428">
        <f>T428*(1+ControlPanel!$B$7)</f>
        <v>17.600000000000001</v>
      </c>
      <c r="AE428" s="6">
        <f t="shared" si="96"/>
        <v>27644.2716</v>
      </c>
      <c r="AF428">
        <f t="shared" si="97"/>
        <v>4862.497199999998</v>
      </c>
    </row>
    <row r="429" spans="1:32" x14ac:dyDescent="0.3">
      <c r="A429" t="s">
        <v>52</v>
      </c>
      <c r="B429" s="4">
        <v>45832</v>
      </c>
      <c r="C429" s="4" t="str">
        <f t="shared" si="86"/>
        <v>Jun-2025</v>
      </c>
      <c r="D429" t="str">
        <f t="shared" si="87"/>
        <v>Q2-2025</v>
      </c>
      <c r="E429" s="4">
        <v>45848</v>
      </c>
      <c r="F429" s="12">
        <f t="shared" si="84"/>
        <v>45848</v>
      </c>
      <c r="G429" s="13">
        <f t="shared" si="85"/>
        <v>16</v>
      </c>
      <c r="H429" t="s">
        <v>647</v>
      </c>
      <c r="I429" t="s">
        <v>659</v>
      </c>
      <c r="J429" t="s">
        <v>685</v>
      </c>
      <c r="K429" t="s">
        <v>706</v>
      </c>
      <c r="L429" t="s">
        <v>711</v>
      </c>
      <c r="M429" t="s">
        <v>725</v>
      </c>
      <c r="N429" t="s">
        <v>727</v>
      </c>
      <c r="O429" t="s">
        <v>771</v>
      </c>
      <c r="P429" s="6">
        <v>757.19</v>
      </c>
      <c r="Q429" s="6">
        <v>1735.41</v>
      </c>
      <c r="R429" s="10">
        <v>0.13600000000000001</v>
      </c>
      <c r="S429" s="10" t="b">
        <f t="shared" si="88"/>
        <v>0</v>
      </c>
      <c r="T429" s="8">
        <v>8</v>
      </c>
      <c r="U429">
        <f t="shared" si="89"/>
        <v>11995.153920000001</v>
      </c>
      <c r="V429">
        <f t="shared" si="90"/>
        <v>6057.52</v>
      </c>
      <c r="W429">
        <f t="shared" si="91"/>
        <v>5937.6339200000002</v>
      </c>
      <c r="X429" s="10">
        <f t="shared" si="92"/>
        <v>0.4950027285685718</v>
      </c>
      <c r="Y429" t="str">
        <f t="shared" si="93"/>
        <v>High</v>
      </c>
      <c r="Z429" t="str">
        <f t="shared" si="94"/>
        <v>Not Met</v>
      </c>
      <c r="AA429" t="str">
        <f t="shared" si="95"/>
        <v>Low Discount</v>
      </c>
      <c r="AB429" s="10">
        <f>MIN(R429,ControlPanel!$B$5)</f>
        <v>0.13600000000000001</v>
      </c>
      <c r="AC429">
        <f>P429*(1+ControlPanel!$B$6)</f>
        <v>795.04950000000008</v>
      </c>
      <c r="AD429">
        <f>T429*(1+ControlPanel!$B$7)</f>
        <v>8.8000000000000007</v>
      </c>
      <c r="AE429" s="6">
        <f t="shared" si="96"/>
        <v>13194.669312000002</v>
      </c>
      <c r="AF429">
        <f t="shared" si="97"/>
        <v>6198.2337120000002</v>
      </c>
    </row>
    <row r="430" spans="1:32" x14ac:dyDescent="0.3">
      <c r="A430" t="s">
        <v>420</v>
      </c>
      <c r="B430" s="4">
        <v>45646</v>
      </c>
      <c r="C430" s="4" t="str">
        <f t="shared" si="86"/>
        <v>Dec-2024</v>
      </c>
      <c r="D430" t="str">
        <f t="shared" si="87"/>
        <v>Q4-2024</v>
      </c>
      <c r="E430" s="4">
        <v>45671</v>
      </c>
      <c r="F430" s="12">
        <f t="shared" si="84"/>
        <v>45671</v>
      </c>
      <c r="G430" s="13">
        <f t="shared" si="85"/>
        <v>25</v>
      </c>
      <c r="H430" t="s">
        <v>647</v>
      </c>
      <c r="I430" t="s">
        <v>654</v>
      </c>
      <c r="J430" t="s">
        <v>680</v>
      </c>
      <c r="K430" t="s">
        <v>705</v>
      </c>
      <c r="L430" t="s">
        <v>707</v>
      </c>
      <c r="M430" t="s">
        <v>724</v>
      </c>
      <c r="N430" t="s">
        <v>728</v>
      </c>
      <c r="O430" t="s">
        <v>1139</v>
      </c>
      <c r="P430" s="6">
        <v>1361.34</v>
      </c>
      <c r="Q430" s="6">
        <v>1737.9</v>
      </c>
      <c r="R430" s="10">
        <v>7.6999999999999999E-2</v>
      </c>
      <c r="S430" s="10" t="b">
        <f t="shared" si="88"/>
        <v>0</v>
      </c>
      <c r="T430" s="8">
        <v>14</v>
      </c>
      <c r="U430">
        <f t="shared" si="89"/>
        <v>22457.143800000002</v>
      </c>
      <c r="V430">
        <f t="shared" si="90"/>
        <v>19058.759999999998</v>
      </c>
      <c r="W430">
        <f t="shared" si="91"/>
        <v>3398.3838000000032</v>
      </c>
      <c r="X430" s="10">
        <f t="shared" si="92"/>
        <v>0.15132751654731813</v>
      </c>
      <c r="Y430" t="str">
        <f t="shared" si="93"/>
        <v>High</v>
      </c>
      <c r="Z430" t="str">
        <f t="shared" si="94"/>
        <v>Not Met</v>
      </c>
      <c r="AA430" t="str">
        <f t="shared" si="95"/>
        <v>Low Discount</v>
      </c>
      <c r="AB430" s="10">
        <f>MIN(R430,ControlPanel!$B$5)</f>
        <v>7.6999999999999999E-2</v>
      </c>
      <c r="AC430">
        <f>P430*(1+ControlPanel!$B$6)</f>
        <v>1429.4069999999999</v>
      </c>
      <c r="AD430">
        <f>T430*(1+ControlPanel!$B$7)</f>
        <v>15.400000000000002</v>
      </c>
      <c r="AE430" s="6">
        <f t="shared" si="96"/>
        <v>24702.858180000007</v>
      </c>
      <c r="AF430">
        <f t="shared" si="97"/>
        <v>2689.9903800000029</v>
      </c>
    </row>
    <row r="431" spans="1:32" x14ac:dyDescent="0.3">
      <c r="A431" t="s">
        <v>56</v>
      </c>
      <c r="B431" s="4">
        <v>45302</v>
      </c>
      <c r="C431" s="4" t="str">
        <f t="shared" si="86"/>
        <v>Jan-2024</v>
      </c>
      <c r="D431" t="str">
        <f t="shared" si="87"/>
        <v>Q1-2024</v>
      </c>
      <c r="E431" s="4">
        <v>45324</v>
      </c>
      <c r="F431" s="12">
        <f t="shared" si="84"/>
        <v>45324</v>
      </c>
      <c r="G431" s="13">
        <f t="shared" si="85"/>
        <v>22</v>
      </c>
      <c r="H431" t="s">
        <v>646</v>
      </c>
      <c r="I431" t="s">
        <v>661</v>
      </c>
      <c r="J431" t="s">
        <v>687</v>
      </c>
      <c r="K431" t="s">
        <v>704</v>
      </c>
      <c r="L431" t="s">
        <v>708</v>
      </c>
      <c r="M431" t="s">
        <v>723</v>
      </c>
      <c r="N431" t="s">
        <v>729</v>
      </c>
      <c r="O431" t="s">
        <v>775</v>
      </c>
      <c r="P431" s="6">
        <v>1206.2</v>
      </c>
      <c r="Q431" s="6">
        <v>1759.79</v>
      </c>
      <c r="R431" s="10">
        <v>0</v>
      </c>
      <c r="S431" s="10" t="b">
        <f t="shared" si="88"/>
        <v>0</v>
      </c>
      <c r="T431" s="8">
        <v>6</v>
      </c>
      <c r="U431">
        <f t="shared" si="89"/>
        <v>10558.74</v>
      </c>
      <c r="V431">
        <f t="shared" si="90"/>
        <v>7237.2000000000007</v>
      </c>
      <c r="W431">
        <f t="shared" si="91"/>
        <v>3321.5399999999991</v>
      </c>
      <c r="X431" s="10">
        <f t="shared" si="92"/>
        <v>0.31457730751964713</v>
      </c>
      <c r="Y431" t="str">
        <f t="shared" si="93"/>
        <v>High</v>
      </c>
      <c r="Z431" t="str">
        <f t="shared" si="94"/>
        <v>Not Met</v>
      </c>
      <c r="AA431" t="str">
        <f t="shared" si="95"/>
        <v>Low Discount</v>
      </c>
      <c r="AB431" s="10">
        <f>MIN(R431,ControlPanel!$B$5)</f>
        <v>0</v>
      </c>
      <c r="AC431">
        <f>P431*(1+ControlPanel!$B$6)</f>
        <v>1266.51</v>
      </c>
      <c r="AD431">
        <f>T431*(1+ControlPanel!$B$7)</f>
        <v>6.6000000000000005</v>
      </c>
      <c r="AE431" s="6">
        <f t="shared" si="96"/>
        <v>11614.614000000001</v>
      </c>
      <c r="AF431">
        <f t="shared" si="97"/>
        <v>3255.648000000001</v>
      </c>
    </row>
    <row r="432" spans="1:32" x14ac:dyDescent="0.3">
      <c r="A432" t="s">
        <v>250</v>
      </c>
      <c r="B432" s="4">
        <v>45548</v>
      </c>
      <c r="C432" s="4" t="str">
        <f t="shared" si="86"/>
        <v>Sep-2024</v>
      </c>
      <c r="D432" t="str">
        <f t="shared" si="87"/>
        <v>Q3-2024</v>
      </c>
      <c r="E432" s="4">
        <v>45567</v>
      </c>
      <c r="F432" s="12">
        <f t="shared" si="84"/>
        <v>45567</v>
      </c>
      <c r="G432" s="13">
        <f t="shared" si="85"/>
        <v>19</v>
      </c>
      <c r="H432" t="s">
        <v>646</v>
      </c>
      <c r="I432" t="s">
        <v>650</v>
      </c>
      <c r="J432" t="s">
        <v>675</v>
      </c>
      <c r="K432" t="s">
        <v>705</v>
      </c>
      <c r="L432" t="s">
        <v>707</v>
      </c>
      <c r="M432" t="s">
        <v>724</v>
      </c>
      <c r="N432" t="s">
        <v>730</v>
      </c>
      <c r="O432" t="s">
        <v>970</v>
      </c>
      <c r="P432" s="6">
        <v>1338.99</v>
      </c>
      <c r="Q432" s="6">
        <v>1765.76</v>
      </c>
      <c r="R432" s="10">
        <v>0.126</v>
      </c>
      <c r="S432" s="10" t="b">
        <f t="shared" si="88"/>
        <v>0</v>
      </c>
      <c r="T432" s="8">
        <v>24</v>
      </c>
      <c r="U432">
        <f t="shared" si="89"/>
        <v>37038.581760000001</v>
      </c>
      <c r="V432">
        <f t="shared" si="90"/>
        <v>32135.760000000002</v>
      </c>
      <c r="W432">
        <f t="shared" si="91"/>
        <v>4902.8217599999989</v>
      </c>
      <c r="X432" s="10">
        <f t="shared" si="92"/>
        <v>0.1323706666677725</v>
      </c>
      <c r="Y432" t="str">
        <f t="shared" si="93"/>
        <v>High</v>
      </c>
      <c r="Z432" t="str">
        <f t="shared" si="94"/>
        <v>Not Met</v>
      </c>
      <c r="AA432" t="str">
        <f t="shared" si="95"/>
        <v>Low Discount</v>
      </c>
      <c r="AB432" s="10">
        <f>MIN(R432,ControlPanel!$B$5)</f>
        <v>0.126</v>
      </c>
      <c r="AC432">
        <f>P432*(1+ControlPanel!$B$6)</f>
        <v>1405.9395000000002</v>
      </c>
      <c r="AD432">
        <f>T432*(1+ControlPanel!$B$7)</f>
        <v>26.400000000000002</v>
      </c>
      <c r="AE432" s="6">
        <f t="shared" si="96"/>
        <v>40742.439936000002</v>
      </c>
      <c r="AF432">
        <f t="shared" si="97"/>
        <v>3625.6371359999976</v>
      </c>
    </row>
    <row r="433" spans="1:32" x14ac:dyDescent="0.3">
      <c r="A433" t="s">
        <v>287</v>
      </c>
      <c r="B433" s="4">
        <v>45131</v>
      </c>
      <c r="C433" s="4" t="str">
        <f t="shared" si="86"/>
        <v>Jul-2023</v>
      </c>
      <c r="D433" t="str">
        <f t="shared" si="87"/>
        <v>Q3-2023</v>
      </c>
      <c r="E433" s="4">
        <v>45151</v>
      </c>
      <c r="F433" s="12">
        <f t="shared" si="84"/>
        <v>45151</v>
      </c>
      <c r="G433" s="13">
        <f t="shared" si="85"/>
        <v>20</v>
      </c>
      <c r="H433" t="s">
        <v>648</v>
      </c>
      <c r="I433" t="s">
        <v>653</v>
      </c>
      <c r="J433" t="s">
        <v>681</v>
      </c>
      <c r="K433" t="s">
        <v>702</v>
      </c>
      <c r="L433" t="s">
        <v>711</v>
      </c>
      <c r="M433" t="s">
        <v>712</v>
      </c>
      <c r="N433" t="s">
        <v>732</v>
      </c>
      <c r="O433" t="s">
        <v>1007</v>
      </c>
      <c r="P433" s="6">
        <v>1082.3800000000001</v>
      </c>
      <c r="Q433" s="6">
        <v>1766.55</v>
      </c>
      <c r="R433" s="10">
        <v>0.16400000000000001</v>
      </c>
      <c r="S433" s="10" t="b">
        <f t="shared" si="88"/>
        <v>0</v>
      </c>
      <c r="T433" s="8">
        <v>20</v>
      </c>
      <c r="U433">
        <f t="shared" si="89"/>
        <v>29536.715999999997</v>
      </c>
      <c r="V433">
        <f t="shared" si="90"/>
        <v>21647.600000000002</v>
      </c>
      <c r="W433">
        <f t="shared" si="91"/>
        <v>7889.1159999999945</v>
      </c>
      <c r="X433" s="10">
        <f t="shared" si="92"/>
        <v>0.26709523157550741</v>
      </c>
      <c r="Y433" t="str">
        <f t="shared" si="93"/>
        <v>High</v>
      </c>
      <c r="Z433" t="str">
        <f t="shared" si="94"/>
        <v>Not Met</v>
      </c>
      <c r="AA433" t="str">
        <f t="shared" si="95"/>
        <v>Low Discount</v>
      </c>
      <c r="AB433" s="10">
        <f>MIN(R433,ControlPanel!$B$5)</f>
        <v>0.16400000000000001</v>
      </c>
      <c r="AC433">
        <f>P433*(1+ControlPanel!$B$6)</f>
        <v>1136.4990000000003</v>
      </c>
      <c r="AD433">
        <f>T433*(1+ControlPanel!$B$7)</f>
        <v>22</v>
      </c>
      <c r="AE433" s="6">
        <f t="shared" si="96"/>
        <v>32490.387599999995</v>
      </c>
      <c r="AF433">
        <f t="shared" si="97"/>
        <v>7487.4095999999881</v>
      </c>
    </row>
    <row r="434" spans="1:32" x14ac:dyDescent="0.3">
      <c r="A434" t="s">
        <v>376</v>
      </c>
      <c r="B434" s="4">
        <v>45108</v>
      </c>
      <c r="C434" s="4" t="str">
        <f t="shared" si="86"/>
        <v>Jul-2023</v>
      </c>
      <c r="D434" t="str">
        <f t="shared" si="87"/>
        <v>Q3-2023</v>
      </c>
      <c r="E434" s="4">
        <v>45115</v>
      </c>
      <c r="F434" s="12">
        <f t="shared" si="84"/>
        <v>45115</v>
      </c>
      <c r="G434" s="13">
        <f t="shared" si="85"/>
        <v>7</v>
      </c>
      <c r="H434" t="s">
        <v>646</v>
      </c>
      <c r="I434" t="s">
        <v>651</v>
      </c>
      <c r="J434" t="s">
        <v>663</v>
      </c>
      <c r="K434" t="s">
        <v>701</v>
      </c>
      <c r="L434" t="s">
        <v>707</v>
      </c>
      <c r="M434" t="s">
        <v>720</v>
      </c>
      <c r="N434" t="s">
        <v>731</v>
      </c>
      <c r="O434" t="s">
        <v>1096</v>
      </c>
      <c r="P434" s="6">
        <v>834.26</v>
      </c>
      <c r="Q434" s="6">
        <v>1780.56</v>
      </c>
      <c r="R434" s="10">
        <v>1.4E-2</v>
      </c>
      <c r="S434" s="10" t="b">
        <f t="shared" si="88"/>
        <v>0</v>
      </c>
      <c r="T434" s="8">
        <v>47</v>
      </c>
      <c r="U434">
        <f t="shared" si="89"/>
        <v>82514.711519999997</v>
      </c>
      <c r="V434">
        <f t="shared" si="90"/>
        <v>39210.22</v>
      </c>
      <c r="W434">
        <f t="shared" si="91"/>
        <v>43304.491519999996</v>
      </c>
      <c r="X434" s="10">
        <f t="shared" si="92"/>
        <v>0.5248093427497933</v>
      </c>
      <c r="Y434" t="str">
        <f t="shared" si="93"/>
        <v>High</v>
      </c>
      <c r="Z434" t="str">
        <f t="shared" si="94"/>
        <v>Met</v>
      </c>
      <c r="AA434" t="str">
        <f t="shared" si="95"/>
        <v>Low Discount</v>
      </c>
      <c r="AB434" s="10">
        <f>MIN(R434,ControlPanel!$B$5)</f>
        <v>1.4E-2</v>
      </c>
      <c r="AC434">
        <f>P434*(1+ControlPanel!$B$6)</f>
        <v>875.97300000000007</v>
      </c>
      <c r="AD434">
        <f>T434*(1+ControlPanel!$B$7)</f>
        <v>51.7</v>
      </c>
      <c r="AE434" s="6">
        <f t="shared" si="96"/>
        <v>90766.182671999995</v>
      </c>
      <c r="AF434">
        <f t="shared" si="97"/>
        <v>45478.378571999987</v>
      </c>
    </row>
    <row r="435" spans="1:32" x14ac:dyDescent="0.3">
      <c r="A435" t="s">
        <v>526</v>
      </c>
      <c r="B435" s="4">
        <v>45575</v>
      </c>
      <c r="C435" s="4" t="str">
        <f t="shared" si="86"/>
        <v>Oct-2024</v>
      </c>
      <c r="D435" t="str">
        <f t="shared" si="87"/>
        <v>Q4-2024</v>
      </c>
      <c r="E435" s="4">
        <v>45576</v>
      </c>
      <c r="F435" s="12">
        <f t="shared" si="84"/>
        <v>45576</v>
      </c>
      <c r="G435" s="13">
        <f t="shared" si="85"/>
        <v>1</v>
      </c>
      <c r="H435" t="s">
        <v>649</v>
      </c>
      <c r="I435" t="s">
        <v>658</v>
      </c>
      <c r="J435" t="s">
        <v>693</v>
      </c>
      <c r="K435" t="s">
        <v>703</v>
      </c>
      <c r="L435" t="s">
        <v>710</v>
      </c>
      <c r="M435" t="s">
        <v>716</v>
      </c>
      <c r="N435" t="s">
        <v>727</v>
      </c>
      <c r="O435" t="s">
        <v>1245</v>
      </c>
      <c r="P435" s="6">
        <v>1389.46</v>
      </c>
      <c r="Q435" s="6">
        <v>1784.7</v>
      </c>
      <c r="R435" s="10">
        <v>0.14599999999999999</v>
      </c>
      <c r="S435" s="10" t="b">
        <f t="shared" si="88"/>
        <v>0</v>
      </c>
      <c r="T435" s="8">
        <v>33</v>
      </c>
      <c r="U435">
        <f t="shared" si="89"/>
        <v>50296.415400000005</v>
      </c>
      <c r="V435">
        <f t="shared" si="90"/>
        <v>45852.18</v>
      </c>
      <c r="W435">
        <f t="shared" si="91"/>
        <v>4444.235400000005</v>
      </c>
      <c r="X435" s="10">
        <f t="shared" si="92"/>
        <v>8.836087750301197E-2</v>
      </c>
      <c r="Y435" t="str">
        <f t="shared" si="93"/>
        <v>High</v>
      </c>
      <c r="Z435" t="str">
        <f t="shared" si="94"/>
        <v>Met</v>
      </c>
      <c r="AA435" t="str">
        <f t="shared" si="95"/>
        <v>Low Discount</v>
      </c>
      <c r="AB435" s="10">
        <f>MIN(R435,ControlPanel!$B$5)</f>
        <v>0.14599999999999999</v>
      </c>
      <c r="AC435">
        <f>P435*(1+ControlPanel!$B$6)</f>
        <v>1458.933</v>
      </c>
      <c r="AD435">
        <f>T435*(1+ControlPanel!$B$7)</f>
        <v>36.300000000000004</v>
      </c>
      <c r="AE435" s="6">
        <f t="shared" si="96"/>
        <v>55326.056940000009</v>
      </c>
      <c r="AF435">
        <f t="shared" si="97"/>
        <v>2366.7890400000033</v>
      </c>
    </row>
    <row r="436" spans="1:32" x14ac:dyDescent="0.3">
      <c r="A436" t="s">
        <v>609</v>
      </c>
      <c r="B436" s="4">
        <v>45473</v>
      </c>
      <c r="C436" s="4" t="str">
        <f t="shared" si="86"/>
        <v>Jun-2024</v>
      </c>
      <c r="D436" t="str">
        <f t="shared" si="87"/>
        <v>Q2-2024</v>
      </c>
      <c r="E436" s="4">
        <v>45494</v>
      </c>
      <c r="F436" s="12">
        <f t="shared" si="84"/>
        <v>45494</v>
      </c>
      <c r="G436" s="13">
        <f t="shared" si="85"/>
        <v>21</v>
      </c>
      <c r="H436" t="s">
        <v>646</v>
      </c>
      <c r="I436" t="s">
        <v>650</v>
      </c>
      <c r="J436" t="s">
        <v>662</v>
      </c>
      <c r="K436" t="s">
        <v>705</v>
      </c>
      <c r="L436" t="s">
        <v>707</v>
      </c>
      <c r="M436" t="s">
        <v>723</v>
      </c>
      <c r="N436" t="s">
        <v>731</v>
      </c>
      <c r="O436" t="s">
        <v>1327</v>
      </c>
      <c r="P436" s="6">
        <v>753.43</v>
      </c>
      <c r="Q436" s="6">
        <v>1787.2</v>
      </c>
      <c r="R436" s="10">
        <v>7.2999999999999995E-2</v>
      </c>
      <c r="S436" s="10" t="b">
        <f t="shared" si="88"/>
        <v>0</v>
      </c>
      <c r="T436" s="8">
        <v>9</v>
      </c>
      <c r="U436">
        <f t="shared" si="89"/>
        <v>14910.6096</v>
      </c>
      <c r="V436">
        <f t="shared" si="90"/>
        <v>6780.87</v>
      </c>
      <c r="W436">
        <f t="shared" si="91"/>
        <v>8129.7395999999999</v>
      </c>
      <c r="X436" s="10">
        <f t="shared" si="92"/>
        <v>0.54523187301476927</v>
      </c>
      <c r="Y436" t="str">
        <f t="shared" si="93"/>
        <v>High</v>
      </c>
      <c r="Z436" t="str">
        <f t="shared" si="94"/>
        <v>Not Met</v>
      </c>
      <c r="AA436" t="str">
        <f t="shared" si="95"/>
        <v>Low Discount</v>
      </c>
      <c r="AB436" s="10">
        <f>MIN(R436,ControlPanel!$B$5)</f>
        <v>7.2999999999999995E-2</v>
      </c>
      <c r="AC436">
        <f>P436*(1+ControlPanel!$B$6)</f>
        <v>791.10149999999999</v>
      </c>
      <c r="AD436">
        <f>T436*(1+ControlPanel!$B$7)</f>
        <v>9.9</v>
      </c>
      <c r="AE436" s="6">
        <f t="shared" si="96"/>
        <v>16401.670560000002</v>
      </c>
      <c r="AF436">
        <f t="shared" si="97"/>
        <v>8569.7657100000033</v>
      </c>
    </row>
    <row r="437" spans="1:32" x14ac:dyDescent="0.3">
      <c r="A437" t="s">
        <v>64</v>
      </c>
      <c r="B437" s="4">
        <v>45117</v>
      </c>
      <c r="C437" s="4" t="str">
        <f t="shared" si="86"/>
        <v>Jul-2023</v>
      </c>
      <c r="D437" t="str">
        <f t="shared" si="87"/>
        <v>Q3-2023</v>
      </c>
      <c r="E437" s="4">
        <v>45139</v>
      </c>
      <c r="F437" s="12">
        <f t="shared" si="84"/>
        <v>45139</v>
      </c>
      <c r="G437" s="13">
        <f t="shared" si="85"/>
        <v>22</v>
      </c>
      <c r="H437" t="s">
        <v>649</v>
      </c>
      <c r="I437" t="s">
        <v>657</v>
      </c>
      <c r="J437" t="s">
        <v>673</v>
      </c>
      <c r="K437" t="s">
        <v>704</v>
      </c>
      <c r="L437" t="s">
        <v>709</v>
      </c>
      <c r="M437" t="s">
        <v>717</v>
      </c>
      <c r="N437" t="s">
        <v>728</v>
      </c>
      <c r="O437" t="s">
        <v>783</v>
      </c>
      <c r="P437" s="6">
        <v>1303.56</v>
      </c>
      <c r="Q437" s="6">
        <v>1791.37</v>
      </c>
      <c r="R437" s="10">
        <v>0.126</v>
      </c>
      <c r="S437" s="10" t="b">
        <f t="shared" si="88"/>
        <v>0</v>
      </c>
      <c r="T437" s="8">
        <v>22</v>
      </c>
      <c r="U437">
        <f t="shared" si="89"/>
        <v>34444.462359999998</v>
      </c>
      <c r="V437">
        <f t="shared" si="90"/>
        <v>28678.32</v>
      </c>
      <c r="W437">
        <f t="shared" si="91"/>
        <v>5766.142359999998</v>
      </c>
      <c r="X437" s="10">
        <f t="shared" si="92"/>
        <v>0.16740404596055358</v>
      </c>
      <c r="Y437" t="str">
        <f t="shared" si="93"/>
        <v>High</v>
      </c>
      <c r="Z437" t="str">
        <f t="shared" si="94"/>
        <v>Not Met</v>
      </c>
      <c r="AA437" t="str">
        <f t="shared" si="95"/>
        <v>Low Discount</v>
      </c>
      <c r="AB437" s="10">
        <f>MIN(R437,ControlPanel!$B$5)</f>
        <v>0.126</v>
      </c>
      <c r="AC437">
        <f>P437*(1+ControlPanel!$B$6)</f>
        <v>1368.7380000000001</v>
      </c>
      <c r="AD437">
        <f>T437*(1+ControlPanel!$B$7)</f>
        <v>24.200000000000003</v>
      </c>
      <c r="AE437" s="6">
        <f t="shared" si="96"/>
        <v>37888.908596000001</v>
      </c>
      <c r="AF437">
        <f t="shared" si="97"/>
        <v>4765.4489959999992</v>
      </c>
    </row>
    <row r="438" spans="1:32" x14ac:dyDescent="0.3">
      <c r="A438" t="s">
        <v>256</v>
      </c>
      <c r="B438" s="4">
        <v>45871</v>
      </c>
      <c r="C438" s="4" t="str">
        <f t="shared" si="86"/>
        <v>Aug-2025</v>
      </c>
      <c r="D438" t="str">
        <f t="shared" si="87"/>
        <v>Q3-2025</v>
      </c>
      <c r="E438" s="4">
        <v>45877</v>
      </c>
      <c r="F438" s="12">
        <f t="shared" si="84"/>
        <v>45877</v>
      </c>
      <c r="G438" s="13">
        <f t="shared" si="85"/>
        <v>6</v>
      </c>
      <c r="H438" t="s">
        <v>647</v>
      </c>
      <c r="I438" t="s">
        <v>652</v>
      </c>
      <c r="J438" t="s">
        <v>666</v>
      </c>
      <c r="K438" t="s">
        <v>704</v>
      </c>
      <c r="L438" t="s">
        <v>711</v>
      </c>
      <c r="M438" t="s">
        <v>725</v>
      </c>
      <c r="N438" t="s">
        <v>731</v>
      </c>
      <c r="O438" t="s">
        <v>976</v>
      </c>
      <c r="P438" s="6">
        <v>1225.94</v>
      </c>
      <c r="Q438" s="6">
        <v>1793.08</v>
      </c>
      <c r="R438" s="10">
        <v>0.13600000000000001</v>
      </c>
      <c r="S438" s="10" t="b">
        <f t="shared" si="88"/>
        <v>0</v>
      </c>
      <c r="T438" s="8">
        <v>22</v>
      </c>
      <c r="U438">
        <f t="shared" si="89"/>
        <v>34082.86464</v>
      </c>
      <c r="V438">
        <f t="shared" si="90"/>
        <v>26970.68</v>
      </c>
      <c r="W438">
        <f t="shared" si="91"/>
        <v>7112.1846399999995</v>
      </c>
      <c r="X438" s="10">
        <f t="shared" si="92"/>
        <v>0.20867332353434478</v>
      </c>
      <c r="Y438" t="str">
        <f t="shared" si="93"/>
        <v>High</v>
      </c>
      <c r="Z438" t="str">
        <f t="shared" si="94"/>
        <v>Met</v>
      </c>
      <c r="AA438" t="str">
        <f t="shared" si="95"/>
        <v>Low Discount</v>
      </c>
      <c r="AB438" s="10">
        <f>MIN(R438,ControlPanel!$B$5)</f>
        <v>0.13600000000000001</v>
      </c>
      <c r="AC438">
        <f>P438*(1+ControlPanel!$B$6)</f>
        <v>1287.2370000000001</v>
      </c>
      <c r="AD438">
        <f>T438*(1+ControlPanel!$B$7)</f>
        <v>24.200000000000003</v>
      </c>
      <c r="AE438" s="6">
        <f t="shared" si="96"/>
        <v>37491.151104000004</v>
      </c>
      <c r="AF438">
        <f t="shared" si="97"/>
        <v>6340.0157039999976</v>
      </c>
    </row>
    <row r="439" spans="1:32" x14ac:dyDescent="0.3">
      <c r="A439" t="s">
        <v>46</v>
      </c>
      <c r="B439" s="4">
        <v>44980</v>
      </c>
      <c r="C439" s="4" t="str">
        <f t="shared" si="86"/>
        <v>Feb-2023</v>
      </c>
      <c r="D439" t="str">
        <f t="shared" si="87"/>
        <v>Q1-2023</v>
      </c>
      <c r="E439" s="4">
        <v>45010</v>
      </c>
      <c r="F439" s="12">
        <f t="shared" si="84"/>
        <v>45010</v>
      </c>
      <c r="G439" s="13">
        <f t="shared" si="85"/>
        <v>30</v>
      </c>
      <c r="H439" t="s">
        <v>648</v>
      </c>
      <c r="I439" t="s">
        <v>653</v>
      </c>
      <c r="J439" t="s">
        <v>681</v>
      </c>
      <c r="K439" t="s">
        <v>706</v>
      </c>
      <c r="L439" t="s">
        <v>708</v>
      </c>
      <c r="M439" t="s">
        <v>726</v>
      </c>
      <c r="N439" t="s">
        <v>730</v>
      </c>
      <c r="O439" t="s">
        <v>765</v>
      </c>
      <c r="P439" s="6">
        <v>1242.6600000000001</v>
      </c>
      <c r="Q439" s="6">
        <v>1794.07</v>
      </c>
      <c r="R439" s="10">
        <v>8.8999999999999996E-2</v>
      </c>
      <c r="S439" s="10" t="b">
        <f t="shared" si="88"/>
        <v>0</v>
      </c>
      <c r="T439" s="8">
        <v>16</v>
      </c>
      <c r="U439">
        <f t="shared" si="89"/>
        <v>26150.364320000001</v>
      </c>
      <c r="V439">
        <f t="shared" si="90"/>
        <v>19882.560000000001</v>
      </c>
      <c r="W439">
        <f t="shared" si="91"/>
        <v>6267.8043199999993</v>
      </c>
      <c r="X439" s="10">
        <f t="shared" si="92"/>
        <v>0.23968325042440553</v>
      </c>
      <c r="Y439" t="str">
        <f t="shared" si="93"/>
        <v>High</v>
      </c>
      <c r="Z439" t="str">
        <f t="shared" si="94"/>
        <v>Not Met</v>
      </c>
      <c r="AA439" t="str">
        <f t="shared" si="95"/>
        <v>Low Discount</v>
      </c>
      <c r="AB439" s="10">
        <f>MIN(R439,ControlPanel!$B$5)</f>
        <v>8.8999999999999996E-2</v>
      </c>
      <c r="AC439">
        <f>P439*(1+ControlPanel!$B$6)</f>
        <v>1304.7930000000001</v>
      </c>
      <c r="AD439">
        <f>T439*(1+ControlPanel!$B$7)</f>
        <v>17.600000000000001</v>
      </c>
      <c r="AE439" s="6">
        <f t="shared" si="96"/>
        <v>28765.400752000001</v>
      </c>
      <c r="AF439">
        <f t="shared" si="97"/>
        <v>5801.0439519999964</v>
      </c>
    </row>
    <row r="440" spans="1:32" x14ac:dyDescent="0.3">
      <c r="A440" t="s">
        <v>126</v>
      </c>
      <c r="B440" s="4">
        <v>45453</v>
      </c>
      <c r="C440" s="4" t="str">
        <f t="shared" si="86"/>
        <v>Jun-2024</v>
      </c>
      <c r="D440" t="str">
        <f t="shared" si="87"/>
        <v>Q2-2024</v>
      </c>
      <c r="E440" s="4">
        <v>45454</v>
      </c>
      <c r="F440" s="12">
        <f t="shared" si="84"/>
        <v>45454</v>
      </c>
      <c r="G440" s="13">
        <f t="shared" si="85"/>
        <v>1</v>
      </c>
      <c r="H440" t="s">
        <v>649</v>
      </c>
      <c r="I440" t="s">
        <v>658</v>
      </c>
      <c r="J440" t="s">
        <v>674</v>
      </c>
      <c r="K440" t="s">
        <v>705</v>
      </c>
      <c r="L440" t="s">
        <v>709</v>
      </c>
      <c r="M440" t="s">
        <v>724</v>
      </c>
      <c r="N440" t="s">
        <v>731</v>
      </c>
      <c r="O440" t="s">
        <v>845</v>
      </c>
      <c r="P440" s="6">
        <v>1187.1300000000001</v>
      </c>
      <c r="Q440" s="6">
        <v>1795.17</v>
      </c>
      <c r="R440" s="10">
        <v>1.2E-2</v>
      </c>
      <c r="S440" s="10" t="b">
        <f t="shared" si="88"/>
        <v>0</v>
      </c>
      <c r="T440" s="8">
        <v>17</v>
      </c>
      <c r="U440">
        <f t="shared" si="89"/>
        <v>30151.675320000002</v>
      </c>
      <c r="V440">
        <f t="shared" si="90"/>
        <v>20181.210000000003</v>
      </c>
      <c r="W440">
        <f t="shared" si="91"/>
        <v>9970.4653199999993</v>
      </c>
      <c r="X440" s="10">
        <f t="shared" si="92"/>
        <v>0.33067699271046669</v>
      </c>
      <c r="Y440" t="str">
        <f t="shared" si="93"/>
        <v>High</v>
      </c>
      <c r="Z440" t="str">
        <f t="shared" si="94"/>
        <v>Met</v>
      </c>
      <c r="AA440" t="str">
        <f t="shared" si="95"/>
        <v>Low Discount</v>
      </c>
      <c r="AB440" s="10">
        <f>MIN(R440,ControlPanel!$B$5)</f>
        <v>1.2E-2</v>
      </c>
      <c r="AC440">
        <f>P440*(1+ControlPanel!$B$6)</f>
        <v>1246.4865000000002</v>
      </c>
      <c r="AD440">
        <f>T440*(1+ControlPanel!$B$7)</f>
        <v>18.700000000000003</v>
      </c>
      <c r="AE440" s="6">
        <f t="shared" si="96"/>
        <v>33166.842852000009</v>
      </c>
      <c r="AF440">
        <f t="shared" si="97"/>
        <v>9857.5453020000023</v>
      </c>
    </row>
    <row r="441" spans="1:32" x14ac:dyDescent="0.3">
      <c r="A441" t="s">
        <v>614</v>
      </c>
      <c r="B441" s="4">
        <v>45360</v>
      </c>
      <c r="C441" s="4" t="str">
        <f t="shared" si="86"/>
        <v>Mar-2024</v>
      </c>
      <c r="D441" t="str">
        <f t="shared" si="87"/>
        <v>Q1-2024</v>
      </c>
      <c r="E441" s="4">
        <v>45373</v>
      </c>
      <c r="F441" s="12">
        <f t="shared" si="84"/>
        <v>45373</v>
      </c>
      <c r="G441" s="13">
        <f t="shared" si="85"/>
        <v>13</v>
      </c>
      <c r="H441" t="s">
        <v>649</v>
      </c>
      <c r="I441" t="s">
        <v>658</v>
      </c>
      <c r="J441" t="s">
        <v>693</v>
      </c>
      <c r="K441" t="s">
        <v>704</v>
      </c>
      <c r="L441" t="s">
        <v>708</v>
      </c>
      <c r="M441" t="s">
        <v>718</v>
      </c>
      <c r="N441" t="s">
        <v>731</v>
      </c>
      <c r="O441" t="s">
        <v>1332</v>
      </c>
      <c r="P441" s="6">
        <v>985.45</v>
      </c>
      <c r="Q441" s="6">
        <v>1802.44</v>
      </c>
      <c r="R441" s="10">
        <v>8.9999999999999993E-3</v>
      </c>
      <c r="S441" s="10" t="b">
        <f t="shared" si="88"/>
        <v>0</v>
      </c>
      <c r="T441" s="8">
        <v>19</v>
      </c>
      <c r="U441">
        <f t="shared" si="89"/>
        <v>33938.142760000002</v>
      </c>
      <c r="V441">
        <f t="shared" si="90"/>
        <v>18723.55</v>
      </c>
      <c r="W441">
        <f t="shared" si="91"/>
        <v>15214.592760000003</v>
      </c>
      <c r="X441" s="10">
        <f t="shared" si="92"/>
        <v>0.44830363486867486</v>
      </c>
      <c r="Y441" t="str">
        <f t="shared" si="93"/>
        <v>High</v>
      </c>
      <c r="Z441" t="str">
        <f t="shared" si="94"/>
        <v>Not Met</v>
      </c>
      <c r="AA441" t="str">
        <f t="shared" si="95"/>
        <v>Low Discount</v>
      </c>
      <c r="AB441" s="10">
        <f>MIN(R441,ControlPanel!$B$5)</f>
        <v>8.9999999999999993E-3</v>
      </c>
      <c r="AC441">
        <f>P441*(1+ControlPanel!$B$6)</f>
        <v>1034.7225000000001</v>
      </c>
      <c r="AD441">
        <f>T441*(1+ControlPanel!$B$7)</f>
        <v>20.900000000000002</v>
      </c>
      <c r="AE441" s="6">
        <f t="shared" si="96"/>
        <v>37331.957036</v>
      </c>
      <c r="AF441">
        <f t="shared" si="97"/>
        <v>15706.256785999994</v>
      </c>
    </row>
    <row r="442" spans="1:32" x14ac:dyDescent="0.3">
      <c r="A442" t="s">
        <v>222</v>
      </c>
      <c r="B442" s="4">
        <v>45545</v>
      </c>
      <c r="C442" s="4" t="str">
        <f t="shared" si="86"/>
        <v>Sep-2024</v>
      </c>
      <c r="D442" t="str">
        <f t="shared" si="87"/>
        <v>Q3-2024</v>
      </c>
      <c r="E442" s="4">
        <v>45572</v>
      </c>
      <c r="F442" s="12">
        <f t="shared" si="84"/>
        <v>45572</v>
      </c>
      <c r="G442" s="13">
        <f t="shared" si="85"/>
        <v>27</v>
      </c>
      <c r="H442" t="s">
        <v>646</v>
      </c>
      <c r="I442" t="s">
        <v>650</v>
      </c>
      <c r="J442" t="s">
        <v>662</v>
      </c>
      <c r="K442" t="s">
        <v>704</v>
      </c>
      <c r="L442" t="s">
        <v>707</v>
      </c>
      <c r="M442" t="s">
        <v>716</v>
      </c>
      <c r="N442" t="s">
        <v>728</v>
      </c>
      <c r="O442" t="s">
        <v>942</v>
      </c>
      <c r="P442" s="6">
        <v>1248.3900000000001</v>
      </c>
      <c r="Q442" s="6">
        <v>1805.11</v>
      </c>
      <c r="R442" s="10">
        <v>0.20300000000000001</v>
      </c>
      <c r="S442" s="10" t="b">
        <f t="shared" si="88"/>
        <v>0</v>
      </c>
      <c r="T442" s="8">
        <v>11</v>
      </c>
      <c r="U442">
        <f t="shared" si="89"/>
        <v>15825.399369999997</v>
      </c>
      <c r="V442">
        <f t="shared" si="90"/>
        <v>13732.29</v>
      </c>
      <c r="W442">
        <f t="shared" si="91"/>
        <v>2093.1093699999965</v>
      </c>
      <c r="X442" s="10">
        <f t="shared" si="92"/>
        <v>0.13226265707820786</v>
      </c>
      <c r="Y442" t="str">
        <f t="shared" si="93"/>
        <v>High</v>
      </c>
      <c r="Z442" t="str">
        <f t="shared" si="94"/>
        <v>Not Met</v>
      </c>
      <c r="AA442" t="str">
        <f t="shared" si="95"/>
        <v>High Discount</v>
      </c>
      <c r="AB442" s="10">
        <f>MIN(R442,ControlPanel!$B$5)</f>
        <v>0.2</v>
      </c>
      <c r="AC442">
        <f>P442*(1+ControlPanel!$B$6)</f>
        <v>1310.8095000000001</v>
      </c>
      <c r="AD442">
        <f>T442*(1+ControlPanel!$B$7)</f>
        <v>12.100000000000001</v>
      </c>
      <c r="AE442" s="6">
        <f t="shared" si="96"/>
        <v>17473.464800000002</v>
      </c>
      <c r="AF442">
        <f t="shared" si="97"/>
        <v>1612.6698499999984</v>
      </c>
    </row>
    <row r="443" spans="1:32" x14ac:dyDescent="0.3">
      <c r="A443" t="s">
        <v>99</v>
      </c>
      <c r="B443" s="4">
        <v>45741</v>
      </c>
      <c r="C443" s="4" t="str">
        <f t="shared" si="86"/>
        <v>Mar-2025</v>
      </c>
      <c r="D443" t="str">
        <f t="shared" si="87"/>
        <v>Q1-2025</v>
      </c>
      <c r="E443" s="4">
        <v>45764</v>
      </c>
      <c r="F443" s="12">
        <f t="shared" si="84"/>
        <v>45764</v>
      </c>
      <c r="G443" s="13">
        <f t="shared" si="85"/>
        <v>23</v>
      </c>
      <c r="H443" t="s">
        <v>649</v>
      </c>
      <c r="I443" t="s">
        <v>658</v>
      </c>
      <c r="J443" t="s">
        <v>683</v>
      </c>
      <c r="K443" t="s">
        <v>704</v>
      </c>
      <c r="L443" t="s">
        <v>707</v>
      </c>
      <c r="M443" t="s">
        <v>722</v>
      </c>
      <c r="N443" t="s">
        <v>729</v>
      </c>
      <c r="O443" t="s">
        <v>818</v>
      </c>
      <c r="P443" s="6">
        <v>1421.19</v>
      </c>
      <c r="Q443" s="6">
        <v>1808.26</v>
      </c>
      <c r="R443" s="10">
        <v>0.104</v>
      </c>
      <c r="S443" s="10" t="b">
        <f t="shared" si="88"/>
        <v>0</v>
      </c>
      <c r="T443" s="8">
        <v>13</v>
      </c>
      <c r="U443">
        <f t="shared" si="89"/>
        <v>21062.612480000003</v>
      </c>
      <c r="V443">
        <f t="shared" si="90"/>
        <v>18475.47</v>
      </c>
      <c r="W443">
        <f t="shared" si="91"/>
        <v>2587.1424800000023</v>
      </c>
      <c r="X443" s="10">
        <f t="shared" si="92"/>
        <v>0.12283103449093138</v>
      </c>
      <c r="Y443" t="str">
        <f t="shared" si="93"/>
        <v>High</v>
      </c>
      <c r="Z443" t="str">
        <f t="shared" si="94"/>
        <v>Not Met</v>
      </c>
      <c r="AA443" t="str">
        <f t="shared" si="95"/>
        <v>Low Discount</v>
      </c>
      <c r="AB443" s="10">
        <f>MIN(R443,ControlPanel!$B$5)</f>
        <v>0.104</v>
      </c>
      <c r="AC443">
        <f>P443*(1+ControlPanel!$B$6)</f>
        <v>1492.2495000000001</v>
      </c>
      <c r="AD443">
        <f>T443*(1+ControlPanel!$B$7)</f>
        <v>14.3</v>
      </c>
      <c r="AE443" s="6">
        <f t="shared" si="96"/>
        <v>23168.873728000002</v>
      </c>
      <c r="AF443">
        <f t="shared" si="97"/>
        <v>1829.7058780000007</v>
      </c>
    </row>
    <row r="444" spans="1:32" x14ac:dyDescent="0.3">
      <c r="A444" t="s">
        <v>267</v>
      </c>
      <c r="B444" s="4">
        <v>45502</v>
      </c>
      <c r="C444" s="4" t="str">
        <f t="shared" si="86"/>
        <v>Jul-2024</v>
      </c>
      <c r="D444" t="str">
        <f t="shared" si="87"/>
        <v>Q3-2024</v>
      </c>
      <c r="E444" s="4">
        <v>45504</v>
      </c>
      <c r="F444" s="12">
        <f t="shared" si="84"/>
        <v>45504</v>
      </c>
      <c r="G444" s="13">
        <f t="shared" si="85"/>
        <v>2</v>
      </c>
      <c r="H444" t="s">
        <v>648</v>
      </c>
      <c r="I444" t="s">
        <v>660</v>
      </c>
      <c r="J444" t="s">
        <v>700</v>
      </c>
      <c r="K444" t="s">
        <v>702</v>
      </c>
      <c r="L444" t="s">
        <v>709</v>
      </c>
      <c r="M444" t="s">
        <v>714</v>
      </c>
      <c r="N444" t="s">
        <v>728</v>
      </c>
      <c r="O444" t="s">
        <v>987</v>
      </c>
      <c r="P444" s="6">
        <v>798.97</v>
      </c>
      <c r="Q444" s="6">
        <v>1814.06</v>
      </c>
      <c r="R444" s="10">
        <v>0.122</v>
      </c>
      <c r="S444" s="10" t="b">
        <f t="shared" si="88"/>
        <v>0</v>
      </c>
      <c r="T444" s="8">
        <v>16</v>
      </c>
      <c r="U444">
        <f t="shared" si="89"/>
        <v>25483.91488</v>
      </c>
      <c r="V444">
        <f t="shared" si="90"/>
        <v>12783.52</v>
      </c>
      <c r="W444">
        <f t="shared" si="91"/>
        <v>12700.39488</v>
      </c>
      <c r="X444" s="10">
        <f t="shared" si="92"/>
        <v>0.49836906691159061</v>
      </c>
      <c r="Y444" t="str">
        <f t="shared" si="93"/>
        <v>High</v>
      </c>
      <c r="Z444" t="str">
        <f t="shared" si="94"/>
        <v>Met</v>
      </c>
      <c r="AA444" t="str">
        <f t="shared" si="95"/>
        <v>Low Discount</v>
      </c>
      <c r="AB444" s="10">
        <f>MIN(R444,ControlPanel!$B$5)</f>
        <v>0.122</v>
      </c>
      <c r="AC444">
        <f>P444*(1+ControlPanel!$B$6)</f>
        <v>838.91850000000011</v>
      </c>
      <c r="AD444">
        <f>T444*(1+ControlPanel!$B$7)</f>
        <v>17.600000000000001</v>
      </c>
      <c r="AE444" s="6">
        <f t="shared" si="96"/>
        <v>28032.306368000001</v>
      </c>
      <c r="AF444">
        <f t="shared" si="97"/>
        <v>13267.340767999998</v>
      </c>
    </row>
    <row r="445" spans="1:32" x14ac:dyDescent="0.3">
      <c r="A445" t="s">
        <v>356</v>
      </c>
      <c r="B445" s="4">
        <v>45594</v>
      </c>
      <c r="C445" s="4" t="str">
        <f t="shared" si="86"/>
        <v>Oct-2024</v>
      </c>
      <c r="D445" t="str">
        <f t="shared" si="87"/>
        <v>Q4-2024</v>
      </c>
      <c r="E445" s="4">
        <v>45600</v>
      </c>
      <c r="F445" s="12">
        <f t="shared" si="84"/>
        <v>45600</v>
      </c>
      <c r="G445" s="13">
        <f t="shared" si="85"/>
        <v>6</v>
      </c>
      <c r="H445" t="s">
        <v>646</v>
      </c>
      <c r="I445" t="s">
        <v>650</v>
      </c>
      <c r="J445" t="s">
        <v>664</v>
      </c>
      <c r="K445" t="s">
        <v>701</v>
      </c>
      <c r="L445" t="s">
        <v>710</v>
      </c>
      <c r="M445" t="s">
        <v>724</v>
      </c>
      <c r="N445" t="s">
        <v>728</v>
      </c>
      <c r="O445" t="s">
        <v>1076</v>
      </c>
      <c r="P445" s="6">
        <v>805.81</v>
      </c>
      <c r="Q445" s="6">
        <v>1823.04</v>
      </c>
      <c r="R445" s="10">
        <v>0</v>
      </c>
      <c r="S445" s="10" t="b">
        <f t="shared" si="88"/>
        <v>0</v>
      </c>
      <c r="T445" s="8">
        <v>11</v>
      </c>
      <c r="U445">
        <f t="shared" si="89"/>
        <v>20053.439999999999</v>
      </c>
      <c r="V445">
        <f t="shared" si="90"/>
        <v>8863.91</v>
      </c>
      <c r="W445">
        <f t="shared" si="91"/>
        <v>11189.529999999999</v>
      </c>
      <c r="X445" s="10">
        <f t="shared" si="92"/>
        <v>0.55798556257679477</v>
      </c>
      <c r="Y445" t="str">
        <f t="shared" si="93"/>
        <v>High</v>
      </c>
      <c r="Z445" t="str">
        <f t="shared" si="94"/>
        <v>Met</v>
      </c>
      <c r="AA445" t="str">
        <f t="shared" si="95"/>
        <v>Low Discount</v>
      </c>
      <c r="AB445" s="10">
        <f>MIN(R445,ControlPanel!$B$5)</f>
        <v>0</v>
      </c>
      <c r="AC445">
        <f>P445*(1+ControlPanel!$B$6)</f>
        <v>846.10050000000001</v>
      </c>
      <c r="AD445">
        <f>T445*(1+ControlPanel!$B$7)</f>
        <v>12.100000000000001</v>
      </c>
      <c r="AE445" s="6">
        <f t="shared" si="96"/>
        <v>22058.784000000003</v>
      </c>
      <c r="AF445">
        <f t="shared" si="97"/>
        <v>11820.967950000002</v>
      </c>
    </row>
    <row r="446" spans="1:32" x14ac:dyDescent="0.3">
      <c r="A446" t="s">
        <v>63</v>
      </c>
      <c r="B446" s="4">
        <v>45579</v>
      </c>
      <c r="C446" s="4" t="str">
        <f t="shared" si="86"/>
        <v>Oct-2024</v>
      </c>
      <c r="D446" t="str">
        <f t="shared" si="87"/>
        <v>Q4-2024</v>
      </c>
      <c r="E446" s="4">
        <v>45604</v>
      </c>
      <c r="F446" s="12">
        <f t="shared" si="84"/>
        <v>45604</v>
      </c>
      <c r="G446" s="13">
        <f t="shared" si="85"/>
        <v>25</v>
      </c>
      <c r="H446" t="s">
        <v>646</v>
      </c>
      <c r="I446" t="s">
        <v>651</v>
      </c>
      <c r="J446" t="s">
        <v>665</v>
      </c>
      <c r="K446" t="s">
        <v>706</v>
      </c>
      <c r="L446" t="s">
        <v>708</v>
      </c>
      <c r="M446" t="s">
        <v>719</v>
      </c>
      <c r="N446" t="s">
        <v>729</v>
      </c>
      <c r="O446" t="s">
        <v>782</v>
      </c>
      <c r="P446" s="6">
        <v>859.35</v>
      </c>
      <c r="Q446" s="6">
        <v>1825.61</v>
      </c>
      <c r="R446" s="10">
        <v>0.187</v>
      </c>
      <c r="S446" s="10" t="b">
        <f t="shared" si="88"/>
        <v>0</v>
      </c>
      <c r="T446" s="8">
        <v>24</v>
      </c>
      <c r="U446">
        <f t="shared" si="89"/>
        <v>35621.302319999995</v>
      </c>
      <c r="V446">
        <f t="shared" si="90"/>
        <v>20624.400000000001</v>
      </c>
      <c r="W446">
        <f t="shared" si="91"/>
        <v>14996.902319999994</v>
      </c>
      <c r="X446" s="10">
        <f t="shared" si="92"/>
        <v>0.42100937762681989</v>
      </c>
      <c r="Y446" t="str">
        <f t="shared" si="93"/>
        <v>High</v>
      </c>
      <c r="Z446" t="str">
        <f t="shared" si="94"/>
        <v>Not Met</v>
      </c>
      <c r="AA446" t="str">
        <f t="shared" si="95"/>
        <v>Low Discount</v>
      </c>
      <c r="AB446" s="10">
        <f>MIN(R446,ControlPanel!$B$5)</f>
        <v>0.187</v>
      </c>
      <c r="AC446">
        <f>P446*(1+ControlPanel!$B$6)</f>
        <v>902.31750000000011</v>
      </c>
      <c r="AD446">
        <f>T446*(1+ControlPanel!$B$7)</f>
        <v>26.400000000000002</v>
      </c>
      <c r="AE446" s="6">
        <f t="shared" si="96"/>
        <v>39183.432551999998</v>
      </c>
      <c r="AF446">
        <f t="shared" si="97"/>
        <v>15362.250551999994</v>
      </c>
    </row>
    <row r="447" spans="1:32" x14ac:dyDescent="0.3">
      <c r="A447" t="s">
        <v>582</v>
      </c>
      <c r="B447" s="4">
        <v>45600</v>
      </c>
      <c r="C447" s="4" t="str">
        <f t="shared" si="86"/>
        <v>Nov-2024</v>
      </c>
      <c r="D447" t="str">
        <f t="shared" si="87"/>
        <v>Q4-2024</v>
      </c>
      <c r="E447" s="4">
        <v>45603</v>
      </c>
      <c r="F447" s="12">
        <f t="shared" si="84"/>
        <v>45603</v>
      </c>
      <c r="G447" s="13">
        <f t="shared" si="85"/>
        <v>3</v>
      </c>
      <c r="H447" t="s">
        <v>649</v>
      </c>
      <c r="I447" t="s">
        <v>657</v>
      </c>
      <c r="J447" t="s">
        <v>679</v>
      </c>
      <c r="K447" t="s">
        <v>701</v>
      </c>
      <c r="L447" t="s">
        <v>708</v>
      </c>
      <c r="M447" t="s">
        <v>719</v>
      </c>
      <c r="N447" t="s">
        <v>732</v>
      </c>
      <c r="O447" t="s">
        <v>1300</v>
      </c>
      <c r="P447" s="6">
        <v>740.68</v>
      </c>
      <c r="Q447" s="6">
        <v>1837.19</v>
      </c>
      <c r="R447" s="10">
        <v>0.19700000000000001</v>
      </c>
      <c r="S447" s="10" t="b">
        <f t="shared" si="88"/>
        <v>0</v>
      </c>
      <c r="T447" s="8">
        <v>17</v>
      </c>
      <c r="U447">
        <f t="shared" si="89"/>
        <v>25079.480689999997</v>
      </c>
      <c r="V447">
        <f t="shared" si="90"/>
        <v>12591.56</v>
      </c>
      <c r="W447">
        <f t="shared" si="91"/>
        <v>12487.920689999997</v>
      </c>
      <c r="X447" s="10">
        <f t="shared" si="92"/>
        <v>0.4979337827748298</v>
      </c>
      <c r="Y447" t="str">
        <f t="shared" si="93"/>
        <v>High</v>
      </c>
      <c r="Z447" t="str">
        <f t="shared" si="94"/>
        <v>Met</v>
      </c>
      <c r="AA447" t="str">
        <f t="shared" si="95"/>
        <v>Low Discount</v>
      </c>
      <c r="AB447" s="10">
        <f>MIN(R447,ControlPanel!$B$5)</f>
        <v>0.19700000000000001</v>
      </c>
      <c r="AC447">
        <f>P447*(1+ControlPanel!$B$6)</f>
        <v>777.71399999999994</v>
      </c>
      <c r="AD447">
        <f>T447*(1+ControlPanel!$B$7)</f>
        <v>18.700000000000003</v>
      </c>
      <c r="AE447" s="6">
        <f t="shared" si="96"/>
        <v>27587.428759000002</v>
      </c>
      <c r="AF447">
        <f t="shared" si="97"/>
        <v>13044.176959</v>
      </c>
    </row>
    <row r="448" spans="1:32" x14ac:dyDescent="0.3">
      <c r="A448" t="s">
        <v>576</v>
      </c>
      <c r="B448" s="4">
        <v>45626</v>
      </c>
      <c r="C448" s="4" t="str">
        <f t="shared" si="86"/>
        <v>Nov-2024</v>
      </c>
      <c r="D448" t="str">
        <f t="shared" si="87"/>
        <v>Q4-2024</v>
      </c>
      <c r="E448" s="4">
        <v>45645</v>
      </c>
      <c r="F448" s="12">
        <f t="shared" si="84"/>
        <v>45645</v>
      </c>
      <c r="G448" s="13">
        <f t="shared" si="85"/>
        <v>19</v>
      </c>
      <c r="H448" t="s">
        <v>646</v>
      </c>
      <c r="I448" t="s">
        <v>650</v>
      </c>
      <c r="J448" t="s">
        <v>662</v>
      </c>
      <c r="K448" t="s">
        <v>701</v>
      </c>
      <c r="L448" t="s">
        <v>708</v>
      </c>
      <c r="M448" t="s">
        <v>716</v>
      </c>
      <c r="N448" t="s">
        <v>730</v>
      </c>
      <c r="O448" t="s">
        <v>1294</v>
      </c>
      <c r="P448" s="6">
        <v>1195.98</v>
      </c>
      <c r="Q448" s="6">
        <v>1841.9</v>
      </c>
      <c r="R448" s="10">
        <v>5.5E-2</v>
      </c>
      <c r="S448" s="10" t="b">
        <f t="shared" si="88"/>
        <v>0</v>
      </c>
      <c r="T448" s="8">
        <v>19</v>
      </c>
      <c r="U448">
        <f t="shared" si="89"/>
        <v>33071.3145</v>
      </c>
      <c r="V448">
        <f t="shared" si="90"/>
        <v>22723.62</v>
      </c>
      <c r="W448">
        <f t="shared" si="91"/>
        <v>10347.694500000001</v>
      </c>
      <c r="X448" s="10">
        <f t="shared" si="92"/>
        <v>0.31289032977506842</v>
      </c>
      <c r="Y448" t="str">
        <f t="shared" si="93"/>
        <v>High</v>
      </c>
      <c r="Z448" t="str">
        <f t="shared" si="94"/>
        <v>Not Met</v>
      </c>
      <c r="AA448" t="str">
        <f t="shared" si="95"/>
        <v>Low Discount</v>
      </c>
      <c r="AB448" s="10">
        <f>MIN(R448,ControlPanel!$B$5)</f>
        <v>5.5E-2</v>
      </c>
      <c r="AC448">
        <f>P448*(1+ControlPanel!$B$6)</f>
        <v>1255.779</v>
      </c>
      <c r="AD448">
        <f>T448*(1+ControlPanel!$B$7)</f>
        <v>20.900000000000002</v>
      </c>
      <c r="AE448" s="6">
        <f t="shared" si="96"/>
        <v>36378.445950000001</v>
      </c>
      <c r="AF448">
        <f t="shared" si="97"/>
        <v>10132.664849999997</v>
      </c>
    </row>
    <row r="449" spans="1:32" x14ac:dyDescent="0.3">
      <c r="A449" t="s">
        <v>485</v>
      </c>
      <c r="B449" s="4">
        <v>45167</v>
      </c>
      <c r="C449" s="4" t="str">
        <f t="shared" si="86"/>
        <v>Aug-2023</v>
      </c>
      <c r="D449" t="str">
        <f t="shared" si="87"/>
        <v>Q3-2023</v>
      </c>
      <c r="E449" s="4">
        <v>45188</v>
      </c>
      <c r="F449" s="12">
        <f t="shared" si="84"/>
        <v>45188</v>
      </c>
      <c r="G449" s="13">
        <f t="shared" si="85"/>
        <v>21</v>
      </c>
      <c r="H449" t="s">
        <v>649</v>
      </c>
      <c r="I449" t="s">
        <v>657</v>
      </c>
      <c r="J449" t="s">
        <v>679</v>
      </c>
      <c r="K449" t="s">
        <v>705</v>
      </c>
      <c r="L449" t="s">
        <v>711</v>
      </c>
      <c r="M449" t="s">
        <v>717</v>
      </c>
      <c r="N449" t="s">
        <v>728</v>
      </c>
      <c r="O449" t="s">
        <v>1204</v>
      </c>
      <c r="P449" s="6">
        <v>784.46</v>
      </c>
      <c r="Q449" s="6">
        <v>1843.51</v>
      </c>
      <c r="R449" s="10">
        <v>0.13800000000000001</v>
      </c>
      <c r="S449" s="10" t="b">
        <f t="shared" si="88"/>
        <v>0</v>
      </c>
      <c r="T449" s="8">
        <v>23</v>
      </c>
      <c r="U449">
        <f t="shared" si="89"/>
        <v>36549.429260000004</v>
      </c>
      <c r="V449">
        <f t="shared" si="90"/>
        <v>18042.580000000002</v>
      </c>
      <c r="W449">
        <f t="shared" si="91"/>
        <v>18506.849260000003</v>
      </c>
      <c r="X449" s="10">
        <f t="shared" si="92"/>
        <v>0.50635125184441798</v>
      </c>
      <c r="Y449" t="str">
        <f t="shared" si="93"/>
        <v>High</v>
      </c>
      <c r="Z449" t="str">
        <f t="shared" si="94"/>
        <v>Not Met</v>
      </c>
      <c r="AA449" t="str">
        <f t="shared" si="95"/>
        <v>Low Discount</v>
      </c>
      <c r="AB449" s="10">
        <f>MIN(R449,ControlPanel!$B$5)</f>
        <v>0.13800000000000001</v>
      </c>
      <c r="AC449">
        <f>P449*(1+ControlPanel!$B$6)</f>
        <v>823.68300000000011</v>
      </c>
      <c r="AD449">
        <f>T449*(1+ControlPanel!$B$7)</f>
        <v>25.3</v>
      </c>
      <c r="AE449" s="6">
        <f t="shared" si="96"/>
        <v>40204.372186000001</v>
      </c>
      <c r="AF449">
        <f t="shared" si="97"/>
        <v>19365.192285999998</v>
      </c>
    </row>
    <row r="450" spans="1:32" x14ac:dyDescent="0.3">
      <c r="A450" t="s">
        <v>141</v>
      </c>
      <c r="B450" s="4">
        <v>45450</v>
      </c>
      <c r="C450" s="4" t="str">
        <f t="shared" si="86"/>
        <v>Jun-2024</v>
      </c>
      <c r="D450" t="str">
        <f t="shared" si="87"/>
        <v>Q2-2024</v>
      </c>
      <c r="E450" s="4">
        <v>45469</v>
      </c>
      <c r="F450" s="12">
        <f t="shared" ref="F450:F513" si="98">IF(B450&gt;E450,B450+14,E450)</f>
        <v>45469</v>
      </c>
      <c r="G450" s="13">
        <f t="shared" ref="G450:G513" si="99">F450-B450</f>
        <v>19</v>
      </c>
      <c r="H450" t="s">
        <v>649</v>
      </c>
      <c r="I450" t="s">
        <v>656</v>
      </c>
      <c r="J450" t="s">
        <v>671</v>
      </c>
      <c r="K450" t="s">
        <v>703</v>
      </c>
      <c r="L450" t="s">
        <v>709</v>
      </c>
      <c r="M450" t="s">
        <v>724</v>
      </c>
      <c r="N450" t="s">
        <v>727</v>
      </c>
      <c r="O450" t="s">
        <v>860</v>
      </c>
      <c r="P450" s="6">
        <v>1064.32</v>
      </c>
      <c r="Q450" s="6">
        <v>1848.39</v>
      </c>
      <c r="R450" s="10">
        <v>7.2999999999999995E-2</v>
      </c>
      <c r="S450" s="10" t="b">
        <f t="shared" si="88"/>
        <v>0</v>
      </c>
      <c r="T450" s="8">
        <v>38</v>
      </c>
      <c r="U450">
        <f t="shared" si="89"/>
        <v>65111.386140000002</v>
      </c>
      <c r="V450">
        <f t="shared" si="90"/>
        <v>40444.159999999996</v>
      </c>
      <c r="W450">
        <f t="shared" si="91"/>
        <v>24667.226140000006</v>
      </c>
      <c r="X450" s="10">
        <f t="shared" si="92"/>
        <v>0.37884658279216299</v>
      </c>
      <c r="Y450" t="str">
        <f t="shared" si="93"/>
        <v>High</v>
      </c>
      <c r="Z450" t="str">
        <f t="shared" si="94"/>
        <v>Not Met</v>
      </c>
      <c r="AA450" t="str">
        <f t="shared" si="95"/>
        <v>Low Discount</v>
      </c>
      <c r="AB450" s="10">
        <f>MIN(R450,ControlPanel!$B$5)</f>
        <v>7.2999999999999995E-2</v>
      </c>
      <c r="AC450">
        <f>P450*(1+ControlPanel!$B$6)</f>
        <v>1117.5360000000001</v>
      </c>
      <c r="AD450">
        <f>T450*(1+ControlPanel!$B$7)</f>
        <v>41.800000000000004</v>
      </c>
      <c r="AE450" s="6">
        <f t="shared" si="96"/>
        <v>71622.524754000013</v>
      </c>
      <c r="AF450">
        <f t="shared" si="97"/>
        <v>24909.519954000003</v>
      </c>
    </row>
    <row r="451" spans="1:32" x14ac:dyDescent="0.3">
      <c r="A451" t="s">
        <v>182</v>
      </c>
      <c r="B451" s="4">
        <v>45435</v>
      </c>
      <c r="C451" s="4" t="str">
        <f t="shared" ref="C451:C514" si="100">TEXT(B451,"MMM-YYYY")</f>
        <v>May-2024</v>
      </c>
      <c r="D451" t="str">
        <f t="shared" ref="D451:D514" si="101">"Q" &amp; ROUNDUP(MONTH(B451)/3,0) &amp; "-" &amp; YEAR(B451)</f>
        <v>Q2-2024</v>
      </c>
      <c r="E451" s="4">
        <v>45457</v>
      </c>
      <c r="F451" s="12">
        <f t="shared" si="98"/>
        <v>45457</v>
      </c>
      <c r="G451" s="13">
        <f t="shared" si="99"/>
        <v>22</v>
      </c>
      <c r="H451" t="s">
        <v>649</v>
      </c>
      <c r="I451" t="s">
        <v>657</v>
      </c>
      <c r="J451" t="s">
        <v>673</v>
      </c>
      <c r="K451" t="s">
        <v>705</v>
      </c>
      <c r="L451" t="s">
        <v>708</v>
      </c>
      <c r="M451" t="s">
        <v>725</v>
      </c>
      <c r="N451" t="s">
        <v>732</v>
      </c>
      <c r="O451" t="s">
        <v>901</v>
      </c>
      <c r="P451" s="6">
        <v>1481.74</v>
      </c>
      <c r="Q451" s="6">
        <v>1848.97</v>
      </c>
      <c r="R451" s="10">
        <v>0.254</v>
      </c>
      <c r="S451" s="10" t="b">
        <f t="shared" ref="S451:S514" si="102">IF(R451&gt;30,TRUE)</f>
        <v>0</v>
      </c>
      <c r="T451" s="8">
        <v>9</v>
      </c>
      <c r="U451">
        <f t="shared" ref="U451:U514" si="103">(Q451*(100%-R451))*T451</f>
        <v>12413.98458</v>
      </c>
      <c r="V451">
        <f t="shared" ref="V451:V514" si="104">P451*T451</f>
        <v>13335.66</v>
      </c>
      <c r="W451">
        <f t="shared" ref="W451:W514" si="105">U451-V451</f>
        <v>-921.67541999999958</v>
      </c>
      <c r="X451" s="10">
        <f t="shared" ref="X451:X514" si="106">IF(U451=0,0,W451/U451)</f>
        <v>-7.4244930309072407E-2</v>
      </c>
      <c r="Y451" t="str">
        <f t="shared" ref="Y451:Y514" si="107">IF(Q451&lt;=_xlfn.PERCENTILE.INC($Q$2:$Q$610,0.33),"Low",IF(Q451&lt;=_xlfn.PERCENTILE.INC($Q$2:$Q$610,0.67),"Medium","High"))</f>
        <v>High</v>
      </c>
      <c r="Z451" t="str">
        <f t="shared" ref="Z451:Z514" si="108">IF(G451&lt;=7,"Met","Not Met")</f>
        <v>Not Met</v>
      </c>
      <c r="AA451" t="str">
        <f t="shared" ref="AA451:AA514" si="109">IF(R451&gt;20%,"High Discount","Low Discount")</f>
        <v>High Discount</v>
      </c>
      <c r="AB451" s="10">
        <f>MIN(R451,ControlPanel!$B$5)</f>
        <v>0.2</v>
      </c>
      <c r="AC451">
        <f>P451*(1+ControlPanel!$B$6)</f>
        <v>1555.827</v>
      </c>
      <c r="AD451">
        <f>T451*(1+ControlPanel!$B$7)</f>
        <v>9.9</v>
      </c>
      <c r="AE451" s="6">
        <f t="shared" ref="AE451:AE514" si="110">(Q451*(100%-AB451)*AD451)</f>
        <v>14643.842400000001</v>
      </c>
      <c r="AF451">
        <f t="shared" ref="AF451:AF514" si="111">AE451-(AC451*AD451)</f>
        <v>-758.84490000000005</v>
      </c>
    </row>
    <row r="452" spans="1:32" x14ac:dyDescent="0.3">
      <c r="A452" t="s">
        <v>153</v>
      </c>
      <c r="B452" s="4">
        <v>45616</v>
      </c>
      <c r="C452" s="4" t="str">
        <f t="shared" si="100"/>
        <v>Nov-2024</v>
      </c>
      <c r="D452" t="str">
        <f t="shared" si="101"/>
        <v>Q4-2024</v>
      </c>
      <c r="E452" s="4">
        <v>45641</v>
      </c>
      <c r="F452" s="12">
        <f t="shared" si="98"/>
        <v>45641</v>
      </c>
      <c r="G452" s="13">
        <f t="shared" si="99"/>
        <v>25</v>
      </c>
      <c r="H452" t="s">
        <v>649</v>
      </c>
      <c r="I452" t="s">
        <v>657</v>
      </c>
      <c r="J452" t="s">
        <v>690</v>
      </c>
      <c r="K452" t="s">
        <v>701</v>
      </c>
      <c r="L452" t="s">
        <v>708</v>
      </c>
      <c r="M452" t="s">
        <v>715</v>
      </c>
      <c r="N452" t="s">
        <v>728</v>
      </c>
      <c r="O452" t="s">
        <v>872</v>
      </c>
      <c r="P452" s="6">
        <v>1203.58</v>
      </c>
      <c r="Q452" s="6">
        <v>1856.16</v>
      </c>
      <c r="R452" s="10">
        <v>0.129</v>
      </c>
      <c r="S452" s="10" t="b">
        <f t="shared" si="102"/>
        <v>0</v>
      </c>
      <c r="T452" s="8">
        <v>22</v>
      </c>
      <c r="U452">
        <f t="shared" si="103"/>
        <v>35567.73792</v>
      </c>
      <c r="V452">
        <f t="shared" si="104"/>
        <v>26478.76</v>
      </c>
      <c r="W452">
        <f t="shared" si="105"/>
        <v>9088.9779200000012</v>
      </c>
      <c r="X452" s="10">
        <f t="shared" si="106"/>
        <v>0.25553994860295015</v>
      </c>
      <c r="Y452" t="str">
        <f t="shared" si="107"/>
        <v>High</v>
      </c>
      <c r="Z452" t="str">
        <f t="shared" si="108"/>
        <v>Not Met</v>
      </c>
      <c r="AA452" t="str">
        <f t="shared" si="109"/>
        <v>Low Discount</v>
      </c>
      <c r="AB452" s="10">
        <f>MIN(R452,ControlPanel!$B$5)</f>
        <v>0.129</v>
      </c>
      <c r="AC452">
        <f>P452*(1+ControlPanel!$B$6)</f>
        <v>1263.759</v>
      </c>
      <c r="AD452">
        <f>T452*(1+ControlPanel!$B$7)</f>
        <v>24.200000000000003</v>
      </c>
      <c r="AE452" s="6">
        <f t="shared" si="110"/>
        <v>39124.511712000007</v>
      </c>
      <c r="AF452">
        <f t="shared" si="111"/>
        <v>8541.5439120000046</v>
      </c>
    </row>
    <row r="453" spans="1:32" x14ac:dyDescent="0.3">
      <c r="A453" t="s">
        <v>523</v>
      </c>
      <c r="B453" s="4">
        <v>45608</v>
      </c>
      <c r="C453" s="4" t="str">
        <f t="shared" si="100"/>
        <v>Nov-2024</v>
      </c>
      <c r="D453" t="str">
        <f t="shared" si="101"/>
        <v>Q4-2024</v>
      </c>
      <c r="E453" s="4">
        <v>45617</v>
      </c>
      <c r="F453" s="12">
        <f t="shared" si="98"/>
        <v>45617</v>
      </c>
      <c r="G453" s="13">
        <f t="shared" si="99"/>
        <v>9</v>
      </c>
      <c r="H453" t="s">
        <v>647</v>
      </c>
      <c r="I453" t="s">
        <v>654</v>
      </c>
      <c r="J453" t="s">
        <v>691</v>
      </c>
      <c r="K453" t="s">
        <v>701</v>
      </c>
      <c r="L453" t="s">
        <v>711</v>
      </c>
      <c r="M453" t="s">
        <v>722</v>
      </c>
      <c r="N453" t="s">
        <v>731</v>
      </c>
      <c r="O453" t="s">
        <v>1242</v>
      </c>
      <c r="P453" s="6">
        <v>903.41</v>
      </c>
      <c r="Q453" s="6">
        <v>1860.41</v>
      </c>
      <c r="R453" s="10">
        <v>0.108</v>
      </c>
      <c r="S453" s="10" t="b">
        <f t="shared" si="102"/>
        <v>0</v>
      </c>
      <c r="T453" s="8">
        <v>5</v>
      </c>
      <c r="U453">
        <f t="shared" si="103"/>
        <v>8297.4286000000011</v>
      </c>
      <c r="V453">
        <f t="shared" si="104"/>
        <v>4517.05</v>
      </c>
      <c r="W453">
        <f t="shared" si="105"/>
        <v>3780.3786000000009</v>
      </c>
      <c r="X453" s="10">
        <f t="shared" si="106"/>
        <v>0.455608451996803</v>
      </c>
      <c r="Y453" t="str">
        <f t="shared" si="107"/>
        <v>High</v>
      </c>
      <c r="Z453" t="str">
        <f t="shared" si="108"/>
        <v>Not Met</v>
      </c>
      <c r="AA453" t="str">
        <f t="shared" si="109"/>
        <v>Low Discount</v>
      </c>
      <c r="AB453" s="10">
        <f>MIN(R453,ControlPanel!$B$5)</f>
        <v>0.108</v>
      </c>
      <c r="AC453">
        <f>P453*(1+ControlPanel!$B$6)</f>
        <v>948.58050000000003</v>
      </c>
      <c r="AD453">
        <f>T453*(1+ControlPanel!$B$7)</f>
        <v>5.5</v>
      </c>
      <c r="AE453" s="6">
        <f t="shared" si="110"/>
        <v>9127.1714600000014</v>
      </c>
      <c r="AF453">
        <f t="shared" si="111"/>
        <v>3909.9787100000012</v>
      </c>
    </row>
    <row r="454" spans="1:32" x14ac:dyDescent="0.3">
      <c r="A454" t="s">
        <v>473</v>
      </c>
      <c r="B454" s="4">
        <v>45417</v>
      </c>
      <c r="C454" s="4" t="str">
        <f t="shared" si="100"/>
        <v>May-2024</v>
      </c>
      <c r="D454" t="str">
        <f t="shared" si="101"/>
        <v>Q2-2024</v>
      </c>
      <c r="E454" s="4">
        <v>45430</v>
      </c>
      <c r="F454" s="12">
        <f t="shared" si="98"/>
        <v>45430</v>
      </c>
      <c r="G454" s="13">
        <f t="shared" si="99"/>
        <v>13</v>
      </c>
      <c r="H454" t="s">
        <v>649</v>
      </c>
      <c r="I454" t="s">
        <v>657</v>
      </c>
      <c r="J454" t="s">
        <v>673</v>
      </c>
      <c r="K454" t="s">
        <v>701</v>
      </c>
      <c r="L454" t="s">
        <v>709</v>
      </c>
      <c r="M454" t="s">
        <v>720</v>
      </c>
      <c r="N454" t="s">
        <v>727</v>
      </c>
      <c r="O454" t="s">
        <v>1192</v>
      </c>
      <c r="P454" s="6">
        <v>1264.04</v>
      </c>
      <c r="Q454" s="6">
        <v>1870.89</v>
      </c>
      <c r="R454" s="10">
        <v>0</v>
      </c>
      <c r="S454" s="10" t="b">
        <f t="shared" si="102"/>
        <v>0</v>
      </c>
      <c r="T454" s="8">
        <v>13</v>
      </c>
      <c r="U454">
        <f t="shared" si="103"/>
        <v>24321.57</v>
      </c>
      <c r="V454">
        <f t="shared" si="104"/>
        <v>16432.52</v>
      </c>
      <c r="W454">
        <f t="shared" si="105"/>
        <v>7889.0499999999993</v>
      </c>
      <c r="X454" s="10">
        <f t="shared" si="106"/>
        <v>0.32436433996653996</v>
      </c>
      <c r="Y454" t="str">
        <f t="shared" si="107"/>
        <v>High</v>
      </c>
      <c r="Z454" t="str">
        <f t="shared" si="108"/>
        <v>Not Met</v>
      </c>
      <c r="AA454" t="str">
        <f t="shared" si="109"/>
        <v>Low Discount</v>
      </c>
      <c r="AB454" s="10">
        <f>MIN(R454,ControlPanel!$B$5)</f>
        <v>0</v>
      </c>
      <c r="AC454">
        <f>P454*(1+ControlPanel!$B$6)</f>
        <v>1327.242</v>
      </c>
      <c r="AD454">
        <f>T454*(1+ControlPanel!$B$7)</f>
        <v>14.3</v>
      </c>
      <c r="AE454" s="6">
        <f t="shared" si="110"/>
        <v>26753.727000000003</v>
      </c>
      <c r="AF454">
        <f t="shared" si="111"/>
        <v>7774.1664000000019</v>
      </c>
    </row>
    <row r="455" spans="1:32" x14ac:dyDescent="0.3">
      <c r="A455" t="s">
        <v>84</v>
      </c>
      <c r="B455" s="4">
        <v>45037</v>
      </c>
      <c r="C455" s="4" t="str">
        <f t="shared" si="100"/>
        <v>Apr-2023</v>
      </c>
      <c r="D455" t="str">
        <f t="shared" si="101"/>
        <v>Q2-2023</v>
      </c>
      <c r="E455" s="4">
        <v>45056</v>
      </c>
      <c r="F455" s="12">
        <f t="shared" si="98"/>
        <v>45056</v>
      </c>
      <c r="G455" s="13">
        <f t="shared" si="99"/>
        <v>19</v>
      </c>
      <c r="H455" t="s">
        <v>647</v>
      </c>
      <c r="I455" t="s">
        <v>659</v>
      </c>
      <c r="J455" t="s">
        <v>685</v>
      </c>
      <c r="K455" t="s">
        <v>701</v>
      </c>
      <c r="L455" t="s">
        <v>707</v>
      </c>
      <c r="M455" t="s">
        <v>720</v>
      </c>
      <c r="N455" t="s">
        <v>727</v>
      </c>
      <c r="O455" t="s">
        <v>803</v>
      </c>
      <c r="P455" s="6">
        <v>882.33</v>
      </c>
      <c r="Q455" s="6">
        <v>1880.15</v>
      </c>
      <c r="R455" s="10">
        <v>0.05</v>
      </c>
      <c r="S455" s="10" t="b">
        <f t="shared" si="102"/>
        <v>0</v>
      </c>
      <c r="T455" s="8">
        <v>5</v>
      </c>
      <c r="U455">
        <f t="shared" si="103"/>
        <v>8930.7124999999996</v>
      </c>
      <c r="V455">
        <f t="shared" si="104"/>
        <v>4411.6500000000005</v>
      </c>
      <c r="W455">
        <f t="shared" si="105"/>
        <v>4519.0624999999991</v>
      </c>
      <c r="X455" s="10">
        <f t="shared" si="106"/>
        <v>0.50601365792482955</v>
      </c>
      <c r="Y455" t="str">
        <f t="shared" si="107"/>
        <v>High</v>
      </c>
      <c r="Z455" t="str">
        <f t="shared" si="108"/>
        <v>Not Met</v>
      </c>
      <c r="AA455" t="str">
        <f t="shared" si="109"/>
        <v>Low Discount</v>
      </c>
      <c r="AB455" s="10">
        <f>MIN(R455,ControlPanel!$B$5)</f>
        <v>0.05</v>
      </c>
      <c r="AC455">
        <f>P455*(1+ControlPanel!$B$6)</f>
        <v>926.44650000000013</v>
      </c>
      <c r="AD455">
        <f>T455*(1+ControlPanel!$B$7)</f>
        <v>5.5</v>
      </c>
      <c r="AE455" s="6">
        <f t="shared" si="110"/>
        <v>9823.7837499999987</v>
      </c>
      <c r="AF455">
        <f t="shared" si="111"/>
        <v>4728.3279999999977</v>
      </c>
    </row>
    <row r="456" spans="1:32" x14ac:dyDescent="0.3">
      <c r="A456" t="s">
        <v>112</v>
      </c>
      <c r="B456" s="4">
        <v>45440</v>
      </c>
      <c r="C456" s="4" t="str">
        <f t="shared" si="100"/>
        <v>May-2024</v>
      </c>
      <c r="D456" t="str">
        <f t="shared" si="101"/>
        <v>Q2-2024</v>
      </c>
      <c r="E456" s="4">
        <v>45438</v>
      </c>
      <c r="F456" s="12">
        <f t="shared" si="98"/>
        <v>45454</v>
      </c>
      <c r="G456" s="13">
        <f t="shared" si="99"/>
        <v>14</v>
      </c>
      <c r="H456" t="s">
        <v>646</v>
      </c>
      <c r="I456" t="s">
        <v>651</v>
      </c>
      <c r="J456" t="s">
        <v>669</v>
      </c>
      <c r="K456" t="s">
        <v>706</v>
      </c>
      <c r="L456" t="s">
        <v>708</v>
      </c>
      <c r="M456" t="s">
        <v>721</v>
      </c>
      <c r="N456" t="s">
        <v>733</v>
      </c>
      <c r="O456" t="s">
        <v>831</v>
      </c>
      <c r="P456" s="6">
        <v>1227.08</v>
      </c>
      <c r="Q456" s="6">
        <v>1896.62</v>
      </c>
      <c r="R456" s="10">
        <v>0</v>
      </c>
      <c r="S456" s="10" t="b">
        <f t="shared" si="102"/>
        <v>0</v>
      </c>
      <c r="T456" s="8">
        <v>18</v>
      </c>
      <c r="U456">
        <f t="shared" si="103"/>
        <v>34139.159999999996</v>
      </c>
      <c r="V456">
        <f t="shared" si="104"/>
        <v>22087.439999999999</v>
      </c>
      <c r="W456">
        <f t="shared" si="105"/>
        <v>12051.719999999998</v>
      </c>
      <c r="X456" s="10">
        <f t="shared" si="106"/>
        <v>0.353017473189147</v>
      </c>
      <c r="Y456" t="str">
        <f t="shared" si="107"/>
        <v>High</v>
      </c>
      <c r="Z456" t="str">
        <f t="shared" si="108"/>
        <v>Not Met</v>
      </c>
      <c r="AA456" t="str">
        <f t="shared" si="109"/>
        <v>Low Discount</v>
      </c>
      <c r="AB456" s="10">
        <f>MIN(R456,ControlPanel!$B$5)</f>
        <v>0</v>
      </c>
      <c r="AC456">
        <f>P456*(1+ControlPanel!$B$6)</f>
        <v>1288.434</v>
      </c>
      <c r="AD456">
        <f>T456*(1+ControlPanel!$B$7)</f>
        <v>19.8</v>
      </c>
      <c r="AE456" s="6">
        <f t="shared" si="110"/>
        <v>37553.076000000001</v>
      </c>
      <c r="AF456">
        <f t="shared" si="111"/>
        <v>12042.0828</v>
      </c>
    </row>
    <row r="457" spans="1:32" x14ac:dyDescent="0.3">
      <c r="A457" t="s">
        <v>629</v>
      </c>
      <c r="B457" s="4">
        <v>45727</v>
      </c>
      <c r="C457" s="4" t="str">
        <f t="shared" si="100"/>
        <v>Mar-2025</v>
      </c>
      <c r="D457" t="str">
        <f t="shared" si="101"/>
        <v>Q1-2025</v>
      </c>
      <c r="E457" s="4">
        <v>45743</v>
      </c>
      <c r="F457" s="12">
        <f t="shared" si="98"/>
        <v>45743</v>
      </c>
      <c r="G457" s="13">
        <f t="shared" si="99"/>
        <v>16</v>
      </c>
      <c r="H457" t="s">
        <v>647</v>
      </c>
      <c r="I457" t="s">
        <v>652</v>
      </c>
      <c r="J457" t="s">
        <v>689</v>
      </c>
      <c r="K457" t="s">
        <v>706</v>
      </c>
      <c r="L457" t="s">
        <v>710</v>
      </c>
      <c r="M457" t="s">
        <v>717</v>
      </c>
      <c r="N457" t="s">
        <v>728</v>
      </c>
      <c r="O457" t="s">
        <v>1347</v>
      </c>
      <c r="P457" s="6">
        <v>1317.58</v>
      </c>
      <c r="Q457" s="6">
        <v>1897.74</v>
      </c>
      <c r="R457" s="10">
        <v>8.1000000000000003E-2</v>
      </c>
      <c r="S457" s="10" t="b">
        <f t="shared" si="102"/>
        <v>0</v>
      </c>
      <c r="T457" s="8">
        <v>6</v>
      </c>
      <c r="U457">
        <f t="shared" si="103"/>
        <v>10464.138360000001</v>
      </c>
      <c r="V457">
        <f t="shared" si="104"/>
        <v>7905.48</v>
      </c>
      <c r="W457">
        <f t="shared" si="105"/>
        <v>2558.6583600000013</v>
      </c>
      <c r="X457" s="10">
        <f t="shared" si="106"/>
        <v>0.24451687009230266</v>
      </c>
      <c r="Y457" t="str">
        <f t="shared" si="107"/>
        <v>High</v>
      </c>
      <c r="Z457" t="str">
        <f t="shared" si="108"/>
        <v>Not Met</v>
      </c>
      <c r="AA457" t="str">
        <f t="shared" si="109"/>
        <v>Low Discount</v>
      </c>
      <c r="AB457" s="10">
        <f>MIN(R457,ControlPanel!$B$5)</f>
        <v>8.1000000000000003E-2</v>
      </c>
      <c r="AC457">
        <f>P457*(1+ControlPanel!$B$6)</f>
        <v>1383.4590000000001</v>
      </c>
      <c r="AD457">
        <f>T457*(1+ControlPanel!$B$7)</f>
        <v>6.6000000000000005</v>
      </c>
      <c r="AE457" s="6">
        <f t="shared" si="110"/>
        <v>11510.552196000001</v>
      </c>
      <c r="AF457">
        <f t="shared" si="111"/>
        <v>2379.722796</v>
      </c>
    </row>
    <row r="458" spans="1:32" x14ac:dyDescent="0.3">
      <c r="A458" t="s">
        <v>393</v>
      </c>
      <c r="B458" s="4">
        <v>45694</v>
      </c>
      <c r="C458" s="4" t="str">
        <f t="shared" si="100"/>
        <v>Feb-2025</v>
      </c>
      <c r="D458" t="str">
        <f t="shared" si="101"/>
        <v>Q1-2025</v>
      </c>
      <c r="E458" s="4">
        <v>45703</v>
      </c>
      <c r="F458" s="12">
        <f t="shared" si="98"/>
        <v>45703</v>
      </c>
      <c r="G458" s="13">
        <f t="shared" si="99"/>
        <v>9</v>
      </c>
      <c r="H458" t="s">
        <v>648</v>
      </c>
      <c r="I458" t="s">
        <v>655</v>
      </c>
      <c r="J458" t="s">
        <v>670</v>
      </c>
      <c r="K458" t="s">
        <v>703</v>
      </c>
      <c r="L458" t="s">
        <v>710</v>
      </c>
      <c r="M458" t="s">
        <v>721</v>
      </c>
      <c r="N458" t="s">
        <v>729</v>
      </c>
      <c r="O458" t="s">
        <v>1113</v>
      </c>
      <c r="P458" s="6">
        <v>837.39</v>
      </c>
      <c r="Q458" s="6">
        <v>1905.42</v>
      </c>
      <c r="R458" s="10">
        <v>3.2000000000000001E-2</v>
      </c>
      <c r="S458" s="10" t="b">
        <f t="shared" si="102"/>
        <v>0</v>
      </c>
      <c r="T458" s="8">
        <v>18</v>
      </c>
      <c r="U458">
        <f t="shared" si="103"/>
        <v>33200.038079999998</v>
      </c>
      <c r="V458">
        <f t="shared" si="104"/>
        <v>15073.02</v>
      </c>
      <c r="W458">
        <f t="shared" si="105"/>
        <v>18127.018079999998</v>
      </c>
      <c r="X458" s="10">
        <f t="shared" si="106"/>
        <v>0.54599389423350919</v>
      </c>
      <c r="Y458" t="str">
        <f t="shared" si="107"/>
        <v>High</v>
      </c>
      <c r="Z458" t="str">
        <f t="shared" si="108"/>
        <v>Not Met</v>
      </c>
      <c r="AA458" t="str">
        <f t="shared" si="109"/>
        <v>Low Discount</v>
      </c>
      <c r="AB458" s="10">
        <f>MIN(R458,ControlPanel!$B$5)</f>
        <v>3.2000000000000001E-2</v>
      </c>
      <c r="AC458">
        <f>P458*(1+ControlPanel!$B$6)</f>
        <v>879.2595</v>
      </c>
      <c r="AD458">
        <f>T458*(1+ControlPanel!$B$7)</f>
        <v>19.8</v>
      </c>
      <c r="AE458" s="6">
        <f t="shared" si="110"/>
        <v>36520.041888</v>
      </c>
      <c r="AF458">
        <f t="shared" si="111"/>
        <v>19110.703787999999</v>
      </c>
    </row>
    <row r="459" spans="1:32" x14ac:dyDescent="0.3">
      <c r="A459" t="s">
        <v>75</v>
      </c>
      <c r="B459" s="4">
        <v>45361</v>
      </c>
      <c r="C459" s="4" t="str">
        <f t="shared" si="100"/>
        <v>Mar-2024</v>
      </c>
      <c r="D459" t="str">
        <f t="shared" si="101"/>
        <v>Q1-2024</v>
      </c>
      <c r="E459" s="4">
        <v>45391</v>
      </c>
      <c r="F459" s="12">
        <f t="shared" si="98"/>
        <v>45391</v>
      </c>
      <c r="G459" s="13">
        <f t="shared" si="99"/>
        <v>30</v>
      </c>
      <c r="H459" t="s">
        <v>649</v>
      </c>
      <c r="I459" t="s">
        <v>657</v>
      </c>
      <c r="J459" t="s">
        <v>679</v>
      </c>
      <c r="K459" t="s">
        <v>701</v>
      </c>
      <c r="L459" t="s">
        <v>711</v>
      </c>
      <c r="M459" t="s">
        <v>714</v>
      </c>
      <c r="N459" t="s">
        <v>727</v>
      </c>
      <c r="O459" t="s">
        <v>794</v>
      </c>
      <c r="P459" s="6">
        <v>1176.56</v>
      </c>
      <c r="Q459" s="6">
        <v>1911.89</v>
      </c>
      <c r="R459" s="10">
        <v>0.11899999999999999</v>
      </c>
      <c r="S459" s="10" t="b">
        <f t="shared" si="102"/>
        <v>0</v>
      </c>
      <c r="T459" s="8">
        <v>20</v>
      </c>
      <c r="U459">
        <f t="shared" si="103"/>
        <v>33687.501799999998</v>
      </c>
      <c r="V459">
        <f t="shared" si="104"/>
        <v>23531.199999999997</v>
      </c>
      <c r="W459">
        <f t="shared" si="105"/>
        <v>10156.301800000001</v>
      </c>
      <c r="X459" s="10">
        <f t="shared" si="106"/>
        <v>0.30148575160892466</v>
      </c>
      <c r="Y459" t="str">
        <f t="shared" si="107"/>
        <v>High</v>
      </c>
      <c r="Z459" t="str">
        <f t="shared" si="108"/>
        <v>Not Met</v>
      </c>
      <c r="AA459" t="str">
        <f t="shared" si="109"/>
        <v>Low Discount</v>
      </c>
      <c r="AB459" s="10">
        <f>MIN(R459,ControlPanel!$B$5)</f>
        <v>0.11899999999999999</v>
      </c>
      <c r="AC459">
        <f>P459*(1+ControlPanel!$B$6)</f>
        <v>1235.3879999999999</v>
      </c>
      <c r="AD459">
        <f>T459*(1+ControlPanel!$B$7)</f>
        <v>22</v>
      </c>
      <c r="AE459" s="6">
        <f t="shared" si="110"/>
        <v>37056.251980000001</v>
      </c>
      <c r="AF459">
        <f t="shared" si="111"/>
        <v>9877.7159800000009</v>
      </c>
    </row>
    <row r="460" spans="1:32" x14ac:dyDescent="0.3">
      <c r="A460" t="s">
        <v>78</v>
      </c>
      <c r="B460" s="4">
        <v>45598</v>
      </c>
      <c r="C460" s="4" t="str">
        <f t="shared" si="100"/>
        <v>Nov-2024</v>
      </c>
      <c r="D460" t="str">
        <f t="shared" si="101"/>
        <v>Q4-2024</v>
      </c>
      <c r="E460" s="4">
        <v>45614</v>
      </c>
      <c r="F460" s="12">
        <f t="shared" si="98"/>
        <v>45614</v>
      </c>
      <c r="G460" s="13">
        <f t="shared" si="99"/>
        <v>16</v>
      </c>
      <c r="H460" t="s">
        <v>647</v>
      </c>
      <c r="I460" t="s">
        <v>654</v>
      </c>
      <c r="J460" t="s">
        <v>691</v>
      </c>
      <c r="K460" t="s">
        <v>705</v>
      </c>
      <c r="L460" t="s">
        <v>710</v>
      </c>
      <c r="M460" t="s">
        <v>719</v>
      </c>
      <c r="N460" t="s">
        <v>732</v>
      </c>
      <c r="O460" t="s">
        <v>797</v>
      </c>
      <c r="P460" s="6">
        <v>1233.58</v>
      </c>
      <c r="Q460" s="6">
        <v>1912.51</v>
      </c>
      <c r="R460" s="10">
        <v>0.255</v>
      </c>
      <c r="S460" s="10" t="b">
        <f t="shared" si="102"/>
        <v>0</v>
      </c>
      <c r="T460" s="8">
        <v>51</v>
      </c>
      <c r="U460">
        <f t="shared" si="103"/>
        <v>72665.817450000002</v>
      </c>
      <c r="V460">
        <f t="shared" si="104"/>
        <v>62912.579999999994</v>
      </c>
      <c r="W460">
        <f t="shared" si="105"/>
        <v>9753.2374500000078</v>
      </c>
      <c r="X460" s="10">
        <f t="shared" si="106"/>
        <v>0.134220432553601</v>
      </c>
      <c r="Y460" t="str">
        <f t="shared" si="107"/>
        <v>High</v>
      </c>
      <c r="Z460" t="str">
        <f t="shared" si="108"/>
        <v>Not Met</v>
      </c>
      <c r="AA460" t="str">
        <f t="shared" si="109"/>
        <v>High Discount</v>
      </c>
      <c r="AB460" s="10">
        <f>MIN(R460,ControlPanel!$B$5)</f>
        <v>0.2</v>
      </c>
      <c r="AC460">
        <f>P460*(1+ControlPanel!$B$6)</f>
        <v>1295.259</v>
      </c>
      <c r="AD460">
        <f>T460*(1+ControlPanel!$B$7)</f>
        <v>56.1</v>
      </c>
      <c r="AE460" s="6">
        <f t="shared" si="110"/>
        <v>85833.448799999998</v>
      </c>
      <c r="AF460">
        <f t="shared" si="111"/>
        <v>13169.41889999999</v>
      </c>
    </row>
    <row r="461" spans="1:32" x14ac:dyDescent="0.3">
      <c r="A461" t="s">
        <v>197</v>
      </c>
      <c r="B461" s="4">
        <v>45690</v>
      </c>
      <c r="C461" s="4" t="str">
        <f t="shared" si="100"/>
        <v>Feb-2025</v>
      </c>
      <c r="D461" t="str">
        <f t="shared" si="101"/>
        <v>Q1-2025</v>
      </c>
      <c r="E461" s="4">
        <v>45720</v>
      </c>
      <c r="F461" s="12">
        <f t="shared" si="98"/>
        <v>45720</v>
      </c>
      <c r="G461" s="13">
        <f t="shared" si="99"/>
        <v>30</v>
      </c>
      <c r="H461" t="s">
        <v>647</v>
      </c>
      <c r="I461" t="s">
        <v>652</v>
      </c>
      <c r="J461" t="s">
        <v>666</v>
      </c>
      <c r="K461" t="s">
        <v>702</v>
      </c>
      <c r="L461" t="s">
        <v>710</v>
      </c>
      <c r="M461" t="s">
        <v>716</v>
      </c>
      <c r="N461" t="s">
        <v>733</v>
      </c>
      <c r="O461" t="s">
        <v>916</v>
      </c>
      <c r="P461" s="6">
        <v>766.59</v>
      </c>
      <c r="Q461" s="6">
        <v>1912.8</v>
      </c>
      <c r="R461" s="10">
        <v>0.19600000000000001</v>
      </c>
      <c r="S461" s="10" t="b">
        <f t="shared" si="102"/>
        <v>0</v>
      </c>
      <c r="T461" s="8">
        <v>5</v>
      </c>
      <c r="U461">
        <f t="shared" si="103"/>
        <v>7689.4560000000001</v>
      </c>
      <c r="V461">
        <f t="shared" si="104"/>
        <v>3832.9500000000003</v>
      </c>
      <c r="W461">
        <f t="shared" si="105"/>
        <v>3856.5059999999999</v>
      </c>
      <c r="X461" s="10">
        <f t="shared" si="106"/>
        <v>0.50153170783472845</v>
      </c>
      <c r="Y461" t="str">
        <f t="shared" si="107"/>
        <v>High</v>
      </c>
      <c r="Z461" t="str">
        <f t="shared" si="108"/>
        <v>Not Met</v>
      </c>
      <c r="AA461" t="str">
        <f t="shared" si="109"/>
        <v>Low Discount</v>
      </c>
      <c r="AB461" s="10">
        <f>MIN(R461,ControlPanel!$B$5)</f>
        <v>0.19600000000000001</v>
      </c>
      <c r="AC461">
        <f>P461*(1+ControlPanel!$B$6)</f>
        <v>804.91950000000008</v>
      </c>
      <c r="AD461">
        <f>T461*(1+ControlPanel!$B$7)</f>
        <v>5.5</v>
      </c>
      <c r="AE461" s="6">
        <f t="shared" si="110"/>
        <v>8458.4016000000011</v>
      </c>
      <c r="AF461">
        <f t="shared" si="111"/>
        <v>4031.3443500000003</v>
      </c>
    </row>
    <row r="462" spans="1:32" x14ac:dyDescent="0.3">
      <c r="A462" t="s">
        <v>191</v>
      </c>
      <c r="B462" s="4">
        <v>45165</v>
      </c>
      <c r="C462" s="4" t="str">
        <f t="shared" si="100"/>
        <v>Aug-2023</v>
      </c>
      <c r="D462" t="str">
        <f t="shared" si="101"/>
        <v>Q3-2023</v>
      </c>
      <c r="E462" s="4">
        <v>45180</v>
      </c>
      <c r="F462" s="12">
        <f t="shared" si="98"/>
        <v>45180</v>
      </c>
      <c r="G462" s="13">
        <f t="shared" si="99"/>
        <v>15</v>
      </c>
      <c r="H462" t="s">
        <v>649</v>
      </c>
      <c r="I462" t="s">
        <v>658</v>
      </c>
      <c r="J462" t="s">
        <v>683</v>
      </c>
      <c r="K462" t="s">
        <v>704</v>
      </c>
      <c r="L462" t="s">
        <v>709</v>
      </c>
      <c r="M462" t="s">
        <v>725</v>
      </c>
      <c r="N462" t="s">
        <v>728</v>
      </c>
      <c r="O462" t="s">
        <v>910</v>
      </c>
      <c r="P462" s="6">
        <v>943.79</v>
      </c>
      <c r="Q462" s="6">
        <v>1913.76</v>
      </c>
      <c r="R462" s="10">
        <v>9.0999999999999998E-2</v>
      </c>
      <c r="S462" s="10" t="b">
        <f t="shared" si="102"/>
        <v>0</v>
      </c>
      <c r="T462" s="8">
        <v>9</v>
      </c>
      <c r="U462">
        <f t="shared" si="103"/>
        <v>15656.470560000002</v>
      </c>
      <c r="V462">
        <f t="shared" si="104"/>
        <v>8494.11</v>
      </c>
      <c r="W462">
        <f t="shared" si="105"/>
        <v>7162.360560000001</v>
      </c>
      <c r="X462" s="10">
        <f t="shared" si="106"/>
        <v>0.45746967891338086</v>
      </c>
      <c r="Y462" t="str">
        <f t="shared" si="107"/>
        <v>High</v>
      </c>
      <c r="Z462" t="str">
        <f t="shared" si="108"/>
        <v>Not Met</v>
      </c>
      <c r="AA462" t="str">
        <f t="shared" si="109"/>
        <v>Low Discount</v>
      </c>
      <c r="AB462" s="10">
        <f>MIN(R462,ControlPanel!$B$5)</f>
        <v>9.0999999999999998E-2</v>
      </c>
      <c r="AC462">
        <f>P462*(1+ControlPanel!$B$6)</f>
        <v>990.97950000000003</v>
      </c>
      <c r="AD462">
        <f>T462*(1+ControlPanel!$B$7)</f>
        <v>9.9</v>
      </c>
      <c r="AE462" s="6">
        <f t="shared" si="110"/>
        <v>17222.117616000003</v>
      </c>
      <c r="AF462">
        <f t="shared" si="111"/>
        <v>7411.4205660000025</v>
      </c>
    </row>
    <row r="463" spans="1:32" x14ac:dyDescent="0.3">
      <c r="A463" t="s">
        <v>517</v>
      </c>
      <c r="B463" s="4">
        <v>45740</v>
      </c>
      <c r="C463" s="4" t="str">
        <f t="shared" si="100"/>
        <v>Mar-2025</v>
      </c>
      <c r="D463" t="str">
        <f t="shared" si="101"/>
        <v>Q1-2025</v>
      </c>
      <c r="E463" s="4">
        <v>45741</v>
      </c>
      <c r="F463" s="12">
        <f t="shared" si="98"/>
        <v>45741</v>
      </c>
      <c r="G463" s="13">
        <f t="shared" si="99"/>
        <v>1</v>
      </c>
      <c r="H463" t="s">
        <v>647</v>
      </c>
      <c r="I463" t="s">
        <v>659</v>
      </c>
      <c r="J463" t="s">
        <v>699</v>
      </c>
      <c r="K463" t="s">
        <v>703</v>
      </c>
      <c r="L463" t="s">
        <v>708</v>
      </c>
      <c r="M463" t="s">
        <v>715</v>
      </c>
      <c r="N463" t="s">
        <v>729</v>
      </c>
      <c r="O463" t="s">
        <v>1236</v>
      </c>
      <c r="P463" s="6">
        <v>1133.03</v>
      </c>
      <c r="Q463" s="6">
        <v>1921.51</v>
      </c>
      <c r="R463" s="10">
        <v>0.10100000000000001</v>
      </c>
      <c r="S463" s="10" t="b">
        <f t="shared" si="102"/>
        <v>0</v>
      </c>
      <c r="T463" s="8">
        <v>5</v>
      </c>
      <c r="U463">
        <f t="shared" si="103"/>
        <v>8637.1874499999994</v>
      </c>
      <c r="V463">
        <f t="shared" si="104"/>
        <v>5665.15</v>
      </c>
      <c r="W463">
        <f t="shared" si="105"/>
        <v>2972.0374499999998</v>
      </c>
      <c r="X463" s="10">
        <f t="shared" si="106"/>
        <v>0.3440978289755654</v>
      </c>
      <c r="Y463" t="str">
        <f t="shared" si="107"/>
        <v>High</v>
      </c>
      <c r="Z463" t="str">
        <f t="shared" si="108"/>
        <v>Met</v>
      </c>
      <c r="AA463" t="str">
        <f t="shared" si="109"/>
        <v>Low Discount</v>
      </c>
      <c r="AB463" s="10">
        <f>MIN(R463,ControlPanel!$B$5)</f>
        <v>0.10100000000000001</v>
      </c>
      <c r="AC463">
        <f>P463*(1+ControlPanel!$B$6)</f>
        <v>1189.6814999999999</v>
      </c>
      <c r="AD463">
        <f>T463*(1+ControlPanel!$B$7)</f>
        <v>5.5</v>
      </c>
      <c r="AE463" s="6">
        <f t="shared" si="110"/>
        <v>9500.9061949999996</v>
      </c>
      <c r="AF463">
        <f t="shared" si="111"/>
        <v>2957.6579449999999</v>
      </c>
    </row>
    <row r="464" spans="1:32" x14ac:dyDescent="0.3">
      <c r="A464" t="s">
        <v>498</v>
      </c>
      <c r="B464" s="4">
        <v>45148</v>
      </c>
      <c r="C464" s="4" t="str">
        <f t="shared" si="100"/>
        <v>Aug-2023</v>
      </c>
      <c r="D464" t="str">
        <f t="shared" si="101"/>
        <v>Q3-2023</v>
      </c>
      <c r="E464" s="4">
        <v>45153</v>
      </c>
      <c r="F464" s="12">
        <f t="shared" si="98"/>
        <v>45153</v>
      </c>
      <c r="G464" s="13">
        <f t="shared" si="99"/>
        <v>5</v>
      </c>
      <c r="H464" t="s">
        <v>648</v>
      </c>
      <c r="I464" t="s">
        <v>655</v>
      </c>
      <c r="J464" t="s">
        <v>670</v>
      </c>
      <c r="K464" t="s">
        <v>702</v>
      </c>
      <c r="L464" t="s">
        <v>711</v>
      </c>
      <c r="M464" t="s">
        <v>715</v>
      </c>
      <c r="N464" t="s">
        <v>729</v>
      </c>
      <c r="O464" t="s">
        <v>1217</v>
      </c>
      <c r="P464" s="6">
        <v>1307.52</v>
      </c>
      <c r="Q464" s="6">
        <v>1921.65</v>
      </c>
      <c r="R464" s="10">
        <v>0.123</v>
      </c>
      <c r="S464" s="10" t="b">
        <f t="shared" si="102"/>
        <v>0</v>
      </c>
      <c r="T464" s="8">
        <v>13</v>
      </c>
      <c r="U464">
        <f t="shared" si="103"/>
        <v>21908.731650000002</v>
      </c>
      <c r="V464">
        <f t="shared" si="104"/>
        <v>16997.759999999998</v>
      </c>
      <c r="W464">
        <f t="shared" si="105"/>
        <v>4910.9716500000031</v>
      </c>
      <c r="X464" s="10">
        <f t="shared" si="106"/>
        <v>0.22415590863289445</v>
      </c>
      <c r="Y464" t="str">
        <f t="shared" si="107"/>
        <v>High</v>
      </c>
      <c r="Z464" t="str">
        <f t="shared" si="108"/>
        <v>Met</v>
      </c>
      <c r="AA464" t="str">
        <f t="shared" si="109"/>
        <v>Low Discount</v>
      </c>
      <c r="AB464" s="10">
        <f>MIN(R464,ControlPanel!$B$5)</f>
        <v>0.123</v>
      </c>
      <c r="AC464">
        <f>P464*(1+ControlPanel!$B$6)</f>
        <v>1372.896</v>
      </c>
      <c r="AD464">
        <f>T464*(1+ControlPanel!$B$7)</f>
        <v>14.3</v>
      </c>
      <c r="AE464" s="6">
        <f t="shared" si="110"/>
        <v>24099.604815000002</v>
      </c>
      <c r="AF464">
        <f t="shared" si="111"/>
        <v>4467.1920150000005</v>
      </c>
    </row>
    <row r="465" spans="1:32" x14ac:dyDescent="0.3">
      <c r="A465" t="s">
        <v>440</v>
      </c>
      <c r="B465" s="4">
        <v>45897</v>
      </c>
      <c r="C465" s="4" t="str">
        <f t="shared" si="100"/>
        <v>Aug-2025</v>
      </c>
      <c r="D465" t="str">
        <f t="shared" si="101"/>
        <v>Q3-2025</v>
      </c>
      <c r="E465" s="4">
        <v>45905</v>
      </c>
      <c r="F465" s="12">
        <f t="shared" si="98"/>
        <v>45905</v>
      </c>
      <c r="G465" s="13">
        <f t="shared" si="99"/>
        <v>8</v>
      </c>
      <c r="H465" t="s">
        <v>646</v>
      </c>
      <c r="I465" t="s">
        <v>651</v>
      </c>
      <c r="J465" t="s">
        <v>663</v>
      </c>
      <c r="K465" t="s">
        <v>705</v>
      </c>
      <c r="L465" t="s">
        <v>709</v>
      </c>
      <c r="M465" t="s">
        <v>718</v>
      </c>
      <c r="N465" t="s">
        <v>731</v>
      </c>
      <c r="O465" t="s">
        <v>1159</v>
      </c>
      <c r="P465" s="6">
        <v>1271.0999999999999</v>
      </c>
      <c r="Q465" s="6">
        <v>1932.42</v>
      </c>
      <c r="R465" s="10">
        <v>0.25</v>
      </c>
      <c r="S465" s="10" t="b">
        <f t="shared" si="102"/>
        <v>0</v>
      </c>
      <c r="T465" s="8">
        <v>21</v>
      </c>
      <c r="U465">
        <f t="shared" si="103"/>
        <v>30435.615000000002</v>
      </c>
      <c r="V465">
        <f t="shared" si="104"/>
        <v>26693.1</v>
      </c>
      <c r="W465">
        <f t="shared" si="105"/>
        <v>3742.5150000000031</v>
      </c>
      <c r="X465" s="10">
        <f t="shared" si="106"/>
        <v>0.12296498690760817</v>
      </c>
      <c r="Y465" t="str">
        <f t="shared" si="107"/>
        <v>High</v>
      </c>
      <c r="Z465" t="str">
        <f t="shared" si="108"/>
        <v>Not Met</v>
      </c>
      <c r="AA465" t="str">
        <f t="shared" si="109"/>
        <v>High Discount</v>
      </c>
      <c r="AB465" s="10">
        <f>MIN(R465,ControlPanel!$B$5)</f>
        <v>0.2</v>
      </c>
      <c r="AC465">
        <f>P465*(1+ControlPanel!$B$6)</f>
        <v>1334.655</v>
      </c>
      <c r="AD465">
        <f>T465*(1+ControlPanel!$B$7)</f>
        <v>23.1</v>
      </c>
      <c r="AE465" s="6">
        <f t="shared" si="110"/>
        <v>35711.121600000006</v>
      </c>
      <c r="AF465">
        <f t="shared" si="111"/>
        <v>4880.5911000000051</v>
      </c>
    </row>
    <row r="466" spans="1:32" x14ac:dyDescent="0.3">
      <c r="A466" t="s">
        <v>538</v>
      </c>
      <c r="B466" s="4">
        <v>45304</v>
      </c>
      <c r="C466" s="4" t="str">
        <f t="shared" si="100"/>
        <v>Jan-2024</v>
      </c>
      <c r="D466" t="str">
        <f t="shared" si="101"/>
        <v>Q1-2024</v>
      </c>
      <c r="E466" s="4">
        <v>45306</v>
      </c>
      <c r="F466" s="12">
        <f t="shared" si="98"/>
        <v>45306</v>
      </c>
      <c r="G466" s="13">
        <f t="shared" si="99"/>
        <v>2</v>
      </c>
      <c r="H466" t="s">
        <v>648</v>
      </c>
      <c r="I466" t="s">
        <v>660</v>
      </c>
      <c r="J466" t="s">
        <v>686</v>
      </c>
      <c r="K466" t="s">
        <v>703</v>
      </c>
      <c r="L466" t="s">
        <v>711</v>
      </c>
      <c r="M466" t="s">
        <v>718</v>
      </c>
      <c r="N466" t="s">
        <v>727</v>
      </c>
      <c r="O466" t="s">
        <v>1257</v>
      </c>
      <c r="P466" s="6">
        <v>1061.3699999999999</v>
      </c>
      <c r="Q466" s="6">
        <v>1938.33</v>
      </c>
      <c r="R466" s="10">
        <v>0.17</v>
      </c>
      <c r="S466" s="10" t="b">
        <f t="shared" si="102"/>
        <v>0</v>
      </c>
      <c r="T466" s="8">
        <v>4</v>
      </c>
      <c r="U466">
        <f t="shared" si="103"/>
        <v>6435.2555999999995</v>
      </c>
      <c r="V466">
        <f t="shared" si="104"/>
        <v>4245.4799999999996</v>
      </c>
      <c r="W466">
        <f t="shared" si="105"/>
        <v>2189.7755999999999</v>
      </c>
      <c r="X466" s="10">
        <f t="shared" si="106"/>
        <v>0.34027795259600879</v>
      </c>
      <c r="Y466" t="str">
        <f t="shared" si="107"/>
        <v>High</v>
      </c>
      <c r="Z466" t="str">
        <f t="shared" si="108"/>
        <v>Met</v>
      </c>
      <c r="AA466" t="str">
        <f t="shared" si="109"/>
        <v>Low Discount</v>
      </c>
      <c r="AB466" s="10">
        <f>MIN(R466,ControlPanel!$B$5)</f>
        <v>0.17</v>
      </c>
      <c r="AC466">
        <f>P466*(1+ControlPanel!$B$6)</f>
        <v>1114.4385</v>
      </c>
      <c r="AD466">
        <f>T466*(1+ControlPanel!$B$7)</f>
        <v>4.4000000000000004</v>
      </c>
      <c r="AE466" s="6">
        <f t="shared" si="110"/>
        <v>7078.7811600000005</v>
      </c>
      <c r="AF466">
        <f t="shared" si="111"/>
        <v>2175.2517600000001</v>
      </c>
    </row>
    <row r="467" spans="1:32" x14ac:dyDescent="0.3">
      <c r="A467" t="s">
        <v>209</v>
      </c>
      <c r="B467" s="4">
        <v>45557</v>
      </c>
      <c r="C467" s="4" t="str">
        <f t="shared" si="100"/>
        <v>Sep-2024</v>
      </c>
      <c r="D467" t="str">
        <f t="shared" si="101"/>
        <v>Q3-2024</v>
      </c>
      <c r="E467" s="4">
        <v>45566</v>
      </c>
      <c r="F467" s="12">
        <f t="shared" si="98"/>
        <v>45566</v>
      </c>
      <c r="G467" s="13">
        <f t="shared" si="99"/>
        <v>9</v>
      </c>
      <c r="H467" t="s">
        <v>648</v>
      </c>
      <c r="I467" t="s">
        <v>655</v>
      </c>
      <c r="J467" t="s">
        <v>670</v>
      </c>
      <c r="K467" t="s">
        <v>703</v>
      </c>
      <c r="L467" t="s">
        <v>708</v>
      </c>
      <c r="M467" t="s">
        <v>723</v>
      </c>
      <c r="N467" t="s">
        <v>732</v>
      </c>
      <c r="O467" t="s">
        <v>929</v>
      </c>
      <c r="P467" s="6">
        <v>1378.8</v>
      </c>
      <c r="Q467" s="6">
        <v>1952.04</v>
      </c>
      <c r="R467" s="10">
        <v>0.159</v>
      </c>
      <c r="S467" s="10" t="b">
        <f t="shared" si="102"/>
        <v>0</v>
      </c>
      <c r="T467" s="8">
        <v>19</v>
      </c>
      <c r="U467">
        <f t="shared" si="103"/>
        <v>31191.64716</v>
      </c>
      <c r="V467">
        <f t="shared" si="104"/>
        <v>26197.200000000001</v>
      </c>
      <c r="W467">
        <f t="shared" si="105"/>
        <v>4994.4471599999997</v>
      </c>
      <c r="X467" s="10">
        <f t="shared" si="106"/>
        <v>0.16012130216723058</v>
      </c>
      <c r="Y467" t="str">
        <f t="shared" si="107"/>
        <v>High</v>
      </c>
      <c r="Z467" t="str">
        <f t="shared" si="108"/>
        <v>Not Met</v>
      </c>
      <c r="AA467" t="str">
        <f t="shared" si="109"/>
        <v>Low Discount</v>
      </c>
      <c r="AB467" s="10">
        <f>MIN(R467,ControlPanel!$B$5)</f>
        <v>0.159</v>
      </c>
      <c r="AC467">
        <f>P467*(1+ControlPanel!$B$6)</f>
        <v>1447.74</v>
      </c>
      <c r="AD467">
        <f>T467*(1+ControlPanel!$B$7)</f>
        <v>20.900000000000002</v>
      </c>
      <c r="AE467" s="6">
        <f t="shared" si="110"/>
        <v>34310.811876</v>
      </c>
      <c r="AF467">
        <f t="shared" si="111"/>
        <v>4053.0458759999965</v>
      </c>
    </row>
    <row r="468" spans="1:32" x14ac:dyDescent="0.3">
      <c r="A468" t="s">
        <v>117</v>
      </c>
      <c r="B468" s="4">
        <v>45747</v>
      </c>
      <c r="C468" s="4" t="str">
        <f t="shared" si="100"/>
        <v>Mar-2025</v>
      </c>
      <c r="D468" t="str">
        <f t="shared" si="101"/>
        <v>Q1-2025</v>
      </c>
      <c r="E468" s="4">
        <v>45751</v>
      </c>
      <c r="F468" s="12">
        <f t="shared" si="98"/>
        <v>45751</v>
      </c>
      <c r="G468" s="13">
        <f t="shared" si="99"/>
        <v>4</v>
      </c>
      <c r="H468" t="s">
        <v>646</v>
      </c>
      <c r="I468" t="s">
        <v>650</v>
      </c>
      <c r="J468" t="s">
        <v>678</v>
      </c>
      <c r="K468" t="s">
        <v>701</v>
      </c>
      <c r="L468" t="s">
        <v>711</v>
      </c>
      <c r="M468" t="s">
        <v>712</v>
      </c>
      <c r="N468" t="s">
        <v>731</v>
      </c>
      <c r="O468" t="s">
        <v>836</v>
      </c>
      <c r="P468" s="6">
        <v>862.08</v>
      </c>
      <c r="Q468" s="6">
        <v>1952.83</v>
      </c>
      <c r="R468" s="10">
        <v>0</v>
      </c>
      <c r="S468" s="10" t="b">
        <f t="shared" si="102"/>
        <v>0</v>
      </c>
      <c r="T468" s="8">
        <v>7</v>
      </c>
      <c r="U468">
        <f t="shared" si="103"/>
        <v>13669.81</v>
      </c>
      <c r="V468">
        <f t="shared" si="104"/>
        <v>6034.56</v>
      </c>
      <c r="W468">
        <f t="shared" si="105"/>
        <v>7635.2499999999991</v>
      </c>
      <c r="X468" s="10">
        <f t="shared" si="106"/>
        <v>0.5585483631447693</v>
      </c>
      <c r="Y468" t="str">
        <f t="shared" si="107"/>
        <v>High</v>
      </c>
      <c r="Z468" t="str">
        <f t="shared" si="108"/>
        <v>Met</v>
      </c>
      <c r="AA468" t="str">
        <f t="shared" si="109"/>
        <v>Low Discount</v>
      </c>
      <c r="AB468" s="10">
        <f>MIN(R468,ControlPanel!$B$5)</f>
        <v>0</v>
      </c>
      <c r="AC468">
        <f>P468*(1+ControlPanel!$B$6)</f>
        <v>905.18400000000008</v>
      </c>
      <c r="AD468">
        <f>T468*(1+ControlPanel!$B$7)</f>
        <v>7.7000000000000011</v>
      </c>
      <c r="AE468" s="6">
        <f t="shared" si="110"/>
        <v>15036.791000000001</v>
      </c>
      <c r="AF468">
        <f t="shared" si="111"/>
        <v>8066.8741999999993</v>
      </c>
    </row>
    <row r="469" spans="1:32" x14ac:dyDescent="0.3">
      <c r="A469" t="s">
        <v>423</v>
      </c>
      <c r="B469" s="4">
        <v>45276</v>
      </c>
      <c r="C469" s="4" t="str">
        <f t="shared" si="100"/>
        <v>Dec-2023</v>
      </c>
      <c r="D469" t="str">
        <f t="shared" si="101"/>
        <v>Q4-2023</v>
      </c>
      <c r="E469" s="4">
        <v>45279</v>
      </c>
      <c r="F469" s="12">
        <f t="shared" si="98"/>
        <v>45279</v>
      </c>
      <c r="G469" s="13">
        <f t="shared" si="99"/>
        <v>3</v>
      </c>
      <c r="H469" t="s">
        <v>647</v>
      </c>
      <c r="I469" t="s">
        <v>659</v>
      </c>
      <c r="J469" t="s">
        <v>699</v>
      </c>
      <c r="K469" t="s">
        <v>702</v>
      </c>
      <c r="L469" t="s">
        <v>707</v>
      </c>
      <c r="M469" t="s">
        <v>720</v>
      </c>
      <c r="N469" t="s">
        <v>733</v>
      </c>
      <c r="O469" t="s">
        <v>1142</v>
      </c>
      <c r="P469" s="6">
        <v>1415.05</v>
      </c>
      <c r="Q469" s="6">
        <v>1972.38</v>
      </c>
      <c r="R469" s="10">
        <v>0</v>
      </c>
      <c r="S469" s="10" t="b">
        <f t="shared" si="102"/>
        <v>0</v>
      </c>
      <c r="T469" s="8">
        <v>12</v>
      </c>
      <c r="U469">
        <f t="shared" si="103"/>
        <v>23668.560000000001</v>
      </c>
      <c r="V469">
        <f t="shared" si="104"/>
        <v>16980.599999999999</v>
      </c>
      <c r="W469">
        <f t="shared" si="105"/>
        <v>6687.9600000000028</v>
      </c>
      <c r="X469" s="10">
        <f t="shared" si="106"/>
        <v>0.28256725377462771</v>
      </c>
      <c r="Y469" t="str">
        <f t="shared" si="107"/>
        <v>High</v>
      </c>
      <c r="Z469" t="str">
        <f t="shared" si="108"/>
        <v>Met</v>
      </c>
      <c r="AA469" t="str">
        <f t="shared" si="109"/>
        <v>Low Discount</v>
      </c>
      <c r="AB469" s="10">
        <f>MIN(R469,ControlPanel!$B$5)</f>
        <v>0</v>
      </c>
      <c r="AC469">
        <f>P469*(1+ControlPanel!$B$6)</f>
        <v>1485.8025</v>
      </c>
      <c r="AD469">
        <f>T469*(1+ControlPanel!$B$7)</f>
        <v>13.200000000000001</v>
      </c>
      <c r="AE469" s="6">
        <f t="shared" si="110"/>
        <v>26035.416000000005</v>
      </c>
      <c r="AF469">
        <f t="shared" si="111"/>
        <v>6422.823000000004</v>
      </c>
    </row>
    <row r="470" spans="1:32" x14ac:dyDescent="0.3">
      <c r="A470" t="s">
        <v>571</v>
      </c>
      <c r="B470" s="4">
        <v>45791</v>
      </c>
      <c r="C470" s="4" t="str">
        <f t="shared" si="100"/>
        <v>May-2025</v>
      </c>
      <c r="D470" t="str">
        <f t="shared" si="101"/>
        <v>Q2-2025</v>
      </c>
      <c r="E470" s="4">
        <v>45789</v>
      </c>
      <c r="F470" s="12">
        <f t="shared" si="98"/>
        <v>45805</v>
      </c>
      <c r="G470" s="13">
        <f t="shared" si="99"/>
        <v>14</v>
      </c>
      <c r="H470" t="s">
        <v>648</v>
      </c>
      <c r="I470" t="s">
        <v>653</v>
      </c>
      <c r="J470" t="s">
        <v>688</v>
      </c>
      <c r="K470" t="s">
        <v>703</v>
      </c>
      <c r="L470" t="s">
        <v>710</v>
      </c>
      <c r="M470" t="s">
        <v>721</v>
      </c>
      <c r="N470" t="s">
        <v>728</v>
      </c>
      <c r="O470" t="s">
        <v>1289</v>
      </c>
      <c r="P470" s="6">
        <v>883.5</v>
      </c>
      <c r="Q470" s="6">
        <v>1978.91</v>
      </c>
      <c r="R470" s="10">
        <v>5.3999999999999999E-2</v>
      </c>
      <c r="S470" s="10" t="b">
        <f t="shared" si="102"/>
        <v>0</v>
      </c>
      <c r="T470" s="8">
        <v>27</v>
      </c>
      <c r="U470">
        <f t="shared" si="103"/>
        <v>50545.319219999998</v>
      </c>
      <c r="V470">
        <f t="shared" si="104"/>
        <v>23854.5</v>
      </c>
      <c r="W470">
        <f t="shared" si="105"/>
        <v>26690.819219999998</v>
      </c>
      <c r="X470" s="10">
        <f t="shared" si="106"/>
        <v>0.52805718970390547</v>
      </c>
      <c r="Y470" t="str">
        <f t="shared" si="107"/>
        <v>High</v>
      </c>
      <c r="Z470" t="str">
        <f t="shared" si="108"/>
        <v>Not Met</v>
      </c>
      <c r="AA470" t="str">
        <f t="shared" si="109"/>
        <v>Low Discount</v>
      </c>
      <c r="AB470" s="10">
        <f>MIN(R470,ControlPanel!$B$5)</f>
        <v>5.3999999999999999E-2</v>
      </c>
      <c r="AC470">
        <f>P470*(1+ControlPanel!$B$6)</f>
        <v>927.67500000000007</v>
      </c>
      <c r="AD470">
        <f>T470*(1+ControlPanel!$B$7)</f>
        <v>29.700000000000003</v>
      </c>
      <c r="AE470" s="6">
        <f t="shared" si="110"/>
        <v>55599.851142</v>
      </c>
      <c r="AF470">
        <f t="shared" si="111"/>
        <v>28047.903641999994</v>
      </c>
    </row>
    <row r="471" spans="1:32" x14ac:dyDescent="0.3">
      <c r="A471" t="s">
        <v>173</v>
      </c>
      <c r="B471" s="4">
        <v>45703</v>
      </c>
      <c r="C471" s="4" t="str">
        <f t="shared" si="100"/>
        <v>Feb-2025</v>
      </c>
      <c r="D471" t="str">
        <f t="shared" si="101"/>
        <v>Q1-2025</v>
      </c>
      <c r="E471" s="4">
        <v>45703</v>
      </c>
      <c r="F471" s="12">
        <f t="shared" si="98"/>
        <v>45703</v>
      </c>
      <c r="G471" s="13">
        <f t="shared" si="99"/>
        <v>0</v>
      </c>
      <c r="H471" t="s">
        <v>649</v>
      </c>
      <c r="I471" t="s">
        <v>656</v>
      </c>
      <c r="J471" t="s">
        <v>698</v>
      </c>
      <c r="K471" t="s">
        <v>705</v>
      </c>
      <c r="L471" t="s">
        <v>709</v>
      </c>
      <c r="M471" t="s">
        <v>716</v>
      </c>
      <c r="N471" t="s">
        <v>733</v>
      </c>
      <c r="O471" t="s">
        <v>892</v>
      </c>
      <c r="P471" s="6">
        <v>815.83</v>
      </c>
      <c r="Q471" s="6">
        <v>1982.18</v>
      </c>
      <c r="R471" s="10">
        <v>0.127</v>
      </c>
      <c r="S471" s="10" t="b">
        <f t="shared" si="102"/>
        <v>0</v>
      </c>
      <c r="T471" s="8">
        <v>6</v>
      </c>
      <c r="U471">
        <f t="shared" si="103"/>
        <v>10382.65884</v>
      </c>
      <c r="V471">
        <f t="shared" si="104"/>
        <v>4894.9800000000005</v>
      </c>
      <c r="W471">
        <f t="shared" si="105"/>
        <v>5487.6788399999996</v>
      </c>
      <c r="X471" s="10">
        <f t="shared" si="106"/>
        <v>0.52854272923408507</v>
      </c>
      <c r="Y471" t="str">
        <f t="shared" si="107"/>
        <v>High</v>
      </c>
      <c r="Z471" t="str">
        <f t="shared" si="108"/>
        <v>Met</v>
      </c>
      <c r="AA471" t="str">
        <f t="shared" si="109"/>
        <v>Low Discount</v>
      </c>
      <c r="AB471" s="10">
        <f>MIN(R471,ControlPanel!$B$5)</f>
        <v>0.127</v>
      </c>
      <c r="AC471">
        <f>P471*(1+ControlPanel!$B$6)</f>
        <v>856.62150000000008</v>
      </c>
      <c r="AD471">
        <f>T471*(1+ControlPanel!$B$7)</f>
        <v>6.6000000000000005</v>
      </c>
      <c r="AE471" s="6">
        <f t="shared" si="110"/>
        <v>11420.924724000002</v>
      </c>
      <c r="AF471">
        <f t="shared" si="111"/>
        <v>5767.2228240000013</v>
      </c>
    </row>
    <row r="472" spans="1:32" x14ac:dyDescent="0.3">
      <c r="A472" t="s">
        <v>320</v>
      </c>
      <c r="B472" s="4">
        <v>45741</v>
      </c>
      <c r="C472" s="4" t="str">
        <f t="shared" si="100"/>
        <v>Mar-2025</v>
      </c>
      <c r="D472" t="str">
        <f t="shared" si="101"/>
        <v>Q1-2025</v>
      </c>
      <c r="E472" s="4">
        <v>45742</v>
      </c>
      <c r="F472" s="12">
        <f t="shared" si="98"/>
        <v>45742</v>
      </c>
      <c r="G472" s="13">
        <f t="shared" si="99"/>
        <v>1</v>
      </c>
      <c r="H472" t="s">
        <v>646</v>
      </c>
      <c r="I472" t="s">
        <v>651</v>
      </c>
      <c r="J472" t="s">
        <v>665</v>
      </c>
      <c r="K472" t="s">
        <v>702</v>
      </c>
      <c r="L472" t="s">
        <v>710</v>
      </c>
      <c r="M472" t="s">
        <v>715</v>
      </c>
      <c r="N472" t="s">
        <v>733</v>
      </c>
      <c r="O472" t="s">
        <v>1040</v>
      </c>
      <c r="P472" s="6">
        <v>1450.43</v>
      </c>
      <c r="Q472" s="6">
        <v>1994.67</v>
      </c>
      <c r="R472" s="10">
        <v>0.1</v>
      </c>
      <c r="S472" s="10" t="b">
        <f t="shared" si="102"/>
        <v>0</v>
      </c>
      <c r="T472" s="8">
        <v>24</v>
      </c>
      <c r="U472">
        <f t="shared" si="103"/>
        <v>43084.872000000003</v>
      </c>
      <c r="V472">
        <f t="shared" si="104"/>
        <v>34810.32</v>
      </c>
      <c r="W472">
        <f t="shared" si="105"/>
        <v>8274.5520000000033</v>
      </c>
      <c r="X472" s="10">
        <f t="shared" si="106"/>
        <v>0.19205237513529116</v>
      </c>
      <c r="Y472" t="str">
        <f t="shared" si="107"/>
        <v>High</v>
      </c>
      <c r="Z472" t="str">
        <f t="shared" si="108"/>
        <v>Met</v>
      </c>
      <c r="AA472" t="str">
        <f t="shared" si="109"/>
        <v>Low Discount</v>
      </c>
      <c r="AB472" s="10">
        <f>MIN(R472,ControlPanel!$B$5)</f>
        <v>0.1</v>
      </c>
      <c r="AC472">
        <f>P472*(1+ControlPanel!$B$6)</f>
        <v>1522.9515000000001</v>
      </c>
      <c r="AD472">
        <f>T472*(1+ControlPanel!$B$7)</f>
        <v>26.400000000000002</v>
      </c>
      <c r="AE472" s="6">
        <f t="shared" si="110"/>
        <v>47393.359200000006</v>
      </c>
      <c r="AF472">
        <f t="shared" si="111"/>
        <v>7187.4395999999979</v>
      </c>
    </row>
    <row r="473" spans="1:32" x14ac:dyDescent="0.3">
      <c r="A473" t="s">
        <v>278</v>
      </c>
      <c r="B473" s="4">
        <v>45763</v>
      </c>
      <c r="C473" s="4" t="str">
        <f t="shared" si="100"/>
        <v>Apr-2025</v>
      </c>
      <c r="D473" t="str">
        <f t="shared" si="101"/>
        <v>Q2-2025</v>
      </c>
      <c r="E473" s="4">
        <v>45773</v>
      </c>
      <c r="F473" s="12">
        <f t="shared" si="98"/>
        <v>45773</v>
      </c>
      <c r="G473" s="13">
        <f t="shared" si="99"/>
        <v>10</v>
      </c>
      <c r="H473" t="s">
        <v>646</v>
      </c>
      <c r="I473" t="s">
        <v>651</v>
      </c>
      <c r="J473" t="s">
        <v>663</v>
      </c>
      <c r="K473" t="s">
        <v>706</v>
      </c>
      <c r="L473" t="s">
        <v>709</v>
      </c>
      <c r="M473" t="s">
        <v>721</v>
      </c>
      <c r="N473" t="s">
        <v>731</v>
      </c>
      <c r="O473" t="s">
        <v>998</v>
      </c>
      <c r="P473" s="6">
        <v>1457.44</v>
      </c>
      <c r="Q473" s="6">
        <v>1996.81</v>
      </c>
      <c r="R473" s="10">
        <v>0.126</v>
      </c>
      <c r="S473" s="10" t="b">
        <f t="shared" si="102"/>
        <v>0</v>
      </c>
      <c r="T473" s="8">
        <v>23</v>
      </c>
      <c r="U473">
        <f t="shared" si="103"/>
        <v>40139.874619999995</v>
      </c>
      <c r="V473">
        <f t="shared" si="104"/>
        <v>33521.120000000003</v>
      </c>
      <c r="W473">
        <f t="shared" si="105"/>
        <v>6618.7546199999924</v>
      </c>
      <c r="X473" s="10">
        <f t="shared" si="106"/>
        <v>0.16489225944672353</v>
      </c>
      <c r="Y473" t="str">
        <f t="shared" si="107"/>
        <v>High</v>
      </c>
      <c r="Z473" t="str">
        <f t="shared" si="108"/>
        <v>Not Met</v>
      </c>
      <c r="AA473" t="str">
        <f t="shared" si="109"/>
        <v>Low Discount</v>
      </c>
      <c r="AB473" s="10">
        <f>MIN(R473,ControlPanel!$B$5)</f>
        <v>0.126</v>
      </c>
      <c r="AC473">
        <f>P473*(1+ControlPanel!$B$6)</f>
        <v>1530.3120000000001</v>
      </c>
      <c r="AD473">
        <f>T473*(1+ControlPanel!$B$7)</f>
        <v>25.3</v>
      </c>
      <c r="AE473" s="6">
        <f t="shared" si="110"/>
        <v>44153.862082</v>
      </c>
      <c r="AF473">
        <f t="shared" si="111"/>
        <v>5436.9684819999966</v>
      </c>
    </row>
    <row r="474" spans="1:32" x14ac:dyDescent="0.3">
      <c r="A474" t="s">
        <v>94</v>
      </c>
      <c r="B474" s="4">
        <v>45617</v>
      </c>
      <c r="C474" s="4" t="str">
        <f t="shared" si="100"/>
        <v>Nov-2024</v>
      </c>
      <c r="D474" t="str">
        <f t="shared" si="101"/>
        <v>Q4-2024</v>
      </c>
      <c r="E474" s="4">
        <v>45647</v>
      </c>
      <c r="F474" s="12">
        <f t="shared" si="98"/>
        <v>45647</v>
      </c>
      <c r="G474" s="13">
        <f t="shared" si="99"/>
        <v>30</v>
      </c>
      <c r="H474" t="s">
        <v>649</v>
      </c>
      <c r="I474" t="s">
        <v>657</v>
      </c>
      <c r="J474" t="s">
        <v>673</v>
      </c>
      <c r="K474" t="s">
        <v>705</v>
      </c>
      <c r="L474" t="s">
        <v>711</v>
      </c>
      <c r="M474" t="s">
        <v>714</v>
      </c>
      <c r="N474" t="s">
        <v>732</v>
      </c>
      <c r="O474" t="s">
        <v>813</v>
      </c>
      <c r="P474" s="6">
        <v>1122.68</v>
      </c>
      <c r="Q474" s="6">
        <v>1997.19</v>
      </c>
      <c r="R474" s="10">
        <v>0.186</v>
      </c>
      <c r="S474" s="10" t="b">
        <f t="shared" si="102"/>
        <v>0</v>
      </c>
      <c r="T474" s="8">
        <v>3</v>
      </c>
      <c r="U474">
        <f t="shared" si="103"/>
        <v>4877.1379800000004</v>
      </c>
      <c r="V474">
        <f t="shared" si="104"/>
        <v>3368.04</v>
      </c>
      <c r="W474">
        <f t="shared" si="105"/>
        <v>1509.0979800000005</v>
      </c>
      <c r="X474" s="10">
        <f t="shared" si="106"/>
        <v>0.30942285951073306</v>
      </c>
      <c r="Y474" t="str">
        <f t="shared" si="107"/>
        <v>High</v>
      </c>
      <c r="Z474" t="str">
        <f t="shared" si="108"/>
        <v>Not Met</v>
      </c>
      <c r="AA474" t="str">
        <f t="shared" si="109"/>
        <v>Low Discount</v>
      </c>
      <c r="AB474" s="10">
        <f>MIN(R474,ControlPanel!$B$5)</f>
        <v>0.186</v>
      </c>
      <c r="AC474">
        <f>P474*(1+ControlPanel!$B$6)</f>
        <v>1178.8140000000001</v>
      </c>
      <c r="AD474">
        <f>T474*(1+ControlPanel!$B$7)</f>
        <v>3.3000000000000003</v>
      </c>
      <c r="AE474" s="6">
        <f t="shared" si="110"/>
        <v>5364.8517780000011</v>
      </c>
      <c r="AF474">
        <f t="shared" si="111"/>
        <v>1474.7655780000005</v>
      </c>
    </row>
    <row r="475" spans="1:32" x14ac:dyDescent="0.3">
      <c r="A475" t="s">
        <v>114</v>
      </c>
      <c r="B475" s="4">
        <v>44985</v>
      </c>
      <c r="C475" s="4" t="str">
        <f t="shared" si="100"/>
        <v>Feb-2023</v>
      </c>
      <c r="D475" t="str">
        <f t="shared" si="101"/>
        <v>Q1-2023</v>
      </c>
      <c r="E475" s="4">
        <v>45005</v>
      </c>
      <c r="F475" s="12">
        <f t="shared" si="98"/>
        <v>45005</v>
      </c>
      <c r="G475" s="13">
        <f t="shared" si="99"/>
        <v>20</v>
      </c>
      <c r="H475" t="s">
        <v>649</v>
      </c>
      <c r="I475" t="s">
        <v>656</v>
      </c>
      <c r="J475" t="s">
        <v>671</v>
      </c>
      <c r="K475" t="s">
        <v>705</v>
      </c>
      <c r="L475" t="s">
        <v>711</v>
      </c>
      <c r="M475" t="s">
        <v>722</v>
      </c>
      <c r="N475" t="s">
        <v>731</v>
      </c>
      <c r="O475" t="s">
        <v>833</v>
      </c>
      <c r="P475" s="6">
        <v>1200.78</v>
      </c>
      <c r="Q475" s="6">
        <v>2001.17</v>
      </c>
      <c r="R475" s="10">
        <v>0.29199999999999998</v>
      </c>
      <c r="S475" s="10" t="b">
        <f t="shared" si="102"/>
        <v>0</v>
      </c>
      <c r="T475" s="8">
        <v>18</v>
      </c>
      <c r="U475">
        <f t="shared" si="103"/>
        <v>25502.910479999999</v>
      </c>
      <c r="V475">
        <f t="shared" si="104"/>
        <v>21614.04</v>
      </c>
      <c r="W475">
        <f t="shared" si="105"/>
        <v>3888.8704799999978</v>
      </c>
      <c r="X475" s="10">
        <f t="shared" si="106"/>
        <v>0.15248732034132906</v>
      </c>
      <c r="Y475" t="str">
        <f t="shared" si="107"/>
        <v>High</v>
      </c>
      <c r="Z475" t="str">
        <f t="shared" si="108"/>
        <v>Not Met</v>
      </c>
      <c r="AA475" t="str">
        <f t="shared" si="109"/>
        <v>High Discount</v>
      </c>
      <c r="AB475" s="10">
        <f>MIN(R475,ControlPanel!$B$5)</f>
        <v>0.2</v>
      </c>
      <c r="AC475">
        <f>P475*(1+ControlPanel!$B$6)</f>
        <v>1260.819</v>
      </c>
      <c r="AD475">
        <f>T475*(1+ControlPanel!$B$7)</f>
        <v>19.8</v>
      </c>
      <c r="AE475" s="6">
        <f t="shared" si="110"/>
        <v>31698.532800000004</v>
      </c>
      <c r="AF475">
        <f t="shared" si="111"/>
        <v>6734.3166000000056</v>
      </c>
    </row>
    <row r="476" spans="1:32" x14ac:dyDescent="0.3">
      <c r="A476" t="s">
        <v>357</v>
      </c>
      <c r="B476" s="4">
        <v>45339</v>
      </c>
      <c r="C476" s="4" t="str">
        <f t="shared" si="100"/>
        <v>Feb-2024</v>
      </c>
      <c r="D476" t="str">
        <f t="shared" si="101"/>
        <v>Q1-2024</v>
      </c>
      <c r="E476" s="4">
        <v>45355</v>
      </c>
      <c r="F476" s="12">
        <f t="shared" si="98"/>
        <v>45355</v>
      </c>
      <c r="G476" s="13">
        <f t="shared" si="99"/>
        <v>16</v>
      </c>
      <c r="H476" t="s">
        <v>647</v>
      </c>
      <c r="I476" t="s">
        <v>654</v>
      </c>
      <c r="J476" t="s">
        <v>680</v>
      </c>
      <c r="K476" t="s">
        <v>705</v>
      </c>
      <c r="L476" t="s">
        <v>709</v>
      </c>
      <c r="M476" t="s">
        <v>721</v>
      </c>
      <c r="N476" t="s">
        <v>730</v>
      </c>
      <c r="O476" t="s">
        <v>1077</v>
      </c>
      <c r="P476" s="6">
        <v>1231.8</v>
      </c>
      <c r="Q476" s="6">
        <v>2015.99</v>
      </c>
      <c r="R476" s="10">
        <v>0.26100000000000001</v>
      </c>
      <c r="S476" s="10" t="b">
        <f t="shared" si="102"/>
        <v>0</v>
      </c>
      <c r="T476" s="8">
        <v>6</v>
      </c>
      <c r="U476">
        <f t="shared" si="103"/>
        <v>8938.8996600000009</v>
      </c>
      <c r="V476">
        <f t="shared" si="104"/>
        <v>7390.7999999999993</v>
      </c>
      <c r="W476">
        <f t="shared" si="105"/>
        <v>1548.0996600000017</v>
      </c>
      <c r="X476" s="10">
        <f t="shared" si="106"/>
        <v>0.17318682599464391</v>
      </c>
      <c r="Y476" t="str">
        <f t="shared" si="107"/>
        <v>High</v>
      </c>
      <c r="Z476" t="str">
        <f t="shared" si="108"/>
        <v>Not Met</v>
      </c>
      <c r="AA476" t="str">
        <f t="shared" si="109"/>
        <v>High Discount</v>
      </c>
      <c r="AB476" s="10">
        <f>MIN(R476,ControlPanel!$B$5)</f>
        <v>0.2</v>
      </c>
      <c r="AC476">
        <f>P476*(1+ControlPanel!$B$6)</f>
        <v>1293.3900000000001</v>
      </c>
      <c r="AD476">
        <f>T476*(1+ControlPanel!$B$7)</f>
        <v>6.6000000000000005</v>
      </c>
      <c r="AE476" s="6">
        <f t="shared" si="110"/>
        <v>10644.427200000002</v>
      </c>
      <c r="AF476">
        <f t="shared" si="111"/>
        <v>2108.0532000000003</v>
      </c>
    </row>
    <row r="477" spans="1:32" x14ac:dyDescent="0.3">
      <c r="A477" t="s">
        <v>566</v>
      </c>
      <c r="B477" s="4">
        <v>44988</v>
      </c>
      <c r="C477" s="4" t="str">
        <f t="shared" si="100"/>
        <v>Mar-2023</v>
      </c>
      <c r="D477" t="str">
        <f t="shared" si="101"/>
        <v>Q1-2023</v>
      </c>
      <c r="E477" s="4">
        <v>45005</v>
      </c>
      <c r="F477" s="12">
        <f t="shared" si="98"/>
        <v>45005</v>
      </c>
      <c r="G477" s="13">
        <f t="shared" si="99"/>
        <v>17</v>
      </c>
      <c r="H477" t="s">
        <v>647</v>
      </c>
      <c r="I477" t="s">
        <v>652</v>
      </c>
      <c r="J477" t="s">
        <v>694</v>
      </c>
      <c r="K477" t="s">
        <v>705</v>
      </c>
      <c r="L477" t="s">
        <v>708</v>
      </c>
      <c r="M477" t="s">
        <v>726</v>
      </c>
      <c r="N477" t="s">
        <v>729</v>
      </c>
      <c r="O477" t="s">
        <v>1284</v>
      </c>
      <c r="P477" s="6">
        <v>1171.17</v>
      </c>
      <c r="Q477" s="6">
        <v>2030.64</v>
      </c>
      <c r="R477" s="10">
        <v>0.157</v>
      </c>
      <c r="S477" s="10" t="b">
        <f t="shared" si="102"/>
        <v>0</v>
      </c>
      <c r="T477" s="8">
        <v>11</v>
      </c>
      <c r="U477">
        <f t="shared" si="103"/>
        <v>18830.12472</v>
      </c>
      <c r="V477">
        <f t="shared" si="104"/>
        <v>12882.87</v>
      </c>
      <c r="W477">
        <f t="shared" si="105"/>
        <v>5947.254719999999</v>
      </c>
      <c r="X477" s="10">
        <f t="shared" si="106"/>
        <v>0.31583724528830415</v>
      </c>
      <c r="Y477" t="str">
        <f t="shared" si="107"/>
        <v>High</v>
      </c>
      <c r="Z477" t="str">
        <f t="shared" si="108"/>
        <v>Not Met</v>
      </c>
      <c r="AA477" t="str">
        <f t="shared" si="109"/>
        <v>Low Discount</v>
      </c>
      <c r="AB477" s="10">
        <f>MIN(R477,ControlPanel!$B$5)</f>
        <v>0.157</v>
      </c>
      <c r="AC477">
        <f>P477*(1+ControlPanel!$B$6)</f>
        <v>1229.7285000000002</v>
      </c>
      <c r="AD477">
        <f>T477*(1+ControlPanel!$B$7)</f>
        <v>12.100000000000001</v>
      </c>
      <c r="AE477" s="6">
        <f t="shared" si="110"/>
        <v>20713.137192000002</v>
      </c>
      <c r="AF477">
        <f t="shared" si="111"/>
        <v>5833.422341999998</v>
      </c>
    </row>
    <row r="478" spans="1:32" x14ac:dyDescent="0.3">
      <c r="A478" t="s">
        <v>360</v>
      </c>
      <c r="B478" s="4">
        <v>45498</v>
      </c>
      <c r="C478" s="4" t="str">
        <f t="shared" si="100"/>
        <v>Jul-2024</v>
      </c>
      <c r="D478" t="str">
        <f t="shared" si="101"/>
        <v>Q3-2024</v>
      </c>
      <c r="E478" s="4">
        <v>45506</v>
      </c>
      <c r="F478" s="12">
        <f t="shared" si="98"/>
        <v>45506</v>
      </c>
      <c r="G478" s="13">
        <f t="shared" si="99"/>
        <v>8</v>
      </c>
      <c r="H478" t="s">
        <v>648</v>
      </c>
      <c r="I478" t="s">
        <v>653</v>
      </c>
      <c r="J478" t="s">
        <v>681</v>
      </c>
      <c r="K478" t="s">
        <v>704</v>
      </c>
      <c r="L478" t="s">
        <v>711</v>
      </c>
      <c r="M478" t="s">
        <v>713</v>
      </c>
      <c r="N478" t="s">
        <v>733</v>
      </c>
      <c r="O478" t="s">
        <v>1080</v>
      </c>
      <c r="P478" s="6">
        <v>986.81</v>
      </c>
      <c r="Q478" s="6">
        <v>2050.31</v>
      </c>
      <c r="R478" s="10">
        <v>0.10299999999999999</v>
      </c>
      <c r="S478" s="10" t="b">
        <f t="shared" si="102"/>
        <v>0</v>
      </c>
      <c r="T478" s="8">
        <v>43</v>
      </c>
      <c r="U478">
        <f t="shared" si="103"/>
        <v>79082.507010000001</v>
      </c>
      <c r="V478">
        <f t="shared" si="104"/>
        <v>42432.829999999994</v>
      </c>
      <c r="W478">
        <f t="shared" si="105"/>
        <v>36649.677010000007</v>
      </c>
      <c r="X478" s="10">
        <f t="shared" si="106"/>
        <v>0.46343595310358138</v>
      </c>
      <c r="Y478" t="str">
        <f t="shared" si="107"/>
        <v>High</v>
      </c>
      <c r="Z478" t="str">
        <f t="shared" si="108"/>
        <v>Not Met</v>
      </c>
      <c r="AA478" t="str">
        <f t="shared" si="109"/>
        <v>Low Discount</v>
      </c>
      <c r="AB478" s="10">
        <f>MIN(R478,ControlPanel!$B$5)</f>
        <v>0.10299999999999999</v>
      </c>
      <c r="AC478">
        <f>P478*(1+ControlPanel!$B$6)</f>
        <v>1036.1505</v>
      </c>
      <c r="AD478">
        <f>T478*(1+ControlPanel!$B$7)</f>
        <v>47.300000000000004</v>
      </c>
      <c r="AE478" s="6">
        <f t="shared" si="110"/>
        <v>86990.757711000013</v>
      </c>
      <c r="AF478">
        <f t="shared" si="111"/>
        <v>37980.839061000013</v>
      </c>
    </row>
    <row r="479" spans="1:32" x14ac:dyDescent="0.3">
      <c r="A479" t="s">
        <v>419</v>
      </c>
      <c r="B479" s="4">
        <v>44991</v>
      </c>
      <c r="C479" s="4" t="str">
        <f t="shared" si="100"/>
        <v>Mar-2023</v>
      </c>
      <c r="D479" t="str">
        <f t="shared" si="101"/>
        <v>Q1-2023</v>
      </c>
      <c r="E479" s="4">
        <v>45020</v>
      </c>
      <c r="F479" s="12">
        <f t="shared" si="98"/>
        <v>45020</v>
      </c>
      <c r="G479" s="13">
        <f t="shared" si="99"/>
        <v>29</v>
      </c>
      <c r="H479" t="s">
        <v>647</v>
      </c>
      <c r="I479" t="s">
        <v>659</v>
      </c>
      <c r="J479" t="s">
        <v>699</v>
      </c>
      <c r="K479" t="s">
        <v>705</v>
      </c>
      <c r="L479" t="s">
        <v>711</v>
      </c>
      <c r="M479" t="s">
        <v>712</v>
      </c>
      <c r="N479" t="s">
        <v>732</v>
      </c>
      <c r="O479" t="s">
        <v>1138</v>
      </c>
      <c r="P479" s="6">
        <v>1126.29</v>
      </c>
      <c r="Q479" s="6">
        <v>2050.87</v>
      </c>
      <c r="R479" s="10">
        <v>6.4000000000000001E-2</v>
      </c>
      <c r="S479" s="10" t="b">
        <f t="shared" si="102"/>
        <v>0</v>
      </c>
      <c r="T479" s="8">
        <v>7</v>
      </c>
      <c r="U479">
        <f t="shared" si="103"/>
        <v>13437.300239999997</v>
      </c>
      <c r="V479">
        <f t="shared" si="104"/>
        <v>7884.03</v>
      </c>
      <c r="W479">
        <f t="shared" si="105"/>
        <v>5553.2702399999971</v>
      </c>
      <c r="X479" s="10">
        <f t="shared" si="106"/>
        <v>0.41327276616690367</v>
      </c>
      <c r="Y479" t="str">
        <f t="shared" si="107"/>
        <v>High</v>
      </c>
      <c r="Z479" t="str">
        <f t="shared" si="108"/>
        <v>Not Met</v>
      </c>
      <c r="AA479" t="str">
        <f t="shared" si="109"/>
        <v>Low Discount</v>
      </c>
      <c r="AB479" s="10">
        <f>MIN(R479,ControlPanel!$B$5)</f>
        <v>6.4000000000000001E-2</v>
      </c>
      <c r="AC479">
        <f>P479*(1+ControlPanel!$B$6)</f>
        <v>1182.6044999999999</v>
      </c>
      <c r="AD479">
        <f>T479*(1+ControlPanel!$B$7)</f>
        <v>7.7000000000000011</v>
      </c>
      <c r="AE479" s="6">
        <f t="shared" si="110"/>
        <v>14781.030263999999</v>
      </c>
      <c r="AF479">
        <f t="shared" si="111"/>
        <v>5674.975613999999</v>
      </c>
    </row>
    <row r="480" spans="1:32" x14ac:dyDescent="0.3">
      <c r="A480" t="s">
        <v>180</v>
      </c>
      <c r="B480" s="4">
        <v>44976</v>
      </c>
      <c r="C480" s="4" t="str">
        <f t="shared" si="100"/>
        <v>Feb-2023</v>
      </c>
      <c r="D480" t="str">
        <f t="shared" si="101"/>
        <v>Q1-2023</v>
      </c>
      <c r="E480" s="4">
        <v>44997</v>
      </c>
      <c r="F480" s="12">
        <f t="shared" si="98"/>
        <v>44997</v>
      </c>
      <c r="G480" s="13">
        <f t="shared" si="99"/>
        <v>21</v>
      </c>
      <c r="H480" t="s">
        <v>649</v>
      </c>
      <c r="I480" t="s">
        <v>656</v>
      </c>
      <c r="J480" t="s">
        <v>671</v>
      </c>
      <c r="K480" t="s">
        <v>705</v>
      </c>
      <c r="L480" t="s">
        <v>711</v>
      </c>
      <c r="M480" t="s">
        <v>716</v>
      </c>
      <c r="N480" t="s">
        <v>732</v>
      </c>
      <c r="O480" t="s">
        <v>899</v>
      </c>
      <c r="P480" s="6">
        <v>1234.81</v>
      </c>
      <c r="Q480" s="6">
        <v>2055.2399999999998</v>
      </c>
      <c r="R480" s="10">
        <v>5.2999999999999999E-2</v>
      </c>
      <c r="S480" s="10" t="b">
        <f t="shared" si="102"/>
        <v>0</v>
      </c>
      <c r="T480" s="8">
        <v>44</v>
      </c>
      <c r="U480">
        <f t="shared" si="103"/>
        <v>85637.740319999983</v>
      </c>
      <c r="V480">
        <f t="shared" si="104"/>
        <v>54331.64</v>
      </c>
      <c r="W480">
        <f t="shared" si="105"/>
        <v>31306.100319999983</v>
      </c>
      <c r="X480" s="10">
        <f t="shared" si="106"/>
        <v>0.3655642968044161</v>
      </c>
      <c r="Y480" t="str">
        <f t="shared" si="107"/>
        <v>High</v>
      </c>
      <c r="Z480" t="str">
        <f t="shared" si="108"/>
        <v>Not Met</v>
      </c>
      <c r="AA480" t="str">
        <f t="shared" si="109"/>
        <v>Low Discount</v>
      </c>
      <c r="AB480" s="10">
        <f>MIN(R480,ControlPanel!$B$5)</f>
        <v>5.2999999999999999E-2</v>
      </c>
      <c r="AC480">
        <f>P480*(1+ControlPanel!$B$6)</f>
        <v>1296.5505000000001</v>
      </c>
      <c r="AD480">
        <f>T480*(1+ControlPanel!$B$7)</f>
        <v>48.400000000000006</v>
      </c>
      <c r="AE480" s="6">
        <f t="shared" si="110"/>
        <v>94201.514351999998</v>
      </c>
      <c r="AF480">
        <f t="shared" si="111"/>
        <v>31448.470151999987</v>
      </c>
    </row>
    <row r="481" spans="1:32" x14ac:dyDescent="0.3">
      <c r="A481" t="s">
        <v>186</v>
      </c>
      <c r="B481" s="4">
        <v>45190</v>
      </c>
      <c r="C481" s="4" t="str">
        <f t="shared" si="100"/>
        <v>Sep-2023</v>
      </c>
      <c r="D481" t="str">
        <f t="shared" si="101"/>
        <v>Q3-2023</v>
      </c>
      <c r="E481" s="4">
        <v>45209</v>
      </c>
      <c r="F481" s="12">
        <f t="shared" si="98"/>
        <v>45209</v>
      </c>
      <c r="G481" s="13">
        <f t="shared" si="99"/>
        <v>19</v>
      </c>
      <c r="H481" t="s">
        <v>647</v>
      </c>
      <c r="I481" t="s">
        <v>652</v>
      </c>
      <c r="J481" t="s">
        <v>689</v>
      </c>
      <c r="K481" t="s">
        <v>702</v>
      </c>
      <c r="L481" t="s">
        <v>708</v>
      </c>
      <c r="M481" t="s">
        <v>726</v>
      </c>
      <c r="N481" t="s">
        <v>727</v>
      </c>
      <c r="O481" t="s">
        <v>905</v>
      </c>
      <c r="P481" s="6">
        <v>845.63</v>
      </c>
      <c r="Q481" s="6">
        <v>2062.12</v>
      </c>
      <c r="R481" s="10">
        <v>0.13400000000000001</v>
      </c>
      <c r="S481" s="10" t="b">
        <f t="shared" si="102"/>
        <v>0</v>
      </c>
      <c r="T481" s="8">
        <v>5</v>
      </c>
      <c r="U481">
        <f t="shared" si="103"/>
        <v>8928.9795999999988</v>
      </c>
      <c r="V481">
        <f t="shared" si="104"/>
        <v>4228.1499999999996</v>
      </c>
      <c r="W481">
        <f t="shared" si="105"/>
        <v>4700.8295999999991</v>
      </c>
      <c r="X481" s="10">
        <f t="shared" si="106"/>
        <v>0.52646884757133949</v>
      </c>
      <c r="Y481" t="str">
        <f t="shared" si="107"/>
        <v>High</v>
      </c>
      <c r="Z481" t="str">
        <f t="shared" si="108"/>
        <v>Not Met</v>
      </c>
      <c r="AA481" t="str">
        <f t="shared" si="109"/>
        <v>Low Discount</v>
      </c>
      <c r="AB481" s="10">
        <f>MIN(R481,ControlPanel!$B$5)</f>
        <v>0.13400000000000001</v>
      </c>
      <c r="AC481">
        <f>P481*(1+ControlPanel!$B$6)</f>
        <v>887.91150000000005</v>
      </c>
      <c r="AD481">
        <f>T481*(1+ControlPanel!$B$7)</f>
        <v>5.5</v>
      </c>
      <c r="AE481" s="6">
        <f t="shared" si="110"/>
        <v>9821.877559999999</v>
      </c>
      <c r="AF481">
        <f t="shared" si="111"/>
        <v>4938.364309999999</v>
      </c>
    </row>
    <row r="482" spans="1:32" x14ac:dyDescent="0.3">
      <c r="A482" t="s">
        <v>223</v>
      </c>
      <c r="B482" s="4">
        <v>45859</v>
      </c>
      <c r="C482" s="4" t="str">
        <f t="shared" si="100"/>
        <v>Jul-2025</v>
      </c>
      <c r="D482" t="str">
        <f t="shared" si="101"/>
        <v>Q3-2025</v>
      </c>
      <c r="E482" s="4">
        <v>45876</v>
      </c>
      <c r="F482" s="12">
        <f t="shared" si="98"/>
        <v>45876</v>
      </c>
      <c r="G482" s="13">
        <f t="shared" si="99"/>
        <v>17</v>
      </c>
      <c r="H482" t="s">
        <v>646</v>
      </c>
      <c r="I482" t="s">
        <v>651</v>
      </c>
      <c r="J482" t="s">
        <v>665</v>
      </c>
      <c r="K482" t="s">
        <v>706</v>
      </c>
      <c r="L482" t="s">
        <v>711</v>
      </c>
      <c r="M482" t="s">
        <v>724</v>
      </c>
      <c r="N482" t="s">
        <v>733</v>
      </c>
      <c r="O482" t="s">
        <v>943</v>
      </c>
      <c r="P482" s="6">
        <v>1204.95</v>
      </c>
      <c r="Q482" s="6">
        <v>2065.73</v>
      </c>
      <c r="R482" s="10">
        <v>0.13600000000000001</v>
      </c>
      <c r="S482" s="10" t="b">
        <f t="shared" si="102"/>
        <v>0</v>
      </c>
      <c r="T482" s="8">
        <v>10</v>
      </c>
      <c r="U482">
        <f t="shared" si="103"/>
        <v>17847.907200000001</v>
      </c>
      <c r="V482">
        <f t="shared" si="104"/>
        <v>12049.5</v>
      </c>
      <c r="W482">
        <f t="shared" si="105"/>
        <v>5798.4072000000015</v>
      </c>
      <c r="X482" s="10">
        <f t="shared" si="106"/>
        <v>0.32487882949100055</v>
      </c>
      <c r="Y482" t="str">
        <f t="shared" si="107"/>
        <v>High</v>
      </c>
      <c r="Z482" t="str">
        <f t="shared" si="108"/>
        <v>Not Met</v>
      </c>
      <c r="AA482" t="str">
        <f t="shared" si="109"/>
        <v>Low Discount</v>
      </c>
      <c r="AB482" s="10">
        <f>MIN(R482,ControlPanel!$B$5)</f>
        <v>0.13600000000000001</v>
      </c>
      <c r="AC482">
        <f>P482*(1+ControlPanel!$B$6)</f>
        <v>1265.1975</v>
      </c>
      <c r="AD482">
        <f>T482*(1+ControlPanel!$B$7)</f>
        <v>11</v>
      </c>
      <c r="AE482" s="6">
        <f t="shared" si="110"/>
        <v>19632.697919999999</v>
      </c>
      <c r="AF482">
        <f t="shared" si="111"/>
        <v>5715.5254199999981</v>
      </c>
    </row>
    <row r="483" spans="1:32" x14ac:dyDescent="0.3">
      <c r="A483" t="s">
        <v>595</v>
      </c>
      <c r="B483" s="4">
        <v>45080</v>
      </c>
      <c r="C483" s="4" t="str">
        <f t="shared" si="100"/>
        <v>Jun-2023</v>
      </c>
      <c r="D483" t="str">
        <f t="shared" si="101"/>
        <v>Q2-2023</v>
      </c>
      <c r="E483" s="4">
        <v>45108</v>
      </c>
      <c r="F483" s="12">
        <f t="shared" si="98"/>
        <v>45108</v>
      </c>
      <c r="G483" s="13">
        <f t="shared" si="99"/>
        <v>28</v>
      </c>
      <c r="H483" t="s">
        <v>648</v>
      </c>
      <c r="I483" t="s">
        <v>655</v>
      </c>
      <c r="J483" t="s">
        <v>672</v>
      </c>
      <c r="K483" t="s">
        <v>705</v>
      </c>
      <c r="L483" t="s">
        <v>709</v>
      </c>
      <c r="M483" t="s">
        <v>720</v>
      </c>
      <c r="N483" t="s">
        <v>727</v>
      </c>
      <c r="O483" t="s">
        <v>1313</v>
      </c>
      <c r="P483" s="6">
        <v>860.4</v>
      </c>
      <c r="Q483" s="6">
        <v>2066.6</v>
      </c>
      <c r="R483" s="10">
        <v>0.01</v>
      </c>
      <c r="S483" s="10" t="b">
        <f t="shared" si="102"/>
        <v>0</v>
      </c>
      <c r="T483" s="8">
        <v>3</v>
      </c>
      <c r="U483">
        <f t="shared" si="103"/>
        <v>6137.8019999999997</v>
      </c>
      <c r="V483">
        <f t="shared" si="104"/>
        <v>2581.1999999999998</v>
      </c>
      <c r="W483">
        <f t="shared" si="105"/>
        <v>3556.6019999999999</v>
      </c>
      <c r="X483" s="10">
        <f t="shared" si="106"/>
        <v>0.57945857491004105</v>
      </c>
      <c r="Y483" t="str">
        <f t="shared" si="107"/>
        <v>High</v>
      </c>
      <c r="Z483" t="str">
        <f t="shared" si="108"/>
        <v>Not Met</v>
      </c>
      <c r="AA483" t="str">
        <f t="shared" si="109"/>
        <v>Low Discount</v>
      </c>
      <c r="AB483" s="10">
        <f>MIN(R483,ControlPanel!$B$5)</f>
        <v>0.01</v>
      </c>
      <c r="AC483">
        <f>P483*(1+ControlPanel!$B$6)</f>
        <v>903.42</v>
      </c>
      <c r="AD483">
        <f>T483*(1+ControlPanel!$B$7)</f>
        <v>3.3000000000000003</v>
      </c>
      <c r="AE483" s="6">
        <f t="shared" si="110"/>
        <v>6751.5822000000007</v>
      </c>
      <c r="AF483">
        <f t="shared" si="111"/>
        <v>3770.2962000000007</v>
      </c>
    </row>
    <row r="484" spans="1:32" x14ac:dyDescent="0.3">
      <c r="A484" t="s">
        <v>293</v>
      </c>
      <c r="B484" s="4">
        <v>45229</v>
      </c>
      <c r="C484" s="4" t="str">
        <f t="shared" si="100"/>
        <v>Oct-2023</v>
      </c>
      <c r="D484" t="str">
        <f t="shared" si="101"/>
        <v>Q4-2023</v>
      </c>
      <c r="E484" s="4">
        <v>45244</v>
      </c>
      <c r="F484" s="12">
        <f t="shared" si="98"/>
        <v>45244</v>
      </c>
      <c r="G484" s="13">
        <f t="shared" si="99"/>
        <v>15</v>
      </c>
      <c r="H484" t="s">
        <v>647</v>
      </c>
      <c r="I484" t="s">
        <v>654</v>
      </c>
      <c r="J484" t="s">
        <v>668</v>
      </c>
      <c r="K484" t="s">
        <v>701</v>
      </c>
      <c r="L484" t="s">
        <v>708</v>
      </c>
      <c r="M484" t="s">
        <v>721</v>
      </c>
      <c r="N484" t="s">
        <v>731</v>
      </c>
      <c r="O484" t="s">
        <v>1013</v>
      </c>
      <c r="P484" s="6">
        <v>953.46</v>
      </c>
      <c r="Q484" s="6">
        <v>2066.75</v>
      </c>
      <c r="R484" s="10">
        <v>0.13800000000000001</v>
      </c>
      <c r="S484" s="10" t="b">
        <f t="shared" si="102"/>
        <v>0</v>
      </c>
      <c r="T484" s="8">
        <v>5</v>
      </c>
      <c r="U484">
        <f t="shared" si="103"/>
        <v>8907.6924999999992</v>
      </c>
      <c r="V484">
        <f t="shared" si="104"/>
        <v>4767.3</v>
      </c>
      <c r="W484">
        <f t="shared" si="105"/>
        <v>4140.392499999999</v>
      </c>
      <c r="X484" s="10">
        <f t="shared" si="106"/>
        <v>0.46481089238318446</v>
      </c>
      <c r="Y484" t="str">
        <f t="shared" si="107"/>
        <v>High</v>
      </c>
      <c r="Z484" t="str">
        <f t="shared" si="108"/>
        <v>Not Met</v>
      </c>
      <c r="AA484" t="str">
        <f t="shared" si="109"/>
        <v>Low Discount</v>
      </c>
      <c r="AB484" s="10">
        <f>MIN(R484,ControlPanel!$B$5)</f>
        <v>0.13800000000000001</v>
      </c>
      <c r="AC484">
        <f>P484*(1+ControlPanel!$B$6)</f>
        <v>1001.133</v>
      </c>
      <c r="AD484">
        <f>T484*(1+ControlPanel!$B$7)</f>
        <v>5.5</v>
      </c>
      <c r="AE484" s="6">
        <f t="shared" si="110"/>
        <v>9798.4617499999986</v>
      </c>
      <c r="AF484">
        <f t="shared" si="111"/>
        <v>4292.2302499999987</v>
      </c>
    </row>
    <row r="485" spans="1:32" x14ac:dyDescent="0.3">
      <c r="A485" t="s">
        <v>274</v>
      </c>
      <c r="B485" s="4">
        <v>45066</v>
      </c>
      <c r="C485" s="4" t="str">
        <f t="shared" si="100"/>
        <v>May-2023</v>
      </c>
      <c r="D485" t="str">
        <f t="shared" si="101"/>
        <v>Q2-2023</v>
      </c>
      <c r="E485" s="4">
        <v>45084</v>
      </c>
      <c r="F485" s="12">
        <f t="shared" si="98"/>
        <v>45084</v>
      </c>
      <c r="G485" s="13">
        <f t="shared" si="99"/>
        <v>18</v>
      </c>
      <c r="H485" t="s">
        <v>646</v>
      </c>
      <c r="I485" t="s">
        <v>651</v>
      </c>
      <c r="J485" t="s">
        <v>663</v>
      </c>
      <c r="K485" t="s">
        <v>706</v>
      </c>
      <c r="L485" t="s">
        <v>710</v>
      </c>
      <c r="M485" t="s">
        <v>718</v>
      </c>
      <c r="N485" t="s">
        <v>727</v>
      </c>
      <c r="O485" t="s">
        <v>994</v>
      </c>
      <c r="P485" s="6">
        <v>1120.06</v>
      </c>
      <c r="Q485" s="6">
        <v>2068.21</v>
      </c>
      <c r="R485" s="10">
        <v>7.8E-2</v>
      </c>
      <c r="S485" s="10" t="b">
        <f t="shared" si="102"/>
        <v>0</v>
      </c>
      <c r="T485" s="8">
        <v>12</v>
      </c>
      <c r="U485">
        <f t="shared" si="103"/>
        <v>22882.675440000003</v>
      </c>
      <c r="V485">
        <f t="shared" si="104"/>
        <v>13440.72</v>
      </c>
      <c r="W485">
        <f t="shared" si="105"/>
        <v>9441.9554400000034</v>
      </c>
      <c r="X485" s="10">
        <f t="shared" si="106"/>
        <v>0.41262462795303284</v>
      </c>
      <c r="Y485" t="str">
        <f t="shared" si="107"/>
        <v>High</v>
      </c>
      <c r="Z485" t="str">
        <f t="shared" si="108"/>
        <v>Not Met</v>
      </c>
      <c r="AA485" t="str">
        <f t="shared" si="109"/>
        <v>Low Discount</v>
      </c>
      <c r="AB485" s="10">
        <f>MIN(R485,ControlPanel!$B$5)</f>
        <v>7.8E-2</v>
      </c>
      <c r="AC485">
        <f>P485*(1+ControlPanel!$B$6)</f>
        <v>1176.0630000000001</v>
      </c>
      <c r="AD485">
        <f>T485*(1+ControlPanel!$B$7)</f>
        <v>13.200000000000001</v>
      </c>
      <c r="AE485" s="6">
        <f t="shared" si="110"/>
        <v>25170.942984000005</v>
      </c>
      <c r="AF485">
        <f t="shared" si="111"/>
        <v>9646.9113840000027</v>
      </c>
    </row>
    <row r="486" spans="1:32" x14ac:dyDescent="0.3">
      <c r="A486" t="s">
        <v>316</v>
      </c>
      <c r="B486" s="4">
        <v>45125</v>
      </c>
      <c r="C486" s="4" t="str">
        <f t="shared" si="100"/>
        <v>Jul-2023</v>
      </c>
      <c r="D486" t="str">
        <f t="shared" si="101"/>
        <v>Q3-2023</v>
      </c>
      <c r="E486" s="4">
        <v>45129</v>
      </c>
      <c r="F486" s="12">
        <f t="shared" si="98"/>
        <v>45129</v>
      </c>
      <c r="G486" s="13">
        <f t="shared" si="99"/>
        <v>4</v>
      </c>
      <c r="H486" t="s">
        <v>648</v>
      </c>
      <c r="I486" t="s">
        <v>655</v>
      </c>
      <c r="J486" t="s">
        <v>670</v>
      </c>
      <c r="K486" t="s">
        <v>704</v>
      </c>
      <c r="L486" t="s">
        <v>711</v>
      </c>
      <c r="M486" t="s">
        <v>721</v>
      </c>
      <c r="N486" t="s">
        <v>729</v>
      </c>
      <c r="O486" t="s">
        <v>1036</v>
      </c>
      <c r="P486" s="6">
        <v>1269.55</v>
      </c>
      <c r="Q486" s="6">
        <v>2071.1</v>
      </c>
      <c r="R486" s="10">
        <v>0.129</v>
      </c>
      <c r="S486" s="10" t="b">
        <f t="shared" si="102"/>
        <v>0</v>
      </c>
      <c r="T486" s="8">
        <v>22</v>
      </c>
      <c r="U486">
        <f t="shared" si="103"/>
        <v>39686.4182</v>
      </c>
      <c r="V486">
        <f t="shared" si="104"/>
        <v>27930.1</v>
      </c>
      <c r="W486">
        <f t="shared" si="105"/>
        <v>11756.318200000002</v>
      </c>
      <c r="X486" s="10">
        <f t="shared" si="106"/>
        <v>0.29623026549672354</v>
      </c>
      <c r="Y486" t="str">
        <f t="shared" si="107"/>
        <v>High</v>
      </c>
      <c r="Z486" t="str">
        <f t="shared" si="108"/>
        <v>Met</v>
      </c>
      <c r="AA486" t="str">
        <f t="shared" si="109"/>
        <v>Low Discount</v>
      </c>
      <c r="AB486" s="10">
        <f>MIN(R486,ControlPanel!$B$5)</f>
        <v>0.129</v>
      </c>
      <c r="AC486">
        <f>P486*(1+ControlPanel!$B$6)</f>
        <v>1333.0274999999999</v>
      </c>
      <c r="AD486">
        <f>T486*(1+ControlPanel!$B$7)</f>
        <v>24.200000000000003</v>
      </c>
      <c r="AE486" s="6">
        <f t="shared" si="110"/>
        <v>43655.060020000004</v>
      </c>
      <c r="AF486">
        <f t="shared" si="111"/>
        <v>11395.794520000003</v>
      </c>
    </row>
    <row r="487" spans="1:32" x14ac:dyDescent="0.3">
      <c r="A487" t="s">
        <v>469</v>
      </c>
      <c r="B487" s="4">
        <v>45653</v>
      </c>
      <c r="C487" s="4" t="str">
        <f t="shared" si="100"/>
        <v>Dec-2024</v>
      </c>
      <c r="D487" t="str">
        <f t="shared" si="101"/>
        <v>Q4-2024</v>
      </c>
      <c r="E487" s="4">
        <v>45655</v>
      </c>
      <c r="F487" s="12">
        <f t="shared" si="98"/>
        <v>45655</v>
      </c>
      <c r="G487" s="13">
        <f t="shared" si="99"/>
        <v>2</v>
      </c>
      <c r="H487" t="s">
        <v>648</v>
      </c>
      <c r="I487" t="s">
        <v>653</v>
      </c>
      <c r="J487" t="s">
        <v>688</v>
      </c>
      <c r="K487" t="s">
        <v>706</v>
      </c>
      <c r="L487" t="s">
        <v>709</v>
      </c>
      <c r="M487" t="s">
        <v>712</v>
      </c>
      <c r="N487" t="s">
        <v>733</v>
      </c>
      <c r="O487" t="s">
        <v>1188</v>
      </c>
      <c r="P487" s="6">
        <v>1146.72</v>
      </c>
      <c r="Q487" s="6">
        <v>2074.34</v>
      </c>
      <c r="R487" s="10">
        <v>0.111</v>
      </c>
      <c r="S487" s="10" t="b">
        <f t="shared" si="102"/>
        <v>0</v>
      </c>
      <c r="T487" s="8">
        <v>8</v>
      </c>
      <c r="U487">
        <f t="shared" si="103"/>
        <v>14752.706080000002</v>
      </c>
      <c r="V487">
        <f t="shared" si="104"/>
        <v>9173.76</v>
      </c>
      <c r="W487">
        <f t="shared" si="105"/>
        <v>5578.9460800000015</v>
      </c>
      <c r="X487" s="10">
        <f t="shared" si="106"/>
        <v>0.37816425337472737</v>
      </c>
      <c r="Y487" t="str">
        <f t="shared" si="107"/>
        <v>High</v>
      </c>
      <c r="Z487" t="str">
        <f t="shared" si="108"/>
        <v>Met</v>
      </c>
      <c r="AA487" t="str">
        <f t="shared" si="109"/>
        <v>Low Discount</v>
      </c>
      <c r="AB487" s="10">
        <f>MIN(R487,ControlPanel!$B$5)</f>
        <v>0.111</v>
      </c>
      <c r="AC487">
        <f>P487*(1+ControlPanel!$B$6)</f>
        <v>1204.056</v>
      </c>
      <c r="AD487">
        <f>T487*(1+ControlPanel!$B$7)</f>
        <v>8.8000000000000007</v>
      </c>
      <c r="AE487" s="6">
        <f t="shared" si="110"/>
        <v>16227.976688000002</v>
      </c>
      <c r="AF487">
        <f t="shared" si="111"/>
        <v>5632.2838880000018</v>
      </c>
    </row>
    <row r="488" spans="1:32" x14ac:dyDescent="0.3">
      <c r="A488" t="s">
        <v>443</v>
      </c>
      <c r="B488" s="4">
        <v>45784</v>
      </c>
      <c r="C488" s="4" t="str">
        <f t="shared" si="100"/>
        <v>May-2025</v>
      </c>
      <c r="D488" t="str">
        <f t="shared" si="101"/>
        <v>Q2-2025</v>
      </c>
      <c r="E488" s="4">
        <v>45790</v>
      </c>
      <c r="F488" s="12">
        <f t="shared" si="98"/>
        <v>45790</v>
      </c>
      <c r="G488" s="13">
        <f t="shared" si="99"/>
        <v>6</v>
      </c>
      <c r="H488" t="s">
        <v>647</v>
      </c>
      <c r="I488" t="s">
        <v>654</v>
      </c>
      <c r="J488" t="s">
        <v>668</v>
      </c>
      <c r="K488" t="s">
        <v>706</v>
      </c>
      <c r="L488" t="s">
        <v>711</v>
      </c>
      <c r="M488" t="s">
        <v>713</v>
      </c>
      <c r="N488" t="s">
        <v>730</v>
      </c>
      <c r="O488" t="s">
        <v>1162</v>
      </c>
      <c r="P488" s="6">
        <v>935.98</v>
      </c>
      <c r="Q488" s="6">
        <v>2077.69</v>
      </c>
      <c r="R488" s="10">
        <v>0.17499999999999999</v>
      </c>
      <c r="S488" s="10" t="b">
        <f t="shared" si="102"/>
        <v>0</v>
      </c>
      <c r="T488" s="8">
        <v>24</v>
      </c>
      <c r="U488">
        <f t="shared" si="103"/>
        <v>41138.261999999995</v>
      </c>
      <c r="V488">
        <f t="shared" si="104"/>
        <v>22463.52</v>
      </c>
      <c r="W488">
        <f t="shared" si="105"/>
        <v>18674.741999999995</v>
      </c>
      <c r="X488" s="10">
        <f t="shared" si="106"/>
        <v>0.45395067978321491</v>
      </c>
      <c r="Y488" t="str">
        <f t="shared" si="107"/>
        <v>High</v>
      </c>
      <c r="Z488" t="str">
        <f t="shared" si="108"/>
        <v>Met</v>
      </c>
      <c r="AA488" t="str">
        <f t="shared" si="109"/>
        <v>Low Discount</v>
      </c>
      <c r="AB488" s="10">
        <f>MIN(R488,ControlPanel!$B$5)</f>
        <v>0.17499999999999999</v>
      </c>
      <c r="AC488">
        <f>P488*(1+ControlPanel!$B$6)</f>
        <v>982.77900000000011</v>
      </c>
      <c r="AD488">
        <f>T488*(1+ControlPanel!$B$7)</f>
        <v>26.400000000000002</v>
      </c>
      <c r="AE488" s="6">
        <f t="shared" si="110"/>
        <v>45252.088199999998</v>
      </c>
      <c r="AF488">
        <f t="shared" si="111"/>
        <v>19306.722599999994</v>
      </c>
    </row>
    <row r="489" spans="1:32" x14ac:dyDescent="0.3">
      <c r="A489" t="s">
        <v>39</v>
      </c>
      <c r="B489" s="4">
        <v>44964</v>
      </c>
      <c r="C489" s="4" t="str">
        <f t="shared" si="100"/>
        <v>Feb-2023</v>
      </c>
      <c r="D489" t="str">
        <f t="shared" si="101"/>
        <v>Q1-2023</v>
      </c>
      <c r="E489" s="4">
        <v>44969</v>
      </c>
      <c r="F489" s="12">
        <f t="shared" si="98"/>
        <v>44969</v>
      </c>
      <c r="G489" s="13">
        <f t="shared" si="99"/>
        <v>5</v>
      </c>
      <c r="H489" t="s">
        <v>648</v>
      </c>
      <c r="I489" t="s">
        <v>655</v>
      </c>
      <c r="J489" t="s">
        <v>670</v>
      </c>
      <c r="K489" t="s">
        <v>702</v>
      </c>
      <c r="L489" t="s">
        <v>708</v>
      </c>
      <c r="M489" t="s">
        <v>725</v>
      </c>
      <c r="N489" t="s">
        <v>727</v>
      </c>
      <c r="O489" t="s">
        <v>758</v>
      </c>
      <c r="P489" s="6">
        <v>948.55</v>
      </c>
      <c r="Q489" s="6">
        <v>2089.16</v>
      </c>
      <c r="R489" s="10">
        <v>7.0000000000000001E-3</v>
      </c>
      <c r="S489" s="10" t="b">
        <f t="shared" si="102"/>
        <v>0</v>
      </c>
      <c r="T489" s="8">
        <v>12</v>
      </c>
      <c r="U489">
        <f t="shared" si="103"/>
        <v>24894.430560000001</v>
      </c>
      <c r="V489">
        <f t="shared" si="104"/>
        <v>11382.599999999999</v>
      </c>
      <c r="W489">
        <f t="shared" si="105"/>
        <v>13511.830560000002</v>
      </c>
      <c r="X489" s="10">
        <f t="shared" si="106"/>
        <v>0.54276519912492438</v>
      </c>
      <c r="Y489" t="str">
        <f t="shared" si="107"/>
        <v>High</v>
      </c>
      <c r="Z489" t="str">
        <f t="shared" si="108"/>
        <v>Met</v>
      </c>
      <c r="AA489" t="str">
        <f t="shared" si="109"/>
        <v>Low Discount</v>
      </c>
      <c r="AB489" s="10">
        <f>MIN(R489,ControlPanel!$B$5)</f>
        <v>7.0000000000000001E-3</v>
      </c>
      <c r="AC489">
        <f>P489*(1+ControlPanel!$B$6)</f>
        <v>995.97749999999996</v>
      </c>
      <c r="AD489">
        <f>T489*(1+ControlPanel!$B$7)</f>
        <v>13.200000000000001</v>
      </c>
      <c r="AE489" s="6">
        <f t="shared" si="110"/>
        <v>27383.873616000001</v>
      </c>
      <c r="AF489">
        <f t="shared" si="111"/>
        <v>14236.970616000001</v>
      </c>
    </row>
    <row r="490" spans="1:32" x14ac:dyDescent="0.3">
      <c r="A490" t="s">
        <v>92</v>
      </c>
      <c r="B490" s="4">
        <v>45473</v>
      </c>
      <c r="C490" s="4" t="str">
        <f t="shared" si="100"/>
        <v>Jun-2024</v>
      </c>
      <c r="D490" t="str">
        <f t="shared" si="101"/>
        <v>Q2-2024</v>
      </c>
      <c r="E490" s="4">
        <v>45471</v>
      </c>
      <c r="F490" s="12">
        <f t="shared" si="98"/>
        <v>45487</v>
      </c>
      <c r="G490" s="13">
        <f t="shared" si="99"/>
        <v>14</v>
      </c>
      <c r="H490" t="s">
        <v>648</v>
      </c>
      <c r="I490" t="s">
        <v>655</v>
      </c>
      <c r="J490" t="s">
        <v>692</v>
      </c>
      <c r="K490" t="s">
        <v>705</v>
      </c>
      <c r="L490" t="s">
        <v>711</v>
      </c>
      <c r="M490" t="s">
        <v>716</v>
      </c>
      <c r="N490" t="s">
        <v>733</v>
      </c>
      <c r="O490" t="s">
        <v>811</v>
      </c>
      <c r="P490" s="6">
        <v>1112.98</v>
      </c>
      <c r="Q490" s="6">
        <v>2095.73</v>
      </c>
      <c r="R490" s="10">
        <v>7.1999999999999995E-2</v>
      </c>
      <c r="S490" s="10" t="b">
        <f t="shared" si="102"/>
        <v>0</v>
      </c>
      <c r="T490" s="8">
        <v>17</v>
      </c>
      <c r="U490">
        <f t="shared" si="103"/>
        <v>33062.23648</v>
      </c>
      <c r="V490">
        <f t="shared" si="104"/>
        <v>18920.66</v>
      </c>
      <c r="W490">
        <f t="shared" si="105"/>
        <v>14141.57648</v>
      </c>
      <c r="X490" s="10">
        <f t="shared" si="106"/>
        <v>0.4277259491672476</v>
      </c>
      <c r="Y490" t="str">
        <f t="shared" si="107"/>
        <v>High</v>
      </c>
      <c r="Z490" t="str">
        <f t="shared" si="108"/>
        <v>Not Met</v>
      </c>
      <c r="AA490" t="str">
        <f t="shared" si="109"/>
        <v>Low Discount</v>
      </c>
      <c r="AB490" s="10">
        <f>MIN(R490,ControlPanel!$B$5)</f>
        <v>7.1999999999999995E-2</v>
      </c>
      <c r="AC490">
        <f>P490*(1+ControlPanel!$B$6)</f>
        <v>1168.6290000000001</v>
      </c>
      <c r="AD490">
        <f>T490*(1+ControlPanel!$B$7)</f>
        <v>18.700000000000003</v>
      </c>
      <c r="AE490" s="6">
        <f t="shared" si="110"/>
        <v>36368.460128000006</v>
      </c>
      <c r="AF490">
        <f t="shared" si="111"/>
        <v>14515.097828000002</v>
      </c>
    </row>
    <row r="491" spans="1:32" x14ac:dyDescent="0.3">
      <c r="A491" t="s">
        <v>465</v>
      </c>
      <c r="B491" s="4">
        <v>44945</v>
      </c>
      <c r="C491" s="4" t="str">
        <f t="shared" si="100"/>
        <v>Jan-2023</v>
      </c>
      <c r="D491" t="str">
        <f t="shared" si="101"/>
        <v>Q1-2023</v>
      </c>
      <c r="E491" s="4">
        <v>44960</v>
      </c>
      <c r="F491" s="12">
        <f t="shared" si="98"/>
        <v>44960</v>
      </c>
      <c r="G491" s="13">
        <f t="shared" si="99"/>
        <v>15</v>
      </c>
      <c r="H491" t="s">
        <v>649</v>
      </c>
      <c r="I491" t="s">
        <v>658</v>
      </c>
      <c r="J491" t="s">
        <v>683</v>
      </c>
      <c r="K491" t="s">
        <v>706</v>
      </c>
      <c r="L491" t="s">
        <v>710</v>
      </c>
      <c r="M491" t="s">
        <v>715</v>
      </c>
      <c r="N491" t="s">
        <v>733</v>
      </c>
      <c r="O491" t="s">
        <v>1184</v>
      </c>
      <c r="P491" s="6">
        <v>873.06</v>
      </c>
      <c r="Q491" s="6">
        <v>2101.5500000000002</v>
      </c>
      <c r="R491" s="10">
        <v>6.6000000000000003E-2</v>
      </c>
      <c r="S491" s="10" t="b">
        <f t="shared" si="102"/>
        <v>0</v>
      </c>
      <c r="T491" s="8">
        <v>10</v>
      </c>
      <c r="U491">
        <f t="shared" si="103"/>
        <v>19628.476999999999</v>
      </c>
      <c r="V491">
        <f t="shared" si="104"/>
        <v>8730.5999999999985</v>
      </c>
      <c r="W491">
        <f t="shared" si="105"/>
        <v>10897.877</v>
      </c>
      <c r="X491" s="10">
        <f t="shared" si="106"/>
        <v>0.55520746719167269</v>
      </c>
      <c r="Y491" t="str">
        <f t="shared" si="107"/>
        <v>High</v>
      </c>
      <c r="Z491" t="str">
        <f t="shared" si="108"/>
        <v>Not Met</v>
      </c>
      <c r="AA491" t="str">
        <f t="shared" si="109"/>
        <v>Low Discount</v>
      </c>
      <c r="AB491" s="10">
        <f>MIN(R491,ControlPanel!$B$5)</f>
        <v>6.6000000000000003E-2</v>
      </c>
      <c r="AC491">
        <f>P491*(1+ControlPanel!$B$6)</f>
        <v>916.71299999999997</v>
      </c>
      <c r="AD491">
        <f>T491*(1+ControlPanel!$B$7)</f>
        <v>11</v>
      </c>
      <c r="AE491" s="6">
        <f t="shared" si="110"/>
        <v>21591.324700000001</v>
      </c>
      <c r="AF491">
        <f t="shared" si="111"/>
        <v>11507.481700000002</v>
      </c>
    </row>
    <row r="492" spans="1:32" x14ac:dyDescent="0.3">
      <c r="A492" t="s">
        <v>306</v>
      </c>
      <c r="B492" s="4">
        <v>45220</v>
      </c>
      <c r="C492" s="4" t="str">
        <f t="shared" si="100"/>
        <v>Oct-2023</v>
      </c>
      <c r="D492" t="str">
        <f t="shared" si="101"/>
        <v>Q4-2023</v>
      </c>
      <c r="E492" s="4">
        <v>45239</v>
      </c>
      <c r="F492" s="12">
        <f t="shared" si="98"/>
        <v>45239</v>
      </c>
      <c r="G492" s="13">
        <f t="shared" si="99"/>
        <v>19</v>
      </c>
      <c r="H492" t="s">
        <v>649</v>
      </c>
      <c r="I492" t="s">
        <v>658</v>
      </c>
      <c r="J492" t="s">
        <v>683</v>
      </c>
      <c r="K492" t="s">
        <v>703</v>
      </c>
      <c r="L492" t="s">
        <v>711</v>
      </c>
      <c r="M492" t="s">
        <v>720</v>
      </c>
      <c r="N492" t="s">
        <v>733</v>
      </c>
      <c r="O492" t="s">
        <v>1026</v>
      </c>
      <c r="P492" s="6">
        <v>1142.48</v>
      </c>
      <c r="Q492" s="6">
        <v>2105.5300000000002</v>
      </c>
      <c r="R492" s="10">
        <v>0.20699999999999999</v>
      </c>
      <c r="S492" s="10" t="b">
        <f t="shared" si="102"/>
        <v>0</v>
      </c>
      <c r="T492" s="8">
        <v>14</v>
      </c>
      <c r="U492">
        <f t="shared" si="103"/>
        <v>23375.594060000003</v>
      </c>
      <c r="V492">
        <f t="shared" si="104"/>
        <v>15994.720000000001</v>
      </c>
      <c r="W492">
        <f t="shared" si="105"/>
        <v>7380.8740600000019</v>
      </c>
      <c r="X492" s="10">
        <f t="shared" si="106"/>
        <v>0.31575129346680658</v>
      </c>
      <c r="Y492" t="str">
        <f t="shared" si="107"/>
        <v>High</v>
      </c>
      <c r="Z492" t="str">
        <f t="shared" si="108"/>
        <v>Not Met</v>
      </c>
      <c r="AA492" t="str">
        <f t="shared" si="109"/>
        <v>High Discount</v>
      </c>
      <c r="AB492" s="10">
        <f>MIN(R492,ControlPanel!$B$5)</f>
        <v>0.2</v>
      </c>
      <c r="AC492">
        <f>P492*(1+ControlPanel!$B$6)</f>
        <v>1199.604</v>
      </c>
      <c r="AD492">
        <f>T492*(1+ControlPanel!$B$7)</f>
        <v>15.400000000000002</v>
      </c>
      <c r="AE492" s="6">
        <f t="shared" si="110"/>
        <v>25940.129600000007</v>
      </c>
      <c r="AF492">
        <f t="shared" si="111"/>
        <v>7466.2280000000028</v>
      </c>
    </row>
    <row r="493" spans="1:32" x14ac:dyDescent="0.3">
      <c r="A493" t="s">
        <v>581</v>
      </c>
      <c r="B493" s="4">
        <v>45834</v>
      </c>
      <c r="C493" s="4" t="str">
        <f t="shared" si="100"/>
        <v>Jun-2025</v>
      </c>
      <c r="D493" t="str">
        <f t="shared" si="101"/>
        <v>Q2-2025</v>
      </c>
      <c r="E493" s="4">
        <v>45849</v>
      </c>
      <c r="F493" s="12">
        <f t="shared" si="98"/>
        <v>45849</v>
      </c>
      <c r="G493" s="13">
        <f t="shared" si="99"/>
        <v>15</v>
      </c>
      <c r="H493" t="s">
        <v>646</v>
      </c>
      <c r="I493" t="s">
        <v>651</v>
      </c>
      <c r="J493" t="s">
        <v>663</v>
      </c>
      <c r="K493" t="s">
        <v>705</v>
      </c>
      <c r="L493" t="s">
        <v>708</v>
      </c>
      <c r="M493" t="s">
        <v>720</v>
      </c>
      <c r="N493" t="s">
        <v>731</v>
      </c>
      <c r="O493" t="s">
        <v>1299</v>
      </c>
      <c r="P493" s="6">
        <v>1170.1500000000001</v>
      </c>
      <c r="Q493" s="6">
        <v>2115.19</v>
      </c>
      <c r="R493" s="10">
        <v>9.1999999999999998E-2</v>
      </c>
      <c r="S493" s="10" t="b">
        <f t="shared" si="102"/>
        <v>0</v>
      </c>
      <c r="T493" s="8">
        <v>23</v>
      </c>
      <c r="U493">
        <f t="shared" si="103"/>
        <v>44173.627960000005</v>
      </c>
      <c r="V493">
        <f t="shared" si="104"/>
        <v>26913.45</v>
      </c>
      <c r="W493">
        <f t="shared" si="105"/>
        <v>17260.177960000005</v>
      </c>
      <c r="X493" s="10">
        <f t="shared" si="106"/>
        <v>0.39073489674946776</v>
      </c>
      <c r="Y493" t="str">
        <f t="shared" si="107"/>
        <v>High</v>
      </c>
      <c r="Z493" t="str">
        <f t="shared" si="108"/>
        <v>Not Met</v>
      </c>
      <c r="AA493" t="str">
        <f t="shared" si="109"/>
        <v>Low Discount</v>
      </c>
      <c r="AB493" s="10">
        <f>MIN(R493,ControlPanel!$B$5)</f>
        <v>9.1999999999999998E-2</v>
      </c>
      <c r="AC493">
        <f>P493*(1+ControlPanel!$B$6)</f>
        <v>1228.6575000000003</v>
      </c>
      <c r="AD493">
        <f>T493*(1+ControlPanel!$B$7)</f>
        <v>25.3</v>
      </c>
      <c r="AE493" s="6">
        <f t="shared" si="110"/>
        <v>48590.990756000007</v>
      </c>
      <c r="AF493">
        <f t="shared" si="111"/>
        <v>17505.956006</v>
      </c>
    </row>
    <row r="494" spans="1:32" x14ac:dyDescent="0.3">
      <c r="A494" t="s">
        <v>367</v>
      </c>
      <c r="B494" s="4">
        <v>45512</v>
      </c>
      <c r="C494" s="4" t="str">
        <f t="shared" si="100"/>
        <v>Aug-2024</v>
      </c>
      <c r="D494" t="str">
        <f t="shared" si="101"/>
        <v>Q3-2024</v>
      </c>
      <c r="E494" s="4">
        <v>45524</v>
      </c>
      <c r="F494" s="12">
        <f t="shared" si="98"/>
        <v>45524</v>
      </c>
      <c r="G494" s="13">
        <f t="shared" si="99"/>
        <v>12</v>
      </c>
      <c r="H494" t="s">
        <v>647</v>
      </c>
      <c r="I494" t="s">
        <v>652</v>
      </c>
      <c r="J494" t="s">
        <v>666</v>
      </c>
      <c r="K494" t="s">
        <v>705</v>
      </c>
      <c r="L494" t="s">
        <v>707</v>
      </c>
      <c r="M494" t="s">
        <v>722</v>
      </c>
      <c r="N494" t="s">
        <v>729</v>
      </c>
      <c r="O494" t="s">
        <v>1087</v>
      </c>
      <c r="P494" s="6">
        <v>1233.3599999999999</v>
      </c>
      <c r="Q494" s="6">
        <v>2120.4</v>
      </c>
      <c r="R494" s="10">
        <v>0.17899999999999999</v>
      </c>
      <c r="S494" s="10" t="b">
        <f t="shared" si="102"/>
        <v>0</v>
      </c>
      <c r="T494" s="8">
        <v>20</v>
      </c>
      <c r="U494">
        <f t="shared" si="103"/>
        <v>34816.968000000001</v>
      </c>
      <c r="V494">
        <f t="shared" si="104"/>
        <v>24667.199999999997</v>
      </c>
      <c r="W494">
        <f t="shared" si="105"/>
        <v>10149.768000000004</v>
      </c>
      <c r="X494" s="10">
        <f t="shared" si="106"/>
        <v>0.29151785991244278</v>
      </c>
      <c r="Y494" t="str">
        <f t="shared" si="107"/>
        <v>High</v>
      </c>
      <c r="Z494" t="str">
        <f t="shared" si="108"/>
        <v>Not Met</v>
      </c>
      <c r="AA494" t="str">
        <f t="shared" si="109"/>
        <v>Low Discount</v>
      </c>
      <c r="AB494" s="10">
        <f>MIN(R494,ControlPanel!$B$5)</f>
        <v>0.17899999999999999</v>
      </c>
      <c r="AC494">
        <f>P494*(1+ControlPanel!$B$6)</f>
        <v>1295.028</v>
      </c>
      <c r="AD494">
        <f>T494*(1+ControlPanel!$B$7)</f>
        <v>22</v>
      </c>
      <c r="AE494" s="6">
        <f t="shared" si="110"/>
        <v>38298.664799999999</v>
      </c>
      <c r="AF494">
        <f t="shared" si="111"/>
        <v>9808.0487999999968</v>
      </c>
    </row>
    <row r="495" spans="1:32" x14ac:dyDescent="0.3">
      <c r="A495" t="s">
        <v>466</v>
      </c>
      <c r="B495" s="4">
        <v>45413</v>
      </c>
      <c r="C495" s="4" t="str">
        <f t="shared" si="100"/>
        <v>May-2024</v>
      </c>
      <c r="D495" t="str">
        <f t="shared" si="101"/>
        <v>Q2-2024</v>
      </c>
      <c r="E495" s="4">
        <v>45428</v>
      </c>
      <c r="F495" s="12">
        <f t="shared" si="98"/>
        <v>45428</v>
      </c>
      <c r="G495" s="13">
        <f t="shared" si="99"/>
        <v>15</v>
      </c>
      <c r="H495" t="s">
        <v>647</v>
      </c>
      <c r="I495" t="s">
        <v>654</v>
      </c>
      <c r="J495" t="s">
        <v>668</v>
      </c>
      <c r="K495" t="s">
        <v>705</v>
      </c>
      <c r="L495" t="s">
        <v>707</v>
      </c>
      <c r="M495" t="s">
        <v>716</v>
      </c>
      <c r="N495" t="s">
        <v>727</v>
      </c>
      <c r="O495" t="s">
        <v>1185</v>
      </c>
      <c r="P495" s="6">
        <v>901.19</v>
      </c>
      <c r="Q495" s="6">
        <v>2125.44</v>
      </c>
      <c r="R495" s="10">
        <v>7.0999999999999994E-2</v>
      </c>
      <c r="S495" s="10" t="b">
        <f t="shared" si="102"/>
        <v>0</v>
      </c>
      <c r="T495" s="8">
        <v>12</v>
      </c>
      <c r="U495">
        <f t="shared" si="103"/>
        <v>23694.405120000003</v>
      </c>
      <c r="V495">
        <f t="shared" si="104"/>
        <v>10814.28</v>
      </c>
      <c r="W495">
        <f t="shared" si="105"/>
        <v>12880.125120000002</v>
      </c>
      <c r="X495" s="10">
        <f t="shared" si="106"/>
        <v>0.54359352154100427</v>
      </c>
      <c r="Y495" t="str">
        <f t="shared" si="107"/>
        <v>High</v>
      </c>
      <c r="Z495" t="str">
        <f t="shared" si="108"/>
        <v>Not Met</v>
      </c>
      <c r="AA495" t="str">
        <f t="shared" si="109"/>
        <v>Low Discount</v>
      </c>
      <c r="AB495" s="10">
        <f>MIN(R495,ControlPanel!$B$5)</f>
        <v>7.0999999999999994E-2</v>
      </c>
      <c r="AC495">
        <f>P495*(1+ControlPanel!$B$6)</f>
        <v>946.24950000000013</v>
      </c>
      <c r="AD495">
        <f>T495*(1+ControlPanel!$B$7)</f>
        <v>13.200000000000001</v>
      </c>
      <c r="AE495" s="6">
        <f t="shared" si="110"/>
        <v>26063.845632000004</v>
      </c>
      <c r="AF495">
        <f t="shared" si="111"/>
        <v>13573.352232000001</v>
      </c>
    </row>
    <row r="496" spans="1:32" x14ac:dyDescent="0.3">
      <c r="A496" t="s">
        <v>464</v>
      </c>
      <c r="B496" s="4">
        <v>45129</v>
      </c>
      <c r="C496" s="4" t="str">
        <f t="shared" si="100"/>
        <v>Jul-2023</v>
      </c>
      <c r="D496" t="str">
        <f t="shared" si="101"/>
        <v>Q3-2023</v>
      </c>
      <c r="E496" s="4">
        <v>45128</v>
      </c>
      <c r="F496" s="12">
        <f t="shared" si="98"/>
        <v>45143</v>
      </c>
      <c r="G496" s="13">
        <f t="shared" si="99"/>
        <v>14</v>
      </c>
      <c r="H496" t="s">
        <v>647</v>
      </c>
      <c r="I496" t="s">
        <v>654</v>
      </c>
      <c r="J496" t="s">
        <v>680</v>
      </c>
      <c r="K496" t="s">
        <v>705</v>
      </c>
      <c r="L496" t="s">
        <v>710</v>
      </c>
      <c r="M496" t="s">
        <v>718</v>
      </c>
      <c r="N496" t="s">
        <v>728</v>
      </c>
      <c r="O496" t="s">
        <v>1183</v>
      </c>
      <c r="P496" s="6">
        <v>946.99</v>
      </c>
      <c r="Q496" s="6">
        <v>2132.19</v>
      </c>
      <c r="R496" s="10">
        <v>0.16500000000000001</v>
      </c>
      <c r="S496" s="10" t="b">
        <f t="shared" si="102"/>
        <v>0</v>
      </c>
      <c r="T496" s="8">
        <v>7</v>
      </c>
      <c r="U496">
        <f t="shared" si="103"/>
        <v>12462.650549999998</v>
      </c>
      <c r="V496">
        <f t="shared" si="104"/>
        <v>6628.93</v>
      </c>
      <c r="W496">
        <f t="shared" si="105"/>
        <v>5833.7205499999982</v>
      </c>
      <c r="X496" s="10">
        <f t="shared" si="106"/>
        <v>0.46809629513362216</v>
      </c>
      <c r="Y496" t="str">
        <f t="shared" si="107"/>
        <v>High</v>
      </c>
      <c r="Z496" t="str">
        <f t="shared" si="108"/>
        <v>Not Met</v>
      </c>
      <c r="AA496" t="str">
        <f t="shared" si="109"/>
        <v>Low Discount</v>
      </c>
      <c r="AB496" s="10">
        <f>MIN(R496,ControlPanel!$B$5)</f>
        <v>0.16500000000000001</v>
      </c>
      <c r="AC496">
        <f>P496*(1+ControlPanel!$B$6)</f>
        <v>994.33950000000004</v>
      </c>
      <c r="AD496">
        <f>T496*(1+ControlPanel!$B$7)</f>
        <v>7.7000000000000011</v>
      </c>
      <c r="AE496" s="6">
        <f t="shared" si="110"/>
        <v>13708.915605</v>
      </c>
      <c r="AF496">
        <f t="shared" si="111"/>
        <v>6052.5014549999987</v>
      </c>
    </row>
    <row r="497" spans="1:32" x14ac:dyDescent="0.3">
      <c r="A497" t="s">
        <v>406</v>
      </c>
      <c r="B497" s="4">
        <v>45208</v>
      </c>
      <c r="C497" s="4" t="str">
        <f t="shared" si="100"/>
        <v>Oct-2023</v>
      </c>
      <c r="D497" t="str">
        <f t="shared" si="101"/>
        <v>Q4-2023</v>
      </c>
      <c r="E497" s="4">
        <v>45225</v>
      </c>
      <c r="F497" s="12">
        <f t="shared" si="98"/>
        <v>45225</v>
      </c>
      <c r="G497" s="13">
        <f t="shared" si="99"/>
        <v>17</v>
      </c>
      <c r="H497" t="s">
        <v>647</v>
      </c>
      <c r="I497" t="s">
        <v>659</v>
      </c>
      <c r="J497" t="s">
        <v>685</v>
      </c>
      <c r="K497" t="s">
        <v>704</v>
      </c>
      <c r="L497" t="s">
        <v>709</v>
      </c>
      <c r="M497" t="s">
        <v>712</v>
      </c>
      <c r="N497" t="s">
        <v>727</v>
      </c>
      <c r="O497" t="s">
        <v>1125</v>
      </c>
      <c r="P497" s="6">
        <v>1132.03</v>
      </c>
      <c r="Q497" s="6">
        <v>2137.21</v>
      </c>
      <c r="R497" s="10">
        <v>0</v>
      </c>
      <c r="S497" s="10" t="b">
        <f t="shared" si="102"/>
        <v>0</v>
      </c>
      <c r="T497" s="8">
        <v>35</v>
      </c>
      <c r="U497">
        <f t="shared" si="103"/>
        <v>74802.350000000006</v>
      </c>
      <c r="V497">
        <f t="shared" si="104"/>
        <v>39621.049999999996</v>
      </c>
      <c r="W497">
        <f t="shared" si="105"/>
        <v>35181.30000000001</v>
      </c>
      <c r="X497" s="10">
        <f t="shared" si="106"/>
        <v>0.47032345908918649</v>
      </c>
      <c r="Y497" t="str">
        <f t="shared" si="107"/>
        <v>High</v>
      </c>
      <c r="Z497" t="str">
        <f t="shared" si="108"/>
        <v>Not Met</v>
      </c>
      <c r="AA497" t="str">
        <f t="shared" si="109"/>
        <v>Low Discount</v>
      </c>
      <c r="AB497" s="10">
        <f>MIN(R497,ControlPanel!$B$5)</f>
        <v>0</v>
      </c>
      <c r="AC497">
        <f>P497*(1+ControlPanel!$B$6)</f>
        <v>1188.6315</v>
      </c>
      <c r="AD497">
        <f>T497*(1+ControlPanel!$B$7)</f>
        <v>38.5</v>
      </c>
      <c r="AE497" s="6">
        <f t="shared" si="110"/>
        <v>82282.585000000006</v>
      </c>
      <c r="AF497">
        <f t="shared" si="111"/>
        <v>36520.272250000009</v>
      </c>
    </row>
    <row r="498" spans="1:32" x14ac:dyDescent="0.3">
      <c r="A498" t="s">
        <v>168</v>
      </c>
      <c r="B498" s="4">
        <v>45340</v>
      </c>
      <c r="C498" s="4" t="str">
        <f t="shared" si="100"/>
        <v>Feb-2024</v>
      </c>
      <c r="D498" t="str">
        <f t="shared" si="101"/>
        <v>Q1-2024</v>
      </c>
      <c r="E498" s="4">
        <v>45355</v>
      </c>
      <c r="F498" s="12">
        <f t="shared" si="98"/>
        <v>45355</v>
      </c>
      <c r="G498" s="13">
        <f t="shared" si="99"/>
        <v>15</v>
      </c>
      <c r="H498" t="s">
        <v>646</v>
      </c>
      <c r="I498" t="s">
        <v>650</v>
      </c>
      <c r="J498" t="s">
        <v>662</v>
      </c>
      <c r="K498" t="s">
        <v>702</v>
      </c>
      <c r="L498" t="s">
        <v>711</v>
      </c>
      <c r="M498" t="s">
        <v>723</v>
      </c>
      <c r="N498" t="s">
        <v>728</v>
      </c>
      <c r="O498" t="s">
        <v>887</v>
      </c>
      <c r="P498" s="6">
        <v>928.68</v>
      </c>
      <c r="Q498" s="6">
        <v>2145.17</v>
      </c>
      <c r="R498" s="10">
        <v>0.13600000000000001</v>
      </c>
      <c r="S498" s="10" t="b">
        <f t="shared" si="102"/>
        <v>0</v>
      </c>
      <c r="T498" s="8">
        <v>16</v>
      </c>
      <c r="U498">
        <f t="shared" si="103"/>
        <v>29654.83008</v>
      </c>
      <c r="V498">
        <f t="shared" si="104"/>
        <v>14858.88</v>
      </c>
      <c r="W498">
        <f t="shared" si="105"/>
        <v>14795.950080000001</v>
      </c>
      <c r="X498" s="10">
        <f t="shared" si="106"/>
        <v>0.49893896003062177</v>
      </c>
      <c r="Y498" t="str">
        <f t="shared" si="107"/>
        <v>High</v>
      </c>
      <c r="Z498" t="str">
        <f t="shared" si="108"/>
        <v>Not Met</v>
      </c>
      <c r="AA498" t="str">
        <f t="shared" si="109"/>
        <v>Low Discount</v>
      </c>
      <c r="AB498" s="10">
        <f>MIN(R498,ControlPanel!$B$5)</f>
        <v>0.13600000000000001</v>
      </c>
      <c r="AC498">
        <f>P498*(1+ControlPanel!$B$6)</f>
        <v>975.11400000000003</v>
      </c>
      <c r="AD498">
        <f>T498*(1+ControlPanel!$B$7)</f>
        <v>17.600000000000001</v>
      </c>
      <c r="AE498" s="6">
        <f t="shared" si="110"/>
        <v>32620.313088000003</v>
      </c>
      <c r="AF498">
        <f t="shared" si="111"/>
        <v>15458.306688000001</v>
      </c>
    </row>
    <row r="499" spans="1:32" x14ac:dyDescent="0.3">
      <c r="A499" t="s">
        <v>34</v>
      </c>
      <c r="B499" s="4">
        <v>45798</v>
      </c>
      <c r="C499" s="4" t="str">
        <f t="shared" si="100"/>
        <v>May-2025</v>
      </c>
      <c r="D499" t="str">
        <f t="shared" si="101"/>
        <v>Q2-2025</v>
      </c>
      <c r="E499" s="4">
        <v>45796</v>
      </c>
      <c r="F499" s="12">
        <f t="shared" si="98"/>
        <v>45812</v>
      </c>
      <c r="G499" s="13">
        <f t="shared" si="99"/>
        <v>14</v>
      </c>
      <c r="H499" t="s">
        <v>649</v>
      </c>
      <c r="I499" t="s">
        <v>658</v>
      </c>
      <c r="J499" t="s">
        <v>674</v>
      </c>
      <c r="K499" t="s">
        <v>706</v>
      </c>
      <c r="L499" t="s">
        <v>708</v>
      </c>
      <c r="M499" t="s">
        <v>724</v>
      </c>
      <c r="N499" t="s">
        <v>731</v>
      </c>
      <c r="O499" t="s">
        <v>753</v>
      </c>
      <c r="P499" s="6">
        <v>1015.16</v>
      </c>
      <c r="Q499" s="6">
        <v>2148.14</v>
      </c>
      <c r="R499" s="10">
        <v>3.7999999999999999E-2</v>
      </c>
      <c r="S499" s="10" t="b">
        <f t="shared" si="102"/>
        <v>0</v>
      </c>
      <c r="T499" s="8">
        <v>19</v>
      </c>
      <c r="U499">
        <f t="shared" si="103"/>
        <v>39263.702919999996</v>
      </c>
      <c r="V499">
        <f t="shared" si="104"/>
        <v>19288.04</v>
      </c>
      <c r="W499">
        <f t="shared" si="105"/>
        <v>19975.662919999995</v>
      </c>
      <c r="X499" s="10">
        <f t="shared" si="106"/>
        <v>0.50875647059322227</v>
      </c>
      <c r="Y499" t="str">
        <f t="shared" si="107"/>
        <v>High</v>
      </c>
      <c r="Z499" t="str">
        <f t="shared" si="108"/>
        <v>Not Met</v>
      </c>
      <c r="AA499" t="str">
        <f t="shared" si="109"/>
        <v>Low Discount</v>
      </c>
      <c r="AB499" s="10">
        <f>MIN(R499,ControlPanel!$B$5)</f>
        <v>3.7999999999999999E-2</v>
      </c>
      <c r="AC499">
        <f>P499*(1+ControlPanel!$B$6)</f>
        <v>1065.9180000000001</v>
      </c>
      <c r="AD499">
        <f>T499*(1+ControlPanel!$B$7)</f>
        <v>20.900000000000002</v>
      </c>
      <c r="AE499" s="6">
        <f t="shared" si="110"/>
        <v>43190.073212000003</v>
      </c>
      <c r="AF499">
        <f t="shared" si="111"/>
        <v>20912.387011999999</v>
      </c>
    </row>
    <row r="500" spans="1:32" x14ac:dyDescent="0.3">
      <c r="A500" t="s">
        <v>294</v>
      </c>
      <c r="B500" s="4">
        <v>45092</v>
      </c>
      <c r="C500" s="4" t="str">
        <f t="shared" si="100"/>
        <v>Jun-2023</v>
      </c>
      <c r="D500" t="str">
        <f t="shared" si="101"/>
        <v>Q2-2023</v>
      </c>
      <c r="E500" s="4">
        <v>45100</v>
      </c>
      <c r="F500" s="12">
        <f t="shared" si="98"/>
        <v>45100</v>
      </c>
      <c r="G500" s="13">
        <f t="shared" si="99"/>
        <v>8</v>
      </c>
      <c r="H500" t="s">
        <v>648</v>
      </c>
      <c r="I500" t="s">
        <v>660</v>
      </c>
      <c r="J500" t="s">
        <v>686</v>
      </c>
      <c r="K500" t="s">
        <v>704</v>
      </c>
      <c r="L500" t="s">
        <v>710</v>
      </c>
      <c r="M500" t="s">
        <v>719</v>
      </c>
      <c r="N500" t="s">
        <v>732</v>
      </c>
      <c r="O500" t="s">
        <v>1014</v>
      </c>
      <c r="P500" s="6">
        <v>1097.0899999999999</v>
      </c>
      <c r="Q500" s="6">
        <v>2182.31</v>
      </c>
      <c r="R500" s="10">
        <v>0.112</v>
      </c>
      <c r="S500" s="10" t="b">
        <f t="shared" si="102"/>
        <v>0</v>
      </c>
      <c r="T500" s="8">
        <v>9</v>
      </c>
      <c r="U500">
        <f t="shared" si="103"/>
        <v>17441.021520000002</v>
      </c>
      <c r="V500">
        <f t="shared" si="104"/>
        <v>9873.81</v>
      </c>
      <c r="W500">
        <f t="shared" si="105"/>
        <v>7567.2115200000026</v>
      </c>
      <c r="X500" s="10">
        <f t="shared" si="106"/>
        <v>0.43387432962699546</v>
      </c>
      <c r="Y500" t="str">
        <f t="shared" si="107"/>
        <v>High</v>
      </c>
      <c r="Z500" t="str">
        <f t="shared" si="108"/>
        <v>Not Met</v>
      </c>
      <c r="AA500" t="str">
        <f t="shared" si="109"/>
        <v>Low Discount</v>
      </c>
      <c r="AB500" s="10">
        <f>MIN(R500,ControlPanel!$B$5)</f>
        <v>0.112</v>
      </c>
      <c r="AC500">
        <f>P500*(1+ControlPanel!$B$6)</f>
        <v>1151.9445000000001</v>
      </c>
      <c r="AD500">
        <f>T500*(1+ControlPanel!$B$7)</f>
        <v>9.9</v>
      </c>
      <c r="AE500" s="6">
        <f t="shared" si="110"/>
        <v>19185.123672000002</v>
      </c>
      <c r="AF500">
        <f t="shared" si="111"/>
        <v>7780.8731220000009</v>
      </c>
    </row>
    <row r="501" spans="1:32" x14ac:dyDescent="0.3">
      <c r="A501" t="s">
        <v>482</v>
      </c>
      <c r="B501" s="4">
        <v>45809</v>
      </c>
      <c r="C501" s="4" t="str">
        <f t="shared" si="100"/>
        <v>Jun-2025</v>
      </c>
      <c r="D501" t="str">
        <f t="shared" si="101"/>
        <v>Q2-2025</v>
      </c>
      <c r="E501" s="4">
        <v>45813</v>
      </c>
      <c r="F501" s="12">
        <f t="shared" si="98"/>
        <v>45813</v>
      </c>
      <c r="G501" s="13">
        <f t="shared" si="99"/>
        <v>4</v>
      </c>
      <c r="H501" t="s">
        <v>649</v>
      </c>
      <c r="I501" t="s">
        <v>656</v>
      </c>
      <c r="J501" t="s">
        <v>684</v>
      </c>
      <c r="K501" t="s">
        <v>706</v>
      </c>
      <c r="L501" t="s">
        <v>711</v>
      </c>
      <c r="M501" t="s">
        <v>724</v>
      </c>
      <c r="N501" t="s">
        <v>727</v>
      </c>
      <c r="O501" t="s">
        <v>1201</v>
      </c>
      <c r="P501" s="6">
        <v>1171.42</v>
      </c>
      <c r="Q501" s="6">
        <v>2187.8000000000002</v>
      </c>
      <c r="R501" s="10">
        <v>0.23</v>
      </c>
      <c r="S501" s="10" t="b">
        <f t="shared" si="102"/>
        <v>0</v>
      </c>
      <c r="T501" s="8">
        <v>15</v>
      </c>
      <c r="U501">
        <f t="shared" si="103"/>
        <v>25269.090000000004</v>
      </c>
      <c r="V501">
        <f t="shared" si="104"/>
        <v>17571.300000000003</v>
      </c>
      <c r="W501">
        <f t="shared" si="105"/>
        <v>7697.7900000000009</v>
      </c>
      <c r="X501" s="10">
        <f t="shared" si="106"/>
        <v>0.30463265594447603</v>
      </c>
      <c r="Y501" t="str">
        <f t="shared" si="107"/>
        <v>High</v>
      </c>
      <c r="Z501" t="str">
        <f t="shared" si="108"/>
        <v>Met</v>
      </c>
      <c r="AA501" t="str">
        <f t="shared" si="109"/>
        <v>High Discount</v>
      </c>
      <c r="AB501" s="10">
        <f>MIN(R501,ControlPanel!$B$5)</f>
        <v>0.2</v>
      </c>
      <c r="AC501">
        <f>P501*(1+ControlPanel!$B$6)</f>
        <v>1229.9910000000002</v>
      </c>
      <c r="AD501">
        <f>T501*(1+ControlPanel!$B$7)</f>
        <v>16.5</v>
      </c>
      <c r="AE501" s="6">
        <f t="shared" si="110"/>
        <v>28878.960000000003</v>
      </c>
      <c r="AF501">
        <f t="shared" si="111"/>
        <v>8584.1084999999985</v>
      </c>
    </row>
    <row r="502" spans="1:32" x14ac:dyDescent="0.3">
      <c r="A502" t="s">
        <v>481</v>
      </c>
      <c r="B502" s="4">
        <v>45278</v>
      </c>
      <c r="C502" s="4" t="str">
        <f t="shared" si="100"/>
        <v>Dec-2023</v>
      </c>
      <c r="D502" t="str">
        <f t="shared" si="101"/>
        <v>Q4-2023</v>
      </c>
      <c r="E502" s="4">
        <v>45305</v>
      </c>
      <c r="F502" s="12">
        <f t="shared" si="98"/>
        <v>45305</v>
      </c>
      <c r="G502" s="13">
        <f t="shared" si="99"/>
        <v>27</v>
      </c>
      <c r="H502" t="s">
        <v>647</v>
      </c>
      <c r="I502" t="s">
        <v>654</v>
      </c>
      <c r="J502" t="s">
        <v>691</v>
      </c>
      <c r="K502" t="s">
        <v>704</v>
      </c>
      <c r="L502" t="s">
        <v>710</v>
      </c>
      <c r="M502" t="s">
        <v>726</v>
      </c>
      <c r="N502" t="s">
        <v>729</v>
      </c>
      <c r="O502" t="s">
        <v>1200</v>
      </c>
      <c r="P502" s="6">
        <v>1408.3</v>
      </c>
      <c r="Q502" s="6">
        <v>2193.13</v>
      </c>
      <c r="R502" s="10">
        <v>7.0999999999999994E-2</v>
      </c>
      <c r="S502" s="10" t="b">
        <f t="shared" si="102"/>
        <v>0</v>
      </c>
      <c r="T502" s="8">
        <v>7</v>
      </c>
      <c r="U502">
        <f t="shared" si="103"/>
        <v>14261.924390000002</v>
      </c>
      <c r="V502">
        <f t="shared" si="104"/>
        <v>9858.1</v>
      </c>
      <c r="W502">
        <f t="shared" si="105"/>
        <v>4403.8243900000016</v>
      </c>
      <c r="X502" s="10">
        <f t="shared" si="106"/>
        <v>0.30878191957656292</v>
      </c>
      <c r="Y502" t="str">
        <f t="shared" si="107"/>
        <v>High</v>
      </c>
      <c r="Z502" t="str">
        <f t="shared" si="108"/>
        <v>Not Met</v>
      </c>
      <c r="AA502" t="str">
        <f t="shared" si="109"/>
        <v>Low Discount</v>
      </c>
      <c r="AB502" s="10">
        <f>MIN(R502,ControlPanel!$B$5)</f>
        <v>7.0999999999999994E-2</v>
      </c>
      <c r="AC502">
        <f>P502*(1+ControlPanel!$B$6)</f>
        <v>1478.7149999999999</v>
      </c>
      <c r="AD502">
        <f>T502*(1+ControlPanel!$B$7)</f>
        <v>7.7000000000000011</v>
      </c>
      <c r="AE502" s="6">
        <f t="shared" si="110"/>
        <v>15688.116829000004</v>
      </c>
      <c r="AF502">
        <f t="shared" si="111"/>
        <v>4302.0113290000027</v>
      </c>
    </row>
    <row r="503" spans="1:32" x14ac:dyDescent="0.3">
      <c r="A503" t="s">
        <v>390</v>
      </c>
      <c r="B503" s="4">
        <v>45835</v>
      </c>
      <c r="C503" s="4" t="str">
        <f t="shared" si="100"/>
        <v>Jun-2025</v>
      </c>
      <c r="D503" t="str">
        <f t="shared" si="101"/>
        <v>Q2-2025</v>
      </c>
      <c r="E503" s="4">
        <v>45849</v>
      </c>
      <c r="F503" s="12">
        <f t="shared" si="98"/>
        <v>45849</v>
      </c>
      <c r="G503" s="13">
        <f t="shared" si="99"/>
        <v>14</v>
      </c>
      <c r="H503" t="s">
        <v>647</v>
      </c>
      <c r="I503" t="s">
        <v>659</v>
      </c>
      <c r="J503" t="s">
        <v>685</v>
      </c>
      <c r="K503" t="s">
        <v>705</v>
      </c>
      <c r="L503" t="s">
        <v>709</v>
      </c>
      <c r="M503" t="s">
        <v>716</v>
      </c>
      <c r="N503" t="s">
        <v>729</v>
      </c>
      <c r="O503" t="s">
        <v>1110</v>
      </c>
      <c r="P503" s="6">
        <v>1227.7</v>
      </c>
      <c r="Q503" s="6">
        <v>2197.23</v>
      </c>
      <c r="R503" s="10">
        <v>9.9000000000000005E-2</v>
      </c>
      <c r="S503" s="10" t="b">
        <f t="shared" si="102"/>
        <v>0</v>
      </c>
      <c r="T503" s="8">
        <v>22</v>
      </c>
      <c r="U503">
        <f t="shared" si="103"/>
        <v>43553.493060000001</v>
      </c>
      <c r="V503">
        <f t="shared" si="104"/>
        <v>27009.4</v>
      </c>
      <c r="W503">
        <f t="shared" si="105"/>
        <v>16544.093059999999</v>
      </c>
      <c r="X503" s="10">
        <f t="shared" si="106"/>
        <v>0.37985685871873898</v>
      </c>
      <c r="Y503" t="str">
        <f t="shared" si="107"/>
        <v>High</v>
      </c>
      <c r="Z503" t="str">
        <f t="shared" si="108"/>
        <v>Not Met</v>
      </c>
      <c r="AA503" t="str">
        <f t="shared" si="109"/>
        <v>Low Discount</v>
      </c>
      <c r="AB503" s="10">
        <f>MIN(R503,ControlPanel!$B$5)</f>
        <v>9.9000000000000005E-2</v>
      </c>
      <c r="AC503">
        <f>P503*(1+ControlPanel!$B$6)</f>
        <v>1289.085</v>
      </c>
      <c r="AD503">
        <f>T503*(1+ControlPanel!$B$7)</f>
        <v>24.200000000000003</v>
      </c>
      <c r="AE503" s="6">
        <f t="shared" si="110"/>
        <v>47908.842366000004</v>
      </c>
      <c r="AF503">
        <f t="shared" si="111"/>
        <v>16712.985366000001</v>
      </c>
    </row>
    <row r="504" spans="1:32" x14ac:dyDescent="0.3">
      <c r="A504" t="s">
        <v>603</v>
      </c>
      <c r="B504" s="4">
        <v>45703</v>
      </c>
      <c r="C504" s="4" t="str">
        <f t="shared" si="100"/>
        <v>Feb-2025</v>
      </c>
      <c r="D504" t="str">
        <f t="shared" si="101"/>
        <v>Q1-2025</v>
      </c>
      <c r="E504" s="4">
        <v>45715</v>
      </c>
      <c r="F504" s="12">
        <f t="shared" si="98"/>
        <v>45715</v>
      </c>
      <c r="G504" s="13">
        <f t="shared" si="99"/>
        <v>12</v>
      </c>
      <c r="H504" t="s">
        <v>649</v>
      </c>
      <c r="I504" t="s">
        <v>657</v>
      </c>
      <c r="J504" t="s">
        <v>679</v>
      </c>
      <c r="K504" t="s">
        <v>703</v>
      </c>
      <c r="L504" t="s">
        <v>711</v>
      </c>
      <c r="M504" t="s">
        <v>723</v>
      </c>
      <c r="N504" t="s">
        <v>733</v>
      </c>
      <c r="O504" t="s">
        <v>1321</v>
      </c>
      <c r="P504" s="6">
        <v>1027.26</v>
      </c>
      <c r="Q504" s="6">
        <v>2200.41</v>
      </c>
      <c r="R504" s="10">
        <v>8.7999999999999995E-2</v>
      </c>
      <c r="S504" s="10" t="b">
        <f t="shared" si="102"/>
        <v>0</v>
      </c>
      <c r="T504" s="8">
        <v>6</v>
      </c>
      <c r="U504">
        <f t="shared" si="103"/>
        <v>12040.64352</v>
      </c>
      <c r="V504">
        <f t="shared" si="104"/>
        <v>6163.5599999999995</v>
      </c>
      <c r="W504">
        <f t="shared" si="105"/>
        <v>5877.0835200000001</v>
      </c>
      <c r="X504" s="10">
        <f t="shared" si="106"/>
        <v>0.48810377204822358</v>
      </c>
      <c r="Y504" t="str">
        <f t="shared" si="107"/>
        <v>High</v>
      </c>
      <c r="Z504" t="str">
        <f t="shared" si="108"/>
        <v>Not Met</v>
      </c>
      <c r="AA504" t="str">
        <f t="shared" si="109"/>
        <v>Low Discount</v>
      </c>
      <c r="AB504" s="10">
        <f>MIN(R504,ControlPanel!$B$5)</f>
        <v>8.7999999999999995E-2</v>
      </c>
      <c r="AC504">
        <f>P504*(1+ControlPanel!$B$6)</f>
        <v>1078.623</v>
      </c>
      <c r="AD504">
        <f>T504*(1+ControlPanel!$B$7)</f>
        <v>6.6000000000000005</v>
      </c>
      <c r="AE504" s="6">
        <f t="shared" si="110"/>
        <v>13244.707872000001</v>
      </c>
      <c r="AF504">
        <f t="shared" si="111"/>
        <v>6125.7960720000001</v>
      </c>
    </row>
    <row r="505" spans="1:32" x14ac:dyDescent="0.3">
      <c r="A505" t="s">
        <v>371</v>
      </c>
      <c r="B505" s="4">
        <v>45385</v>
      </c>
      <c r="C505" s="4" t="str">
        <f t="shared" si="100"/>
        <v>Apr-2024</v>
      </c>
      <c r="D505" t="str">
        <f t="shared" si="101"/>
        <v>Q2-2024</v>
      </c>
      <c r="E505" s="4">
        <v>45403</v>
      </c>
      <c r="F505" s="12">
        <f t="shared" si="98"/>
        <v>45403</v>
      </c>
      <c r="G505" s="13">
        <f t="shared" si="99"/>
        <v>18</v>
      </c>
      <c r="H505" t="s">
        <v>648</v>
      </c>
      <c r="I505" t="s">
        <v>655</v>
      </c>
      <c r="J505" t="s">
        <v>672</v>
      </c>
      <c r="K505" t="s">
        <v>705</v>
      </c>
      <c r="L505" t="s">
        <v>710</v>
      </c>
      <c r="M505" t="s">
        <v>717</v>
      </c>
      <c r="N505" t="s">
        <v>729</v>
      </c>
      <c r="O505" t="s">
        <v>1091</v>
      </c>
      <c r="P505" s="6">
        <v>1176.69</v>
      </c>
      <c r="Q505" s="6">
        <v>2201.54</v>
      </c>
      <c r="R505" s="10">
        <v>0.17</v>
      </c>
      <c r="S505" s="10" t="b">
        <f t="shared" si="102"/>
        <v>0</v>
      </c>
      <c r="T505" s="8">
        <v>27</v>
      </c>
      <c r="U505">
        <f t="shared" si="103"/>
        <v>49336.511399999996</v>
      </c>
      <c r="V505">
        <f t="shared" si="104"/>
        <v>31770.63</v>
      </c>
      <c r="W505">
        <f t="shared" si="105"/>
        <v>17565.881399999995</v>
      </c>
      <c r="X505" s="10">
        <f t="shared" si="106"/>
        <v>0.35604222717701106</v>
      </c>
      <c r="Y505" t="str">
        <f t="shared" si="107"/>
        <v>High</v>
      </c>
      <c r="Z505" t="str">
        <f t="shared" si="108"/>
        <v>Not Met</v>
      </c>
      <c r="AA505" t="str">
        <f t="shared" si="109"/>
        <v>Low Discount</v>
      </c>
      <c r="AB505" s="10">
        <f>MIN(R505,ControlPanel!$B$5)</f>
        <v>0.17</v>
      </c>
      <c r="AC505">
        <f>P505*(1+ControlPanel!$B$6)</f>
        <v>1235.5245000000002</v>
      </c>
      <c r="AD505">
        <f>T505*(1+ControlPanel!$B$7)</f>
        <v>29.700000000000003</v>
      </c>
      <c r="AE505" s="6">
        <f t="shared" si="110"/>
        <v>54270.162540000005</v>
      </c>
      <c r="AF505">
        <f t="shared" si="111"/>
        <v>17575.084889999998</v>
      </c>
    </row>
    <row r="506" spans="1:32" x14ac:dyDescent="0.3">
      <c r="A506" t="s">
        <v>196</v>
      </c>
      <c r="B506" s="4">
        <v>45568</v>
      </c>
      <c r="C506" s="4" t="str">
        <f t="shared" si="100"/>
        <v>Oct-2024</v>
      </c>
      <c r="D506" t="str">
        <f t="shared" si="101"/>
        <v>Q4-2024</v>
      </c>
      <c r="E506" s="4">
        <v>45576</v>
      </c>
      <c r="F506" s="12">
        <f t="shared" si="98"/>
        <v>45576</v>
      </c>
      <c r="G506" s="13">
        <f t="shared" si="99"/>
        <v>8</v>
      </c>
      <c r="H506" t="s">
        <v>647</v>
      </c>
      <c r="I506" t="s">
        <v>659</v>
      </c>
      <c r="J506" t="s">
        <v>699</v>
      </c>
      <c r="K506" t="s">
        <v>706</v>
      </c>
      <c r="L506" t="s">
        <v>711</v>
      </c>
      <c r="M506" t="s">
        <v>717</v>
      </c>
      <c r="N506" t="s">
        <v>730</v>
      </c>
      <c r="O506" t="s">
        <v>915</v>
      </c>
      <c r="P506" s="6">
        <v>1132.6099999999999</v>
      </c>
      <c r="Q506" s="6">
        <v>2206.63</v>
      </c>
      <c r="R506" s="10">
        <v>6.3E-2</v>
      </c>
      <c r="S506" s="10" t="b">
        <f t="shared" si="102"/>
        <v>0</v>
      </c>
      <c r="T506" s="8">
        <v>20</v>
      </c>
      <c r="U506">
        <f t="shared" si="103"/>
        <v>41352.246200000009</v>
      </c>
      <c r="V506">
        <f t="shared" si="104"/>
        <v>22652.199999999997</v>
      </c>
      <c r="W506">
        <f t="shared" si="105"/>
        <v>18700.046200000012</v>
      </c>
      <c r="X506" s="10">
        <f t="shared" si="106"/>
        <v>0.45221355351671338</v>
      </c>
      <c r="Y506" t="str">
        <f t="shared" si="107"/>
        <v>High</v>
      </c>
      <c r="Z506" t="str">
        <f t="shared" si="108"/>
        <v>Not Met</v>
      </c>
      <c r="AA506" t="str">
        <f t="shared" si="109"/>
        <v>Low Discount</v>
      </c>
      <c r="AB506" s="10">
        <f>MIN(R506,ControlPanel!$B$5)</f>
        <v>6.3E-2</v>
      </c>
      <c r="AC506">
        <f>P506*(1+ControlPanel!$B$6)</f>
        <v>1189.2404999999999</v>
      </c>
      <c r="AD506">
        <f>T506*(1+ControlPanel!$B$7)</f>
        <v>22</v>
      </c>
      <c r="AE506" s="6">
        <f t="shared" si="110"/>
        <v>45487.47082000001</v>
      </c>
      <c r="AF506">
        <f t="shared" si="111"/>
        <v>19324.179820000012</v>
      </c>
    </row>
    <row r="507" spans="1:32" x14ac:dyDescent="0.3">
      <c r="A507" t="s">
        <v>556</v>
      </c>
      <c r="B507" s="4">
        <v>45450</v>
      </c>
      <c r="C507" s="4" t="str">
        <f t="shared" si="100"/>
        <v>Jun-2024</v>
      </c>
      <c r="D507" t="str">
        <f t="shared" si="101"/>
        <v>Q2-2024</v>
      </c>
      <c r="E507" s="4">
        <v>45452</v>
      </c>
      <c r="F507" s="12">
        <f t="shared" si="98"/>
        <v>45452</v>
      </c>
      <c r="G507" s="13">
        <f t="shared" si="99"/>
        <v>2</v>
      </c>
      <c r="H507" t="s">
        <v>647</v>
      </c>
      <c r="I507" t="s">
        <v>659</v>
      </c>
      <c r="J507" t="s">
        <v>685</v>
      </c>
      <c r="K507" t="s">
        <v>701</v>
      </c>
      <c r="L507" t="s">
        <v>707</v>
      </c>
      <c r="M507" t="s">
        <v>719</v>
      </c>
      <c r="N507" t="s">
        <v>732</v>
      </c>
      <c r="O507" t="s">
        <v>1274</v>
      </c>
      <c r="P507" s="6">
        <v>1370.28</v>
      </c>
      <c r="Q507" s="6">
        <v>2209.66</v>
      </c>
      <c r="R507" s="10">
        <v>0.13300000000000001</v>
      </c>
      <c r="S507" s="10" t="b">
        <f t="shared" si="102"/>
        <v>0</v>
      </c>
      <c r="T507" s="8">
        <v>16</v>
      </c>
      <c r="U507">
        <f t="shared" si="103"/>
        <v>30652.403519999996</v>
      </c>
      <c r="V507">
        <f t="shared" si="104"/>
        <v>21924.48</v>
      </c>
      <c r="W507">
        <f t="shared" si="105"/>
        <v>8727.9235199999966</v>
      </c>
      <c r="X507" s="10">
        <f t="shared" si="106"/>
        <v>0.28473863442079589</v>
      </c>
      <c r="Y507" t="str">
        <f t="shared" si="107"/>
        <v>High</v>
      </c>
      <c r="Z507" t="str">
        <f t="shared" si="108"/>
        <v>Met</v>
      </c>
      <c r="AA507" t="str">
        <f t="shared" si="109"/>
        <v>Low Discount</v>
      </c>
      <c r="AB507" s="10">
        <f>MIN(R507,ControlPanel!$B$5)</f>
        <v>0.13300000000000001</v>
      </c>
      <c r="AC507">
        <f>P507*(1+ControlPanel!$B$6)</f>
        <v>1438.7940000000001</v>
      </c>
      <c r="AD507">
        <f>T507*(1+ControlPanel!$B$7)</f>
        <v>17.600000000000001</v>
      </c>
      <c r="AE507" s="6">
        <f t="shared" si="110"/>
        <v>33717.643872000001</v>
      </c>
      <c r="AF507">
        <f t="shared" si="111"/>
        <v>8394.8694719999985</v>
      </c>
    </row>
    <row r="508" spans="1:32" x14ac:dyDescent="0.3">
      <c r="A508" t="s">
        <v>462</v>
      </c>
      <c r="B508" s="4">
        <v>45446</v>
      </c>
      <c r="C508" s="4" t="str">
        <f t="shared" si="100"/>
        <v>Jun-2024</v>
      </c>
      <c r="D508" t="str">
        <f t="shared" si="101"/>
        <v>Q2-2024</v>
      </c>
      <c r="E508" s="4">
        <v>45467</v>
      </c>
      <c r="F508" s="12">
        <f t="shared" si="98"/>
        <v>45467</v>
      </c>
      <c r="G508" s="13">
        <f t="shared" si="99"/>
        <v>21</v>
      </c>
      <c r="H508" t="s">
        <v>648</v>
      </c>
      <c r="I508" t="s">
        <v>653</v>
      </c>
      <c r="J508" t="s">
        <v>667</v>
      </c>
      <c r="K508" t="s">
        <v>705</v>
      </c>
      <c r="L508" t="s">
        <v>711</v>
      </c>
      <c r="M508" t="s">
        <v>715</v>
      </c>
      <c r="N508" t="s">
        <v>732</v>
      </c>
      <c r="O508" t="s">
        <v>1181</v>
      </c>
      <c r="P508" s="6">
        <v>1205.5</v>
      </c>
      <c r="Q508" s="6">
        <v>2210.17</v>
      </c>
      <c r="R508" s="10">
        <v>0.104</v>
      </c>
      <c r="S508" s="10" t="b">
        <f t="shared" si="102"/>
        <v>0</v>
      </c>
      <c r="T508" s="8">
        <v>23</v>
      </c>
      <c r="U508">
        <f t="shared" si="103"/>
        <v>45547.183360000003</v>
      </c>
      <c r="V508">
        <f t="shared" si="104"/>
        <v>27726.5</v>
      </c>
      <c r="W508">
        <f t="shared" si="105"/>
        <v>17820.683360000003</v>
      </c>
      <c r="X508" s="10">
        <f t="shared" si="106"/>
        <v>0.39125763758314652</v>
      </c>
      <c r="Y508" t="str">
        <f t="shared" si="107"/>
        <v>High</v>
      </c>
      <c r="Z508" t="str">
        <f t="shared" si="108"/>
        <v>Not Met</v>
      </c>
      <c r="AA508" t="str">
        <f t="shared" si="109"/>
        <v>Low Discount</v>
      </c>
      <c r="AB508" s="10">
        <f>MIN(R508,ControlPanel!$B$5)</f>
        <v>0.104</v>
      </c>
      <c r="AC508">
        <f>P508*(1+ControlPanel!$B$6)</f>
        <v>1265.7750000000001</v>
      </c>
      <c r="AD508">
        <f>T508*(1+ControlPanel!$B$7)</f>
        <v>25.3</v>
      </c>
      <c r="AE508" s="6">
        <f t="shared" si="110"/>
        <v>50101.901696000001</v>
      </c>
      <c r="AF508">
        <f t="shared" si="111"/>
        <v>18077.794195999999</v>
      </c>
    </row>
    <row r="509" spans="1:32" x14ac:dyDescent="0.3">
      <c r="A509" t="s">
        <v>260</v>
      </c>
      <c r="B509" s="4">
        <v>45338</v>
      </c>
      <c r="C509" s="4" t="str">
        <f t="shared" si="100"/>
        <v>Feb-2024</v>
      </c>
      <c r="D509" t="str">
        <f t="shared" si="101"/>
        <v>Q1-2024</v>
      </c>
      <c r="E509" s="4">
        <v>45355</v>
      </c>
      <c r="F509" s="12">
        <f t="shared" si="98"/>
        <v>45355</v>
      </c>
      <c r="G509" s="13">
        <f t="shared" si="99"/>
        <v>17</v>
      </c>
      <c r="H509" t="s">
        <v>648</v>
      </c>
      <c r="I509" t="s">
        <v>653</v>
      </c>
      <c r="J509" t="s">
        <v>681</v>
      </c>
      <c r="K509" t="s">
        <v>703</v>
      </c>
      <c r="L509" t="s">
        <v>707</v>
      </c>
      <c r="M509" t="s">
        <v>726</v>
      </c>
      <c r="N509" t="s">
        <v>731</v>
      </c>
      <c r="O509" t="s">
        <v>980</v>
      </c>
      <c r="P509" s="6">
        <v>1350.98</v>
      </c>
      <c r="Q509" s="6">
        <v>2210.4</v>
      </c>
      <c r="R509" s="10">
        <v>0.26300000000000001</v>
      </c>
      <c r="S509" s="10" t="b">
        <f t="shared" si="102"/>
        <v>0</v>
      </c>
      <c r="T509" s="8">
        <v>6</v>
      </c>
      <c r="U509">
        <f t="shared" si="103"/>
        <v>9774.3888000000006</v>
      </c>
      <c r="V509">
        <f t="shared" si="104"/>
        <v>8105.88</v>
      </c>
      <c r="W509">
        <f t="shared" si="105"/>
        <v>1668.5088000000005</v>
      </c>
      <c r="X509" s="10">
        <f t="shared" si="106"/>
        <v>0.17070211080615091</v>
      </c>
      <c r="Y509" t="str">
        <f t="shared" si="107"/>
        <v>High</v>
      </c>
      <c r="Z509" t="str">
        <f t="shared" si="108"/>
        <v>Not Met</v>
      </c>
      <c r="AA509" t="str">
        <f t="shared" si="109"/>
        <v>High Discount</v>
      </c>
      <c r="AB509" s="10">
        <f>MIN(R509,ControlPanel!$B$5)</f>
        <v>0.2</v>
      </c>
      <c r="AC509">
        <f>P509*(1+ControlPanel!$B$6)</f>
        <v>1418.529</v>
      </c>
      <c r="AD509">
        <f>T509*(1+ControlPanel!$B$7)</f>
        <v>6.6000000000000005</v>
      </c>
      <c r="AE509" s="6">
        <f t="shared" si="110"/>
        <v>11670.912000000002</v>
      </c>
      <c r="AF509">
        <f t="shared" si="111"/>
        <v>2308.620600000002</v>
      </c>
    </row>
    <row r="510" spans="1:32" x14ac:dyDescent="0.3">
      <c r="A510" t="s">
        <v>454</v>
      </c>
      <c r="B510" s="4">
        <v>45063</v>
      </c>
      <c r="C510" s="4" t="str">
        <f t="shared" si="100"/>
        <v>May-2023</v>
      </c>
      <c r="D510" t="str">
        <f t="shared" si="101"/>
        <v>Q2-2023</v>
      </c>
      <c r="E510" s="4">
        <v>45080</v>
      </c>
      <c r="F510" s="12">
        <f t="shared" si="98"/>
        <v>45080</v>
      </c>
      <c r="G510" s="13">
        <f t="shared" si="99"/>
        <v>17</v>
      </c>
      <c r="H510" t="s">
        <v>647</v>
      </c>
      <c r="I510" t="s">
        <v>659</v>
      </c>
      <c r="J510" t="s">
        <v>699</v>
      </c>
      <c r="K510" t="s">
        <v>703</v>
      </c>
      <c r="L510" t="s">
        <v>710</v>
      </c>
      <c r="M510" t="s">
        <v>724</v>
      </c>
      <c r="N510" t="s">
        <v>728</v>
      </c>
      <c r="O510" t="s">
        <v>1173</v>
      </c>
      <c r="P510" s="6">
        <v>979.59</v>
      </c>
      <c r="Q510" s="6">
        <v>2210.94</v>
      </c>
      <c r="R510" s="10">
        <v>0.15</v>
      </c>
      <c r="S510" s="10" t="b">
        <f t="shared" si="102"/>
        <v>0</v>
      </c>
      <c r="T510" s="8">
        <v>11</v>
      </c>
      <c r="U510">
        <f t="shared" si="103"/>
        <v>20672.289000000001</v>
      </c>
      <c r="V510">
        <f t="shared" si="104"/>
        <v>10775.49</v>
      </c>
      <c r="W510">
        <f t="shared" si="105"/>
        <v>9896.7990000000009</v>
      </c>
      <c r="X510" s="10">
        <f t="shared" si="106"/>
        <v>0.47874712858358359</v>
      </c>
      <c r="Y510" t="str">
        <f t="shared" si="107"/>
        <v>High</v>
      </c>
      <c r="Z510" t="str">
        <f t="shared" si="108"/>
        <v>Not Met</v>
      </c>
      <c r="AA510" t="str">
        <f t="shared" si="109"/>
        <v>Low Discount</v>
      </c>
      <c r="AB510" s="10">
        <f>MIN(R510,ControlPanel!$B$5)</f>
        <v>0.15</v>
      </c>
      <c r="AC510">
        <f>P510*(1+ControlPanel!$B$6)</f>
        <v>1028.5695000000001</v>
      </c>
      <c r="AD510">
        <f>T510*(1+ControlPanel!$B$7)</f>
        <v>12.100000000000001</v>
      </c>
      <c r="AE510" s="6">
        <f t="shared" si="110"/>
        <v>22739.517900000003</v>
      </c>
      <c r="AF510">
        <f t="shared" si="111"/>
        <v>10293.826950000001</v>
      </c>
    </row>
    <row r="511" spans="1:32" x14ac:dyDescent="0.3">
      <c r="A511" t="s">
        <v>290</v>
      </c>
      <c r="B511" s="4">
        <v>45378</v>
      </c>
      <c r="C511" s="4" t="str">
        <f t="shared" si="100"/>
        <v>Mar-2024</v>
      </c>
      <c r="D511" t="str">
        <f t="shared" si="101"/>
        <v>Q1-2024</v>
      </c>
      <c r="E511" s="4">
        <v>45393</v>
      </c>
      <c r="F511" s="12">
        <f t="shared" si="98"/>
        <v>45393</v>
      </c>
      <c r="G511" s="13">
        <f t="shared" si="99"/>
        <v>15</v>
      </c>
      <c r="H511" t="s">
        <v>648</v>
      </c>
      <c r="I511" t="s">
        <v>660</v>
      </c>
      <c r="J511" t="s">
        <v>686</v>
      </c>
      <c r="K511" t="s">
        <v>705</v>
      </c>
      <c r="L511" t="s">
        <v>711</v>
      </c>
      <c r="M511" t="s">
        <v>719</v>
      </c>
      <c r="N511" t="s">
        <v>729</v>
      </c>
      <c r="O511" t="s">
        <v>1010</v>
      </c>
      <c r="P511" s="6">
        <v>1338.35</v>
      </c>
      <c r="Q511" s="6">
        <v>2247.14</v>
      </c>
      <c r="R511" s="10">
        <v>0.115</v>
      </c>
      <c r="S511" s="10" t="b">
        <f t="shared" si="102"/>
        <v>0</v>
      </c>
      <c r="T511" s="8">
        <v>40</v>
      </c>
      <c r="U511">
        <f t="shared" si="103"/>
        <v>79548.755999999994</v>
      </c>
      <c r="V511">
        <f t="shared" si="104"/>
        <v>53534</v>
      </c>
      <c r="W511">
        <f t="shared" si="105"/>
        <v>26014.755999999994</v>
      </c>
      <c r="X511" s="10">
        <f t="shared" si="106"/>
        <v>0.32702907384246205</v>
      </c>
      <c r="Y511" t="str">
        <f t="shared" si="107"/>
        <v>High</v>
      </c>
      <c r="Z511" t="str">
        <f t="shared" si="108"/>
        <v>Not Met</v>
      </c>
      <c r="AA511" t="str">
        <f t="shared" si="109"/>
        <v>Low Discount</v>
      </c>
      <c r="AB511" s="10">
        <f>MIN(R511,ControlPanel!$B$5)</f>
        <v>0.115</v>
      </c>
      <c r="AC511">
        <f>P511*(1+ControlPanel!$B$6)</f>
        <v>1405.2674999999999</v>
      </c>
      <c r="AD511">
        <f>T511*(1+ControlPanel!$B$7)</f>
        <v>44</v>
      </c>
      <c r="AE511" s="6">
        <f t="shared" si="110"/>
        <v>87503.631599999993</v>
      </c>
      <c r="AF511">
        <f t="shared" si="111"/>
        <v>25671.861599999997</v>
      </c>
    </row>
    <row r="512" spans="1:32" x14ac:dyDescent="0.3">
      <c r="A512" t="s">
        <v>122</v>
      </c>
      <c r="B512" s="4">
        <v>45518</v>
      </c>
      <c r="C512" s="4" t="str">
        <f t="shared" si="100"/>
        <v>Aug-2024</v>
      </c>
      <c r="D512" t="str">
        <f t="shared" si="101"/>
        <v>Q3-2024</v>
      </c>
      <c r="E512" s="4">
        <v>45539</v>
      </c>
      <c r="F512" s="12">
        <f t="shared" si="98"/>
        <v>45539</v>
      </c>
      <c r="G512" s="13">
        <f t="shared" si="99"/>
        <v>21</v>
      </c>
      <c r="H512" t="s">
        <v>649</v>
      </c>
      <c r="I512" t="s">
        <v>658</v>
      </c>
      <c r="J512" t="s">
        <v>693</v>
      </c>
      <c r="K512" t="s">
        <v>703</v>
      </c>
      <c r="L512" t="s">
        <v>708</v>
      </c>
      <c r="M512" t="s">
        <v>713</v>
      </c>
      <c r="N512" t="s">
        <v>730</v>
      </c>
      <c r="O512" t="s">
        <v>841</v>
      </c>
      <c r="P512" s="6">
        <v>1138.8</v>
      </c>
      <c r="Q512" s="6">
        <v>2250.81</v>
      </c>
      <c r="R512" s="10">
        <v>0.123</v>
      </c>
      <c r="S512" s="10" t="b">
        <f t="shared" si="102"/>
        <v>0</v>
      </c>
      <c r="T512" s="8">
        <v>12</v>
      </c>
      <c r="U512">
        <f t="shared" si="103"/>
        <v>23687.524440000001</v>
      </c>
      <c r="V512">
        <f t="shared" si="104"/>
        <v>13665.599999999999</v>
      </c>
      <c r="W512">
        <f t="shared" si="105"/>
        <v>10021.924440000003</v>
      </c>
      <c r="X512" s="10">
        <f t="shared" si="106"/>
        <v>0.42308872188756258</v>
      </c>
      <c r="Y512" t="str">
        <f t="shared" si="107"/>
        <v>High</v>
      </c>
      <c r="Z512" t="str">
        <f t="shared" si="108"/>
        <v>Not Met</v>
      </c>
      <c r="AA512" t="str">
        <f t="shared" si="109"/>
        <v>Low Discount</v>
      </c>
      <c r="AB512" s="10">
        <f>MIN(R512,ControlPanel!$B$5)</f>
        <v>0.123</v>
      </c>
      <c r="AC512">
        <f>P512*(1+ControlPanel!$B$6)</f>
        <v>1195.74</v>
      </c>
      <c r="AD512">
        <f>T512*(1+ControlPanel!$B$7)</f>
        <v>13.200000000000001</v>
      </c>
      <c r="AE512" s="6">
        <f t="shared" si="110"/>
        <v>26056.276884000003</v>
      </c>
      <c r="AF512">
        <f t="shared" si="111"/>
        <v>10272.508884000001</v>
      </c>
    </row>
    <row r="513" spans="1:32" x14ac:dyDescent="0.3">
      <c r="A513" t="s">
        <v>155</v>
      </c>
      <c r="B513" s="4">
        <v>45048</v>
      </c>
      <c r="C513" s="4" t="str">
        <f t="shared" si="100"/>
        <v>May-2023</v>
      </c>
      <c r="D513" t="str">
        <f t="shared" si="101"/>
        <v>Q2-2023</v>
      </c>
      <c r="E513" s="4">
        <v>45064</v>
      </c>
      <c r="F513" s="12">
        <f t="shared" si="98"/>
        <v>45064</v>
      </c>
      <c r="G513" s="13">
        <f t="shared" si="99"/>
        <v>16</v>
      </c>
      <c r="H513" t="s">
        <v>647</v>
      </c>
      <c r="I513" t="s">
        <v>654</v>
      </c>
      <c r="J513" t="s">
        <v>680</v>
      </c>
      <c r="K513" t="s">
        <v>705</v>
      </c>
      <c r="L513" t="s">
        <v>709</v>
      </c>
      <c r="M513" t="s">
        <v>723</v>
      </c>
      <c r="N513" t="s">
        <v>732</v>
      </c>
      <c r="O513" t="s">
        <v>874</v>
      </c>
      <c r="P513" s="6">
        <v>1463.92</v>
      </c>
      <c r="Q513" s="6">
        <v>2252.2399999999998</v>
      </c>
      <c r="R513" s="10">
        <v>0.11799999999999999</v>
      </c>
      <c r="S513" s="10" t="b">
        <f t="shared" si="102"/>
        <v>0</v>
      </c>
      <c r="T513" s="8">
        <v>44</v>
      </c>
      <c r="U513">
        <f t="shared" si="103"/>
        <v>87404.929919999995</v>
      </c>
      <c r="V513">
        <f t="shared" si="104"/>
        <v>64412.480000000003</v>
      </c>
      <c r="W513">
        <f t="shared" si="105"/>
        <v>22992.449919999992</v>
      </c>
      <c r="X513" s="10">
        <f t="shared" si="106"/>
        <v>0.26305667130040061</v>
      </c>
      <c r="Y513" t="str">
        <f t="shared" si="107"/>
        <v>High</v>
      </c>
      <c r="Z513" t="str">
        <f t="shared" si="108"/>
        <v>Not Met</v>
      </c>
      <c r="AA513" t="str">
        <f t="shared" si="109"/>
        <v>Low Discount</v>
      </c>
      <c r="AB513" s="10">
        <f>MIN(R513,ControlPanel!$B$5)</f>
        <v>0.11799999999999999</v>
      </c>
      <c r="AC513">
        <f>P513*(1+ControlPanel!$B$6)</f>
        <v>1537.1160000000002</v>
      </c>
      <c r="AD513">
        <f>T513*(1+ControlPanel!$B$7)</f>
        <v>48.400000000000006</v>
      </c>
      <c r="AE513" s="6">
        <f t="shared" si="110"/>
        <v>96145.422911999995</v>
      </c>
      <c r="AF513">
        <f t="shared" si="111"/>
        <v>21749.008511999971</v>
      </c>
    </row>
    <row r="514" spans="1:32" x14ac:dyDescent="0.3">
      <c r="A514" t="s">
        <v>218</v>
      </c>
      <c r="B514" s="4">
        <v>45692</v>
      </c>
      <c r="C514" s="4" t="str">
        <f t="shared" si="100"/>
        <v>Feb-2025</v>
      </c>
      <c r="D514" t="str">
        <f t="shared" si="101"/>
        <v>Q1-2025</v>
      </c>
      <c r="E514" s="4">
        <v>45713</v>
      </c>
      <c r="F514" s="12">
        <f t="shared" ref="F514:F577" si="112">IF(B514&gt;E514,B514+14,E514)</f>
        <v>45713</v>
      </c>
      <c r="G514" s="13">
        <f t="shared" ref="G514:G577" si="113">F514-B514</f>
        <v>21</v>
      </c>
      <c r="H514" t="s">
        <v>649</v>
      </c>
      <c r="I514" t="s">
        <v>658</v>
      </c>
      <c r="J514" t="s">
        <v>674</v>
      </c>
      <c r="K514" t="s">
        <v>701</v>
      </c>
      <c r="L514" t="s">
        <v>709</v>
      </c>
      <c r="M514" t="s">
        <v>726</v>
      </c>
      <c r="N514" t="s">
        <v>732</v>
      </c>
      <c r="O514" t="s">
        <v>938</v>
      </c>
      <c r="P514" s="6">
        <v>1016.32</v>
      </c>
      <c r="Q514" s="6">
        <v>2253.42</v>
      </c>
      <c r="R514" s="10">
        <v>5.5E-2</v>
      </c>
      <c r="S514" s="10" t="b">
        <f t="shared" si="102"/>
        <v>0</v>
      </c>
      <c r="T514" s="8">
        <v>12</v>
      </c>
      <c r="U514">
        <f t="shared" si="103"/>
        <v>25553.782799999997</v>
      </c>
      <c r="V514">
        <f t="shared" si="104"/>
        <v>12195.84</v>
      </c>
      <c r="W514">
        <f t="shared" si="105"/>
        <v>13357.942799999997</v>
      </c>
      <c r="X514" s="10">
        <f t="shared" si="106"/>
        <v>0.52273837124419786</v>
      </c>
      <c r="Y514" t="str">
        <f t="shared" si="107"/>
        <v>High</v>
      </c>
      <c r="Z514" t="str">
        <f t="shared" si="108"/>
        <v>Not Met</v>
      </c>
      <c r="AA514" t="str">
        <f t="shared" si="109"/>
        <v>Low Discount</v>
      </c>
      <c r="AB514" s="10">
        <f>MIN(R514,ControlPanel!$B$5)</f>
        <v>5.5E-2</v>
      </c>
      <c r="AC514">
        <f>P514*(1+ControlPanel!$B$6)</f>
        <v>1067.1360000000002</v>
      </c>
      <c r="AD514">
        <f>T514*(1+ControlPanel!$B$7)</f>
        <v>13.200000000000001</v>
      </c>
      <c r="AE514" s="6">
        <f t="shared" si="110"/>
        <v>28109.161079999998</v>
      </c>
      <c r="AF514">
        <f t="shared" si="111"/>
        <v>14022.965879999994</v>
      </c>
    </row>
    <row r="515" spans="1:32" x14ac:dyDescent="0.3">
      <c r="A515" t="s">
        <v>202</v>
      </c>
      <c r="B515" s="4">
        <v>45126</v>
      </c>
      <c r="C515" s="4" t="str">
        <f t="shared" ref="C515:C578" si="114">TEXT(B515,"MMM-YYYY")</f>
        <v>Jul-2023</v>
      </c>
      <c r="D515" t="str">
        <f t="shared" ref="D515:D578" si="115">"Q" &amp; ROUNDUP(MONTH(B515)/3,0) &amp; "-" &amp; YEAR(B515)</f>
        <v>Q3-2023</v>
      </c>
      <c r="E515" s="4">
        <v>45138</v>
      </c>
      <c r="F515" s="12">
        <f t="shared" si="112"/>
        <v>45138</v>
      </c>
      <c r="G515" s="13">
        <f t="shared" si="113"/>
        <v>12</v>
      </c>
      <c r="H515" t="s">
        <v>648</v>
      </c>
      <c r="I515" t="s">
        <v>655</v>
      </c>
      <c r="J515" t="s">
        <v>692</v>
      </c>
      <c r="K515" t="s">
        <v>701</v>
      </c>
      <c r="L515" t="s">
        <v>707</v>
      </c>
      <c r="M515" t="s">
        <v>712</v>
      </c>
      <c r="N515" t="s">
        <v>732</v>
      </c>
      <c r="O515" t="s">
        <v>922</v>
      </c>
      <c r="P515" s="6">
        <v>1334.64</v>
      </c>
      <c r="Q515" s="6">
        <v>2273.42</v>
      </c>
      <c r="R515" s="10">
        <v>0.11799999999999999</v>
      </c>
      <c r="S515" s="10" t="b">
        <f t="shared" ref="S515:S578" si="116">IF(R515&gt;30,TRUE)</f>
        <v>0</v>
      </c>
      <c r="T515" s="8">
        <v>14</v>
      </c>
      <c r="U515">
        <f t="shared" ref="U515:U578" si="117">(Q515*(100%-R515))*T515</f>
        <v>28072.190159999998</v>
      </c>
      <c r="V515">
        <f t="shared" ref="V515:V578" si="118">P515*T515</f>
        <v>18684.960000000003</v>
      </c>
      <c r="W515">
        <f t="shared" ref="W515:W578" si="119">U515-V515</f>
        <v>9387.2301599999955</v>
      </c>
      <c r="X515" s="10">
        <f t="shared" ref="X515:X578" si="120">IF(U515=0,0,W515/U515)</f>
        <v>0.33439607335575261</v>
      </c>
      <c r="Y515" t="str">
        <f t="shared" ref="Y515:Y578" si="121">IF(Q515&lt;=_xlfn.PERCENTILE.INC($Q$2:$Q$610,0.33),"Low",IF(Q515&lt;=_xlfn.PERCENTILE.INC($Q$2:$Q$610,0.67),"Medium","High"))</f>
        <v>High</v>
      </c>
      <c r="Z515" t="str">
        <f t="shared" ref="Z515:Z578" si="122">IF(G515&lt;=7,"Met","Not Met")</f>
        <v>Not Met</v>
      </c>
      <c r="AA515" t="str">
        <f t="shared" ref="AA515:AA578" si="123">IF(R515&gt;20%,"High Discount","Low Discount")</f>
        <v>Low Discount</v>
      </c>
      <c r="AB515" s="10">
        <f>MIN(R515,ControlPanel!$B$5)</f>
        <v>0.11799999999999999</v>
      </c>
      <c r="AC515">
        <f>P515*(1+ControlPanel!$B$6)</f>
        <v>1401.3720000000001</v>
      </c>
      <c r="AD515">
        <f>T515*(1+ControlPanel!$B$7)</f>
        <v>15.400000000000002</v>
      </c>
      <c r="AE515" s="6">
        <f t="shared" ref="AE515:AE578" si="124">(Q515*(100%-AB515)*AD515)</f>
        <v>30879.409176000005</v>
      </c>
      <c r="AF515">
        <f t="shared" ref="AF515:AF578" si="125">AE515-(AC515*AD515)</f>
        <v>9298.2803759999988</v>
      </c>
    </row>
    <row r="516" spans="1:32" x14ac:dyDescent="0.3">
      <c r="A516" t="s">
        <v>188</v>
      </c>
      <c r="B516" s="4">
        <v>45798</v>
      </c>
      <c r="C516" s="4" t="str">
        <f t="shared" si="114"/>
        <v>May-2025</v>
      </c>
      <c r="D516" t="str">
        <f t="shared" si="115"/>
        <v>Q2-2025</v>
      </c>
      <c r="E516" s="4">
        <v>45796</v>
      </c>
      <c r="F516" s="12">
        <f t="shared" si="112"/>
        <v>45812</v>
      </c>
      <c r="G516" s="13">
        <f t="shared" si="113"/>
        <v>14</v>
      </c>
      <c r="H516" t="s">
        <v>646</v>
      </c>
      <c r="I516" t="s">
        <v>661</v>
      </c>
      <c r="J516" t="s">
        <v>682</v>
      </c>
      <c r="K516" t="s">
        <v>703</v>
      </c>
      <c r="L516" t="s">
        <v>710</v>
      </c>
      <c r="M516" t="s">
        <v>719</v>
      </c>
      <c r="N516" t="s">
        <v>731</v>
      </c>
      <c r="O516" t="s">
        <v>907</v>
      </c>
      <c r="P516" s="6">
        <v>1263.8399999999999</v>
      </c>
      <c r="Q516" s="6">
        <v>2281.7199999999998</v>
      </c>
      <c r="R516" s="10">
        <v>7.8E-2</v>
      </c>
      <c r="S516" s="10" t="b">
        <f t="shared" si="116"/>
        <v>0</v>
      </c>
      <c r="T516" s="8">
        <v>15</v>
      </c>
      <c r="U516">
        <f t="shared" si="117"/>
        <v>31556.187600000001</v>
      </c>
      <c r="V516">
        <f t="shared" si="118"/>
        <v>18957.599999999999</v>
      </c>
      <c r="W516">
        <f t="shared" si="119"/>
        <v>12598.587600000003</v>
      </c>
      <c r="X516" s="10">
        <f t="shared" si="120"/>
        <v>0.399243018823985</v>
      </c>
      <c r="Y516" t="str">
        <f t="shared" si="121"/>
        <v>High</v>
      </c>
      <c r="Z516" t="str">
        <f t="shared" si="122"/>
        <v>Not Met</v>
      </c>
      <c r="AA516" t="str">
        <f t="shared" si="123"/>
        <v>Low Discount</v>
      </c>
      <c r="AB516" s="10">
        <f>MIN(R516,ControlPanel!$B$5)</f>
        <v>7.8E-2</v>
      </c>
      <c r="AC516">
        <f>P516*(1+ControlPanel!$B$6)</f>
        <v>1327.0319999999999</v>
      </c>
      <c r="AD516">
        <f>T516*(1+ControlPanel!$B$7)</f>
        <v>16.5</v>
      </c>
      <c r="AE516" s="6">
        <f t="shared" si="124"/>
        <v>34711.806360000002</v>
      </c>
      <c r="AF516">
        <f t="shared" si="125"/>
        <v>12815.778360000004</v>
      </c>
    </row>
    <row r="517" spans="1:32" x14ac:dyDescent="0.3">
      <c r="A517" t="s">
        <v>638</v>
      </c>
      <c r="B517" s="4">
        <v>45141</v>
      </c>
      <c r="C517" s="4" t="str">
        <f t="shared" si="114"/>
        <v>Aug-2023</v>
      </c>
      <c r="D517" t="str">
        <f t="shared" si="115"/>
        <v>Q3-2023</v>
      </c>
      <c r="E517" s="4">
        <v>45140</v>
      </c>
      <c r="F517" s="12">
        <f t="shared" si="112"/>
        <v>45155</v>
      </c>
      <c r="G517" s="13">
        <f t="shared" si="113"/>
        <v>14</v>
      </c>
      <c r="H517" t="s">
        <v>647</v>
      </c>
      <c r="I517" t="s">
        <v>659</v>
      </c>
      <c r="J517" t="s">
        <v>685</v>
      </c>
      <c r="K517" t="s">
        <v>703</v>
      </c>
      <c r="L517" t="s">
        <v>711</v>
      </c>
      <c r="M517" t="s">
        <v>713</v>
      </c>
      <c r="N517" t="s">
        <v>729</v>
      </c>
      <c r="O517" t="s">
        <v>1356</v>
      </c>
      <c r="P517" s="6">
        <v>1021.97</v>
      </c>
      <c r="Q517" s="6">
        <v>2296.25</v>
      </c>
      <c r="R517" s="10">
        <v>0.161</v>
      </c>
      <c r="S517" s="10" t="b">
        <f t="shared" si="116"/>
        <v>0</v>
      </c>
      <c r="T517" s="8">
        <v>26</v>
      </c>
      <c r="U517">
        <f t="shared" si="117"/>
        <v>50090.397499999999</v>
      </c>
      <c r="V517">
        <f t="shared" si="118"/>
        <v>26571.22</v>
      </c>
      <c r="W517">
        <f t="shared" si="119"/>
        <v>23519.177499999998</v>
      </c>
      <c r="X517" s="10">
        <f t="shared" si="120"/>
        <v>0.46953465482081669</v>
      </c>
      <c r="Y517" t="str">
        <f t="shared" si="121"/>
        <v>High</v>
      </c>
      <c r="Z517" t="str">
        <f t="shared" si="122"/>
        <v>Not Met</v>
      </c>
      <c r="AA517" t="str">
        <f t="shared" si="123"/>
        <v>Low Discount</v>
      </c>
      <c r="AB517" s="10">
        <f>MIN(R517,ControlPanel!$B$5)</f>
        <v>0.161</v>
      </c>
      <c r="AC517">
        <f>P517*(1+ControlPanel!$B$6)</f>
        <v>1073.0685000000001</v>
      </c>
      <c r="AD517">
        <f>T517*(1+ControlPanel!$B$7)</f>
        <v>28.6</v>
      </c>
      <c r="AE517" s="6">
        <f t="shared" si="124"/>
        <v>55099.437250000003</v>
      </c>
      <c r="AF517">
        <f t="shared" si="125"/>
        <v>24409.67815</v>
      </c>
    </row>
    <row r="518" spans="1:32" x14ac:dyDescent="0.3">
      <c r="A518" t="s">
        <v>363</v>
      </c>
      <c r="B518" s="4">
        <v>45825</v>
      </c>
      <c r="C518" s="4" t="str">
        <f t="shared" si="114"/>
        <v>Jun-2025</v>
      </c>
      <c r="D518" t="str">
        <f t="shared" si="115"/>
        <v>Q2-2025</v>
      </c>
      <c r="E518" s="4">
        <v>45843</v>
      </c>
      <c r="F518" s="12">
        <f t="shared" si="112"/>
        <v>45843</v>
      </c>
      <c r="G518" s="13">
        <f t="shared" si="113"/>
        <v>18</v>
      </c>
      <c r="H518" t="s">
        <v>647</v>
      </c>
      <c r="I518" t="s">
        <v>654</v>
      </c>
      <c r="J518" t="s">
        <v>680</v>
      </c>
      <c r="K518" t="s">
        <v>704</v>
      </c>
      <c r="L518" t="s">
        <v>709</v>
      </c>
      <c r="M518" t="s">
        <v>716</v>
      </c>
      <c r="N518" t="s">
        <v>731</v>
      </c>
      <c r="O518" t="s">
        <v>1083</v>
      </c>
      <c r="P518" s="6">
        <v>982.93</v>
      </c>
      <c r="Q518" s="6">
        <v>2299.3000000000002</v>
      </c>
      <c r="R518" s="10">
        <v>0.113</v>
      </c>
      <c r="S518" s="10" t="b">
        <f t="shared" si="116"/>
        <v>0</v>
      </c>
      <c r="T518" s="8">
        <v>6</v>
      </c>
      <c r="U518">
        <f t="shared" si="117"/>
        <v>12236.874600000001</v>
      </c>
      <c r="V518">
        <f t="shared" si="118"/>
        <v>5897.58</v>
      </c>
      <c r="W518">
        <f t="shared" si="119"/>
        <v>6339.2946000000011</v>
      </c>
      <c r="X518" s="10">
        <f t="shared" si="120"/>
        <v>0.51804850562087157</v>
      </c>
      <c r="Y518" t="str">
        <f t="shared" si="121"/>
        <v>High</v>
      </c>
      <c r="Z518" t="str">
        <f t="shared" si="122"/>
        <v>Not Met</v>
      </c>
      <c r="AA518" t="str">
        <f t="shared" si="123"/>
        <v>Low Discount</v>
      </c>
      <c r="AB518" s="10">
        <f>MIN(R518,ControlPanel!$B$5)</f>
        <v>0.113</v>
      </c>
      <c r="AC518">
        <f>P518*(1+ControlPanel!$B$6)</f>
        <v>1032.0764999999999</v>
      </c>
      <c r="AD518">
        <f>T518*(1+ControlPanel!$B$7)</f>
        <v>6.6000000000000005</v>
      </c>
      <c r="AE518" s="6">
        <f t="shared" si="124"/>
        <v>13460.562060000002</v>
      </c>
      <c r="AF518">
        <f t="shared" si="125"/>
        <v>6648.8571600000023</v>
      </c>
    </row>
    <row r="519" spans="1:32" x14ac:dyDescent="0.3">
      <c r="A519" t="s">
        <v>381</v>
      </c>
      <c r="B519" s="4">
        <v>45731</v>
      </c>
      <c r="C519" s="4" t="str">
        <f t="shared" si="114"/>
        <v>Mar-2025</v>
      </c>
      <c r="D519" t="str">
        <f t="shared" si="115"/>
        <v>Q1-2025</v>
      </c>
      <c r="E519" s="4">
        <v>45745</v>
      </c>
      <c r="F519" s="12">
        <f t="shared" si="112"/>
        <v>45745</v>
      </c>
      <c r="G519" s="13">
        <f t="shared" si="113"/>
        <v>14</v>
      </c>
      <c r="H519" t="s">
        <v>647</v>
      </c>
      <c r="I519" t="s">
        <v>654</v>
      </c>
      <c r="J519" t="s">
        <v>691</v>
      </c>
      <c r="K519" t="s">
        <v>706</v>
      </c>
      <c r="L519" t="s">
        <v>711</v>
      </c>
      <c r="M519" t="s">
        <v>712</v>
      </c>
      <c r="N519" t="s">
        <v>727</v>
      </c>
      <c r="O519" t="s">
        <v>1101</v>
      </c>
      <c r="P519" s="6">
        <v>935.83</v>
      </c>
      <c r="Q519" s="6">
        <v>2303.46</v>
      </c>
      <c r="R519" s="10">
        <v>0.105</v>
      </c>
      <c r="S519" s="10" t="b">
        <f t="shared" si="116"/>
        <v>0</v>
      </c>
      <c r="T519" s="8">
        <v>9</v>
      </c>
      <c r="U519">
        <f t="shared" si="117"/>
        <v>18554.370300000002</v>
      </c>
      <c r="V519">
        <f t="shared" si="118"/>
        <v>8422.4700000000012</v>
      </c>
      <c r="W519">
        <f t="shared" si="119"/>
        <v>10131.900300000001</v>
      </c>
      <c r="X519" s="10">
        <f t="shared" si="120"/>
        <v>0.54606543559174303</v>
      </c>
      <c r="Y519" t="str">
        <f t="shared" si="121"/>
        <v>High</v>
      </c>
      <c r="Z519" t="str">
        <f t="shared" si="122"/>
        <v>Not Met</v>
      </c>
      <c r="AA519" t="str">
        <f t="shared" si="123"/>
        <v>Low Discount</v>
      </c>
      <c r="AB519" s="10">
        <f>MIN(R519,ControlPanel!$B$5)</f>
        <v>0.105</v>
      </c>
      <c r="AC519">
        <f>P519*(1+ControlPanel!$B$6)</f>
        <v>982.62150000000008</v>
      </c>
      <c r="AD519">
        <f>T519*(1+ControlPanel!$B$7)</f>
        <v>9.9</v>
      </c>
      <c r="AE519" s="6">
        <f t="shared" si="124"/>
        <v>20409.80733</v>
      </c>
      <c r="AF519">
        <f t="shared" si="125"/>
        <v>10681.854479999998</v>
      </c>
    </row>
    <row r="520" spans="1:32" x14ac:dyDescent="0.3">
      <c r="A520" t="s">
        <v>597</v>
      </c>
      <c r="B520" s="4">
        <v>45541</v>
      </c>
      <c r="C520" s="4" t="str">
        <f t="shared" si="114"/>
        <v>Sep-2024</v>
      </c>
      <c r="D520" t="str">
        <f t="shared" si="115"/>
        <v>Q3-2024</v>
      </c>
      <c r="E520" s="4">
        <v>45539</v>
      </c>
      <c r="F520" s="12">
        <f t="shared" si="112"/>
        <v>45555</v>
      </c>
      <c r="G520" s="13">
        <f t="shared" si="113"/>
        <v>14</v>
      </c>
      <c r="H520" t="s">
        <v>647</v>
      </c>
      <c r="I520" t="s">
        <v>652</v>
      </c>
      <c r="J520" t="s">
        <v>666</v>
      </c>
      <c r="K520" t="s">
        <v>701</v>
      </c>
      <c r="L520" t="s">
        <v>711</v>
      </c>
      <c r="M520" t="s">
        <v>720</v>
      </c>
      <c r="N520" t="s">
        <v>731</v>
      </c>
      <c r="O520" t="s">
        <v>1315</v>
      </c>
      <c r="P520" s="6">
        <v>1368.17</v>
      </c>
      <c r="Q520" s="6">
        <v>2307.75</v>
      </c>
      <c r="R520" s="10">
        <v>0.16300000000000001</v>
      </c>
      <c r="S520" s="10" t="b">
        <f t="shared" si="116"/>
        <v>0</v>
      </c>
      <c r="T520" s="8">
        <v>21</v>
      </c>
      <c r="U520">
        <f t="shared" si="117"/>
        <v>40563.321749999996</v>
      </c>
      <c r="V520">
        <f t="shared" si="118"/>
        <v>28731.57</v>
      </c>
      <c r="W520">
        <f t="shared" si="119"/>
        <v>11831.751749999996</v>
      </c>
      <c r="X520" s="10">
        <f t="shared" si="120"/>
        <v>0.29168596750831921</v>
      </c>
      <c r="Y520" t="str">
        <f t="shared" si="121"/>
        <v>High</v>
      </c>
      <c r="Z520" t="str">
        <f t="shared" si="122"/>
        <v>Not Met</v>
      </c>
      <c r="AA520" t="str">
        <f t="shared" si="123"/>
        <v>Low Discount</v>
      </c>
      <c r="AB520" s="10">
        <f>MIN(R520,ControlPanel!$B$5)</f>
        <v>0.16300000000000001</v>
      </c>
      <c r="AC520">
        <f>P520*(1+ControlPanel!$B$6)</f>
        <v>1436.5785000000001</v>
      </c>
      <c r="AD520">
        <f>T520*(1+ControlPanel!$B$7)</f>
        <v>23.1</v>
      </c>
      <c r="AE520" s="6">
        <f t="shared" si="124"/>
        <v>44619.653924999999</v>
      </c>
      <c r="AF520">
        <f t="shared" si="125"/>
        <v>11434.690574999993</v>
      </c>
    </row>
    <row r="521" spans="1:32" x14ac:dyDescent="0.3">
      <c r="A521" t="s">
        <v>24</v>
      </c>
      <c r="B521" s="4">
        <v>45798</v>
      </c>
      <c r="C521" s="4" t="str">
        <f t="shared" si="114"/>
        <v>May-2025</v>
      </c>
      <c r="D521" t="str">
        <f t="shared" si="115"/>
        <v>Q2-2025</v>
      </c>
      <c r="E521" s="4">
        <v>45817</v>
      </c>
      <c r="F521" s="12">
        <f t="shared" si="112"/>
        <v>45817</v>
      </c>
      <c r="G521" s="13">
        <f t="shared" si="113"/>
        <v>19</v>
      </c>
      <c r="H521" t="s">
        <v>648</v>
      </c>
      <c r="I521" t="s">
        <v>655</v>
      </c>
      <c r="J521" t="s">
        <v>670</v>
      </c>
      <c r="K521" t="s">
        <v>703</v>
      </c>
      <c r="L521" t="s">
        <v>708</v>
      </c>
      <c r="M521" t="s">
        <v>720</v>
      </c>
      <c r="N521" t="s">
        <v>727</v>
      </c>
      <c r="O521" t="s">
        <v>743</v>
      </c>
      <c r="P521" s="6">
        <v>1331.38</v>
      </c>
      <c r="Q521" s="6">
        <v>2309.56</v>
      </c>
      <c r="R521" s="10">
        <v>0.14899999999999999</v>
      </c>
      <c r="S521" s="10" t="b">
        <f t="shared" si="116"/>
        <v>0</v>
      </c>
      <c r="T521" s="8">
        <v>31</v>
      </c>
      <c r="U521">
        <f t="shared" si="117"/>
        <v>60928.502359999999</v>
      </c>
      <c r="V521">
        <f t="shared" si="118"/>
        <v>41272.780000000006</v>
      </c>
      <c r="W521">
        <f t="shared" si="119"/>
        <v>19655.722359999992</v>
      </c>
      <c r="X521" s="10">
        <f t="shared" si="120"/>
        <v>0.32260307735553528</v>
      </c>
      <c r="Y521" t="str">
        <f t="shared" si="121"/>
        <v>High</v>
      </c>
      <c r="Z521" t="str">
        <f t="shared" si="122"/>
        <v>Not Met</v>
      </c>
      <c r="AA521" t="str">
        <f t="shared" si="123"/>
        <v>Low Discount</v>
      </c>
      <c r="AB521" s="10">
        <f>MIN(R521,ControlPanel!$B$5)</f>
        <v>0.14899999999999999</v>
      </c>
      <c r="AC521">
        <f>P521*(1+ControlPanel!$B$6)</f>
        <v>1397.9490000000001</v>
      </c>
      <c r="AD521">
        <f>T521*(1+ControlPanel!$B$7)</f>
        <v>34.1</v>
      </c>
      <c r="AE521" s="6">
        <f t="shared" si="124"/>
        <v>67021.352595999997</v>
      </c>
      <c r="AF521">
        <f t="shared" si="125"/>
        <v>19351.291695999993</v>
      </c>
    </row>
    <row r="522" spans="1:32" x14ac:dyDescent="0.3">
      <c r="A522" t="s">
        <v>553</v>
      </c>
      <c r="B522" s="4">
        <v>45288</v>
      </c>
      <c r="C522" s="4" t="str">
        <f t="shared" si="114"/>
        <v>Dec-2023</v>
      </c>
      <c r="D522" t="str">
        <f t="shared" si="115"/>
        <v>Q4-2023</v>
      </c>
      <c r="E522" s="4">
        <v>45292</v>
      </c>
      <c r="F522" s="12">
        <f t="shared" si="112"/>
        <v>45292</v>
      </c>
      <c r="G522" s="13">
        <f t="shared" si="113"/>
        <v>4</v>
      </c>
      <c r="H522" t="s">
        <v>646</v>
      </c>
      <c r="I522" t="s">
        <v>661</v>
      </c>
      <c r="J522" t="s">
        <v>695</v>
      </c>
      <c r="K522" t="s">
        <v>702</v>
      </c>
      <c r="L522" t="s">
        <v>710</v>
      </c>
      <c r="M522" t="s">
        <v>720</v>
      </c>
      <c r="N522" t="s">
        <v>728</v>
      </c>
      <c r="O522" t="s">
        <v>1271</v>
      </c>
      <c r="P522" s="6">
        <v>1141.8</v>
      </c>
      <c r="Q522" s="6">
        <v>2318.7399999999998</v>
      </c>
      <c r="R522" s="10">
        <v>0.107</v>
      </c>
      <c r="S522" s="10" t="b">
        <f t="shared" si="116"/>
        <v>0</v>
      </c>
      <c r="T522" s="8">
        <v>32</v>
      </c>
      <c r="U522">
        <f t="shared" si="117"/>
        <v>66260.314239999992</v>
      </c>
      <c r="V522">
        <f t="shared" si="118"/>
        <v>36537.599999999999</v>
      </c>
      <c r="W522">
        <f t="shared" si="119"/>
        <v>29722.714239999994</v>
      </c>
      <c r="X522" s="10">
        <f t="shared" si="120"/>
        <v>0.44857490612468304</v>
      </c>
      <c r="Y522" t="str">
        <f t="shared" si="121"/>
        <v>High</v>
      </c>
      <c r="Z522" t="str">
        <f t="shared" si="122"/>
        <v>Met</v>
      </c>
      <c r="AA522" t="str">
        <f t="shared" si="123"/>
        <v>Low Discount</v>
      </c>
      <c r="AB522" s="10">
        <f>MIN(R522,ControlPanel!$B$5)</f>
        <v>0.107</v>
      </c>
      <c r="AC522">
        <f>P522*(1+ControlPanel!$B$6)</f>
        <v>1198.8900000000001</v>
      </c>
      <c r="AD522">
        <f>T522*(1+ControlPanel!$B$7)</f>
        <v>35.200000000000003</v>
      </c>
      <c r="AE522" s="6">
        <f t="shared" si="124"/>
        <v>72886.345663999993</v>
      </c>
      <c r="AF522">
        <f t="shared" si="125"/>
        <v>30685.417663999986</v>
      </c>
    </row>
    <row r="523" spans="1:32" x14ac:dyDescent="0.3">
      <c r="A523" t="s">
        <v>439</v>
      </c>
      <c r="B523" s="4">
        <v>45349</v>
      </c>
      <c r="C523" s="4" t="str">
        <f t="shared" si="114"/>
        <v>Feb-2024</v>
      </c>
      <c r="D523" t="str">
        <f t="shared" si="115"/>
        <v>Q1-2024</v>
      </c>
      <c r="E523" s="4">
        <v>45377</v>
      </c>
      <c r="F523" s="12">
        <f t="shared" si="112"/>
        <v>45377</v>
      </c>
      <c r="G523" s="13">
        <f t="shared" si="113"/>
        <v>28</v>
      </c>
      <c r="H523" t="s">
        <v>647</v>
      </c>
      <c r="I523" t="s">
        <v>654</v>
      </c>
      <c r="J523" t="s">
        <v>691</v>
      </c>
      <c r="K523" t="s">
        <v>702</v>
      </c>
      <c r="L523" t="s">
        <v>709</v>
      </c>
      <c r="M523" t="s">
        <v>715</v>
      </c>
      <c r="N523" t="s">
        <v>731</v>
      </c>
      <c r="O523" t="s">
        <v>1158</v>
      </c>
      <c r="P523" s="6">
        <v>1035.19</v>
      </c>
      <c r="Q523" s="6">
        <v>2322.6999999999998</v>
      </c>
      <c r="R523" s="10">
        <v>0.17299999999999999</v>
      </c>
      <c r="S523" s="10" t="b">
        <f t="shared" si="116"/>
        <v>0</v>
      </c>
      <c r="T523" s="8">
        <v>8</v>
      </c>
      <c r="U523">
        <f t="shared" si="117"/>
        <v>15366.983199999999</v>
      </c>
      <c r="V523">
        <f t="shared" si="118"/>
        <v>8281.52</v>
      </c>
      <c r="W523">
        <f t="shared" si="119"/>
        <v>7085.4631999999983</v>
      </c>
      <c r="X523" s="10">
        <f t="shared" si="120"/>
        <v>0.46108355217047409</v>
      </c>
      <c r="Y523" t="str">
        <f t="shared" si="121"/>
        <v>High</v>
      </c>
      <c r="Z523" t="str">
        <f t="shared" si="122"/>
        <v>Not Met</v>
      </c>
      <c r="AA523" t="str">
        <f t="shared" si="123"/>
        <v>Low Discount</v>
      </c>
      <c r="AB523" s="10">
        <f>MIN(R523,ControlPanel!$B$5)</f>
        <v>0.17299999999999999</v>
      </c>
      <c r="AC523">
        <f>P523*(1+ControlPanel!$B$6)</f>
        <v>1086.9495000000002</v>
      </c>
      <c r="AD523">
        <f>T523*(1+ControlPanel!$B$7)</f>
        <v>8.8000000000000007</v>
      </c>
      <c r="AE523" s="6">
        <f t="shared" si="124"/>
        <v>16903.681519999998</v>
      </c>
      <c r="AF523">
        <f t="shared" si="125"/>
        <v>7338.5259199999964</v>
      </c>
    </row>
    <row r="524" spans="1:32" x14ac:dyDescent="0.3">
      <c r="A524" t="s">
        <v>150</v>
      </c>
      <c r="B524" s="4">
        <v>45028</v>
      </c>
      <c r="C524" s="4" t="str">
        <f t="shared" si="114"/>
        <v>Apr-2023</v>
      </c>
      <c r="D524" t="str">
        <f t="shared" si="115"/>
        <v>Q2-2023</v>
      </c>
      <c r="E524" s="4">
        <v>45033</v>
      </c>
      <c r="F524" s="12">
        <f t="shared" si="112"/>
        <v>45033</v>
      </c>
      <c r="G524" s="13">
        <f t="shared" si="113"/>
        <v>5</v>
      </c>
      <c r="H524" t="s">
        <v>649</v>
      </c>
      <c r="I524" t="s">
        <v>657</v>
      </c>
      <c r="J524" t="s">
        <v>679</v>
      </c>
      <c r="K524" t="s">
        <v>706</v>
      </c>
      <c r="L524" t="s">
        <v>711</v>
      </c>
      <c r="M524" t="s">
        <v>718</v>
      </c>
      <c r="N524" t="s">
        <v>732</v>
      </c>
      <c r="O524" t="s">
        <v>869</v>
      </c>
      <c r="P524" s="6">
        <v>1087.81</v>
      </c>
      <c r="Q524" s="6">
        <v>2323.87</v>
      </c>
      <c r="R524" s="10">
        <v>9.4E-2</v>
      </c>
      <c r="S524" s="10" t="b">
        <f t="shared" si="116"/>
        <v>0</v>
      </c>
      <c r="T524" s="8">
        <v>13</v>
      </c>
      <c r="U524">
        <f t="shared" si="117"/>
        <v>27370.540859999997</v>
      </c>
      <c r="V524">
        <f t="shared" si="118"/>
        <v>14141.529999999999</v>
      </c>
      <c r="W524">
        <f t="shared" si="119"/>
        <v>13229.010859999999</v>
      </c>
      <c r="X524" s="10">
        <f t="shared" si="120"/>
        <v>0.48333026839572651</v>
      </c>
      <c r="Y524" t="str">
        <f t="shared" si="121"/>
        <v>High</v>
      </c>
      <c r="Z524" t="str">
        <f t="shared" si="122"/>
        <v>Met</v>
      </c>
      <c r="AA524" t="str">
        <f t="shared" si="123"/>
        <v>Low Discount</v>
      </c>
      <c r="AB524" s="10">
        <f>MIN(R524,ControlPanel!$B$5)</f>
        <v>9.4E-2</v>
      </c>
      <c r="AC524">
        <f>P524*(1+ControlPanel!$B$6)</f>
        <v>1142.2004999999999</v>
      </c>
      <c r="AD524">
        <f>T524*(1+ControlPanel!$B$7)</f>
        <v>14.3</v>
      </c>
      <c r="AE524" s="6">
        <f t="shared" si="124"/>
        <v>30107.594945999997</v>
      </c>
      <c r="AF524">
        <f t="shared" si="125"/>
        <v>13774.127795999997</v>
      </c>
    </row>
    <row r="525" spans="1:32" x14ac:dyDescent="0.3">
      <c r="A525" t="s">
        <v>292</v>
      </c>
      <c r="B525" s="4">
        <v>45459</v>
      </c>
      <c r="C525" s="4" t="str">
        <f t="shared" si="114"/>
        <v>Jun-2024</v>
      </c>
      <c r="D525" t="str">
        <f t="shared" si="115"/>
        <v>Q2-2024</v>
      </c>
      <c r="E525" s="4">
        <v>45476</v>
      </c>
      <c r="F525" s="12">
        <f t="shared" si="112"/>
        <v>45476</v>
      </c>
      <c r="G525" s="13">
        <f t="shared" si="113"/>
        <v>17</v>
      </c>
      <c r="H525" t="s">
        <v>646</v>
      </c>
      <c r="I525" t="s">
        <v>661</v>
      </c>
      <c r="J525" t="s">
        <v>682</v>
      </c>
      <c r="K525" t="s">
        <v>706</v>
      </c>
      <c r="L525" t="s">
        <v>709</v>
      </c>
      <c r="M525" t="s">
        <v>721</v>
      </c>
      <c r="N525" t="s">
        <v>730</v>
      </c>
      <c r="O525" t="s">
        <v>1012</v>
      </c>
      <c r="P525" s="6">
        <v>1173.83</v>
      </c>
      <c r="Q525" s="6">
        <v>2328.9</v>
      </c>
      <c r="R525" s="10">
        <v>0.12</v>
      </c>
      <c r="S525" s="10" t="b">
        <f t="shared" si="116"/>
        <v>0</v>
      </c>
      <c r="T525" s="8">
        <v>17</v>
      </c>
      <c r="U525">
        <f t="shared" si="117"/>
        <v>34840.344000000005</v>
      </c>
      <c r="V525">
        <f t="shared" si="118"/>
        <v>19955.11</v>
      </c>
      <c r="W525">
        <f t="shared" si="119"/>
        <v>14885.234000000004</v>
      </c>
      <c r="X525" s="10">
        <f t="shared" si="120"/>
        <v>0.42724130393201637</v>
      </c>
      <c r="Y525" t="str">
        <f t="shared" si="121"/>
        <v>High</v>
      </c>
      <c r="Z525" t="str">
        <f t="shared" si="122"/>
        <v>Not Met</v>
      </c>
      <c r="AA525" t="str">
        <f t="shared" si="123"/>
        <v>Low Discount</v>
      </c>
      <c r="AB525" s="10">
        <f>MIN(R525,ControlPanel!$B$5)</f>
        <v>0.12</v>
      </c>
      <c r="AC525">
        <f>P525*(1+ControlPanel!$B$6)</f>
        <v>1232.5215000000001</v>
      </c>
      <c r="AD525">
        <f>T525*(1+ControlPanel!$B$7)</f>
        <v>18.700000000000003</v>
      </c>
      <c r="AE525" s="6">
        <f t="shared" si="124"/>
        <v>38324.378400000009</v>
      </c>
      <c r="AF525">
        <f t="shared" si="125"/>
        <v>15276.226350000004</v>
      </c>
    </row>
    <row r="526" spans="1:32" x14ac:dyDescent="0.3">
      <c r="A526" t="s">
        <v>606</v>
      </c>
      <c r="B526" s="4">
        <v>44984</v>
      </c>
      <c r="C526" s="4" t="str">
        <f t="shared" si="114"/>
        <v>Feb-2023</v>
      </c>
      <c r="D526" t="str">
        <f t="shared" si="115"/>
        <v>Q1-2023</v>
      </c>
      <c r="E526" s="4">
        <v>44983</v>
      </c>
      <c r="F526" s="12">
        <f t="shared" si="112"/>
        <v>44998</v>
      </c>
      <c r="G526" s="13">
        <f t="shared" si="113"/>
        <v>14</v>
      </c>
      <c r="H526" t="s">
        <v>648</v>
      </c>
      <c r="I526" t="s">
        <v>660</v>
      </c>
      <c r="J526" t="s">
        <v>686</v>
      </c>
      <c r="K526" t="s">
        <v>703</v>
      </c>
      <c r="L526" t="s">
        <v>708</v>
      </c>
      <c r="M526" t="s">
        <v>716</v>
      </c>
      <c r="N526" t="s">
        <v>729</v>
      </c>
      <c r="O526" t="s">
        <v>1324</v>
      </c>
      <c r="P526" s="6">
        <v>1015.91</v>
      </c>
      <c r="Q526" s="6">
        <v>2331.48</v>
      </c>
      <c r="R526" s="10">
        <v>0.14599999999999999</v>
      </c>
      <c r="S526" s="10" t="b">
        <f t="shared" si="116"/>
        <v>0</v>
      </c>
      <c r="T526" s="8">
        <v>26</v>
      </c>
      <c r="U526">
        <f t="shared" si="117"/>
        <v>51768.181920000003</v>
      </c>
      <c r="V526">
        <f t="shared" si="118"/>
        <v>26413.66</v>
      </c>
      <c r="W526">
        <f t="shared" si="119"/>
        <v>25354.521920000003</v>
      </c>
      <c r="X526" s="10">
        <f t="shared" si="120"/>
        <v>0.48977037592669626</v>
      </c>
      <c r="Y526" t="str">
        <f t="shared" si="121"/>
        <v>High</v>
      </c>
      <c r="Z526" t="str">
        <f t="shared" si="122"/>
        <v>Not Met</v>
      </c>
      <c r="AA526" t="str">
        <f t="shared" si="123"/>
        <v>Low Discount</v>
      </c>
      <c r="AB526" s="10">
        <f>MIN(R526,ControlPanel!$B$5)</f>
        <v>0.14599999999999999</v>
      </c>
      <c r="AC526">
        <f>P526*(1+ControlPanel!$B$6)</f>
        <v>1066.7055</v>
      </c>
      <c r="AD526">
        <f>T526*(1+ControlPanel!$B$7)</f>
        <v>28.6</v>
      </c>
      <c r="AE526" s="6">
        <f t="shared" si="124"/>
        <v>56945.000112000002</v>
      </c>
      <c r="AF526">
        <f t="shared" si="125"/>
        <v>26437.222812</v>
      </c>
    </row>
    <row r="527" spans="1:32" x14ac:dyDescent="0.3">
      <c r="A527" t="s">
        <v>224</v>
      </c>
      <c r="B527" s="4">
        <v>45567</v>
      </c>
      <c r="C527" s="4" t="str">
        <f t="shared" si="114"/>
        <v>Oct-2024</v>
      </c>
      <c r="D527" t="str">
        <f t="shared" si="115"/>
        <v>Q4-2024</v>
      </c>
      <c r="E527" s="4">
        <v>45588</v>
      </c>
      <c r="F527" s="12">
        <f t="shared" si="112"/>
        <v>45588</v>
      </c>
      <c r="G527" s="13">
        <f t="shared" si="113"/>
        <v>21</v>
      </c>
      <c r="H527" t="s">
        <v>646</v>
      </c>
      <c r="I527" t="s">
        <v>661</v>
      </c>
      <c r="J527" t="s">
        <v>687</v>
      </c>
      <c r="K527" t="s">
        <v>701</v>
      </c>
      <c r="L527" t="s">
        <v>709</v>
      </c>
      <c r="M527" t="s">
        <v>720</v>
      </c>
      <c r="N527" t="s">
        <v>727</v>
      </c>
      <c r="O527" t="s">
        <v>944</v>
      </c>
      <c r="P527" s="6">
        <v>1095.6099999999999</v>
      </c>
      <c r="Q527" s="6">
        <v>2366.5100000000002</v>
      </c>
      <c r="R527" s="10">
        <v>0.152</v>
      </c>
      <c r="S527" s="10" t="b">
        <f t="shared" si="116"/>
        <v>0</v>
      </c>
      <c r="T527" s="8">
        <v>9</v>
      </c>
      <c r="U527">
        <f t="shared" si="117"/>
        <v>18061.204320000001</v>
      </c>
      <c r="V527">
        <f t="shared" si="118"/>
        <v>9860.49</v>
      </c>
      <c r="W527">
        <f t="shared" si="119"/>
        <v>8200.714320000001</v>
      </c>
      <c r="X527" s="10">
        <f t="shared" si="120"/>
        <v>0.45405135641586059</v>
      </c>
      <c r="Y527" t="str">
        <f t="shared" si="121"/>
        <v>High</v>
      </c>
      <c r="Z527" t="str">
        <f t="shared" si="122"/>
        <v>Not Met</v>
      </c>
      <c r="AA527" t="str">
        <f t="shared" si="123"/>
        <v>Low Discount</v>
      </c>
      <c r="AB527" s="10">
        <f>MIN(R527,ControlPanel!$B$5)</f>
        <v>0.152</v>
      </c>
      <c r="AC527">
        <f>P527*(1+ControlPanel!$B$6)</f>
        <v>1150.3905</v>
      </c>
      <c r="AD527">
        <f>T527*(1+ControlPanel!$B$7)</f>
        <v>9.9</v>
      </c>
      <c r="AE527" s="6">
        <f t="shared" si="124"/>
        <v>19867.324752</v>
      </c>
      <c r="AF527">
        <f t="shared" si="125"/>
        <v>8478.458802000001</v>
      </c>
    </row>
    <row r="528" spans="1:32" x14ac:dyDescent="0.3">
      <c r="A528" t="s">
        <v>33</v>
      </c>
      <c r="B528" s="4">
        <v>45858</v>
      </c>
      <c r="C528" s="4" t="str">
        <f t="shared" si="114"/>
        <v>Jul-2025</v>
      </c>
      <c r="D528" t="str">
        <f t="shared" si="115"/>
        <v>Q3-2025</v>
      </c>
      <c r="E528" s="4">
        <v>45874</v>
      </c>
      <c r="F528" s="12">
        <f t="shared" si="112"/>
        <v>45874</v>
      </c>
      <c r="G528" s="13">
        <f t="shared" si="113"/>
        <v>16</v>
      </c>
      <c r="H528" t="s">
        <v>648</v>
      </c>
      <c r="I528" t="s">
        <v>655</v>
      </c>
      <c r="J528" t="s">
        <v>672</v>
      </c>
      <c r="K528" t="s">
        <v>706</v>
      </c>
      <c r="L528" t="s">
        <v>709</v>
      </c>
      <c r="M528" t="s">
        <v>715</v>
      </c>
      <c r="N528" t="s">
        <v>733</v>
      </c>
      <c r="O528" t="s">
        <v>752</v>
      </c>
      <c r="P528" s="6">
        <v>1068.17</v>
      </c>
      <c r="Q528" s="6">
        <v>2375.37</v>
      </c>
      <c r="R528" s="10">
        <v>0.109</v>
      </c>
      <c r="S528" s="10" t="b">
        <f t="shared" si="116"/>
        <v>0</v>
      </c>
      <c r="T528" s="8">
        <v>18</v>
      </c>
      <c r="U528">
        <f t="shared" si="117"/>
        <v>38096.18406</v>
      </c>
      <c r="V528">
        <f t="shared" si="118"/>
        <v>19227.060000000001</v>
      </c>
      <c r="W528">
        <f t="shared" si="119"/>
        <v>18869.124059999998</v>
      </c>
      <c r="X528" s="10">
        <f t="shared" si="120"/>
        <v>0.49530220744108822</v>
      </c>
      <c r="Y528" t="str">
        <f t="shared" si="121"/>
        <v>High</v>
      </c>
      <c r="Z528" t="str">
        <f t="shared" si="122"/>
        <v>Not Met</v>
      </c>
      <c r="AA528" t="str">
        <f t="shared" si="123"/>
        <v>Low Discount</v>
      </c>
      <c r="AB528" s="10">
        <f>MIN(R528,ControlPanel!$B$5)</f>
        <v>0.109</v>
      </c>
      <c r="AC528">
        <f>P528*(1+ControlPanel!$B$6)</f>
        <v>1121.5785000000001</v>
      </c>
      <c r="AD528">
        <f>T528*(1+ControlPanel!$B$7)</f>
        <v>19.8</v>
      </c>
      <c r="AE528" s="6">
        <f t="shared" si="124"/>
        <v>41905.802466000001</v>
      </c>
      <c r="AF528">
        <f t="shared" si="125"/>
        <v>19698.548166</v>
      </c>
    </row>
    <row r="529" spans="1:32" x14ac:dyDescent="0.3">
      <c r="A529" t="s">
        <v>564</v>
      </c>
      <c r="B529" s="4">
        <v>45633</v>
      </c>
      <c r="C529" s="4" t="str">
        <f t="shared" si="114"/>
        <v>Dec-2024</v>
      </c>
      <c r="D529" t="str">
        <f t="shared" si="115"/>
        <v>Q4-2024</v>
      </c>
      <c r="E529" s="4">
        <v>45652</v>
      </c>
      <c r="F529" s="12">
        <f t="shared" si="112"/>
        <v>45652</v>
      </c>
      <c r="G529" s="13">
        <f t="shared" si="113"/>
        <v>19</v>
      </c>
      <c r="H529" t="s">
        <v>649</v>
      </c>
      <c r="I529" t="s">
        <v>658</v>
      </c>
      <c r="J529" t="s">
        <v>683</v>
      </c>
      <c r="K529" t="s">
        <v>706</v>
      </c>
      <c r="L529" t="s">
        <v>708</v>
      </c>
      <c r="M529" t="s">
        <v>726</v>
      </c>
      <c r="N529" t="s">
        <v>729</v>
      </c>
      <c r="O529" t="s">
        <v>1282</v>
      </c>
      <c r="P529" s="6">
        <v>1035.24</v>
      </c>
      <c r="Q529" s="6">
        <v>2383.41</v>
      </c>
      <c r="R529" s="10">
        <v>0.17</v>
      </c>
      <c r="S529" s="10" t="b">
        <f t="shared" si="116"/>
        <v>0</v>
      </c>
      <c r="T529" s="8">
        <v>15</v>
      </c>
      <c r="U529">
        <f t="shared" si="117"/>
        <v>29673.454499999996</v>
      </c>
      <c r="V529">
        <f t="shared" si="118"/>
        <v>15528.6</v>
      </c>
      <c r="W529">
        <f t="shared" si="119"/>
        <v>14144.854499999996</v>
      </c>
      <c r="X529" s="10">
        <f t="shared" si="120"/>
        <v>0.47668378145860968</v>
      </c>
      <c r="Y529" t="str">
        <f t="shared" si="121"/>
        <v>High</v>
      </c>
      <c r="Z529" t="str">
        <f t="shared" si="122"/>
        <v>Not Met</v>
      </c>
      <c r="AA529" t="str">
        <f t="shared" si="123"/>
        <v>Low Discount</v>
      </c>
      <c r="AB529" s="10">
        <f>MIN(R529,ControlPanel!$B$5)</f>
        <v>0.17</v>
      </c>
      <c r="AC529">
        <f>P529*(1+ControlPanel!$B$6)</f>
        <v>1087.002</v>
      </c>
      <c r="AD529">
        <f>T529*(1+ControlPanel!$B$7)</f>
        <v>16.5</v>
      </c>
      <c r="AE529" s="6">
        <f t="shared" si="124"/>
        <v>32640.799949999997</v>
      </c>
      <c r="AF529">
        <f t="shared" si="125"/>
        <v>14705.266949999997</v>
      </c>
    </row>
    <row r="530" spans="1:32" x14ac:dyDescent="0.3">
      <c r="A530" t="s">
        <v>643</v>
      </c>
      <c r="B530" s="4">
        <v>45267</v>
      </c>
      <c r="C530" s="4" t="str">
        <f t="shared" si="114"/>
        <v>Dec-2023</v>
      </c>
      <c r="D530" t="str">
        <f t="shared" si="115"/>
        <v>Q4-2023</v>
      </c>
      <c r="E530" s="4">
        <v>45293</v>
      </c>
      <c r="F530" s="12">
        <f t="shared" si="112"/>
        <v>45293</v>
      </c>
      <c r="G530" s="13">
        <f t="shared" si="113"/>
        <v>26</v>
      </c>
      <c r="H530" t="s">
        <v>649</v>
      </c>
      <c r="I530" t="s">
        <v>656</v>
      </c>
      <c r="J530" t="s">
        <v>698</v>
      </c>
      <c r="K530" t="s">
        <v>706</v>
      </c>
      <c r="L530" t="s">
        <v>710</v>
      </c>
      <c r="M530" t="s">
        <v>718</v>
      </c>
      <c r="N530" t="s">
        <v>727</v>
      </c>
      <c r="O530" t="s">
        <v>1361</v>
      </c>
      <c r="P530" s="6">
        <v>1071.99</v>
      </c>
      <c r="Q530" s="6">
        <v>2397.3000000000002</v>
      </c>
      <c r="R530" s="10">
        <v>6.2E-2</v>
      </c>
      <c r="S530" s="10" t="b">
        <f t="shared" si="116"/>
        <v>0</v>
      </c>
      <c r="T530" s="8">
        <v>18</v>
      </c>
      <c r="U530">
        <f t="shared" si="117"/>
        <v>40476.013199999994</v>
      </c>
      <c r="V530">
        <f t="shared" si="118"/>
        <v>19295.82</v>
      </c>
      <c r="W530">
        <f t="shared" si="119"/>
        <v>21180.193199999994</v>
      </c>
      <c r="X530" s="10">
        <f t="shared" si="120"/>
        <v>0.52327765324476172</v>
      </c>
      <c r="Y530" t="str">
        <f t="shared" si="121"/>
        <v>High</v>
      </c>
      <c r="Z530" t="str">
        <f t="shared" si="122"/>
        <v>Not Met</v>
      </c>
      <c r="AA530" t="str">
        <f t="shared" si="123"/>
        <v>Low Discount</v>
      </c>
      <c r="AB530" s="10">
        <f>MIN(R530,ControlPanel!$B$5)</f>
        <v>6.2E-2</v>
      </c>
      <c r="AC530">
        <f>P530*(1+ControlPanel!$B$6)</f>
        <v>1125.5895</v>
      </c>
      <c r="AD530">
        <f>T530*(1+ControlPanel!$B$7)</f>
        <v>19.8</v>
      </c>
      <c r="AE530" s="6">
        <f t="shared" si="124"/>
        <v>44523.614519999996</v>
      </c>
      <c r="AF530">
        <f t="shared" si="125"/>
        <v>22236.942419999992</v>
      </c>
    </row>
    <row r="531" spans="1:32" x14ac:dyDescent="0.3">
      <c r="A531" t="s">
        <v>164</v>
      </c>
      <c r="B531" s="4">
        <v>45558</v>
      </c>
      <c r="C531" s="4" t="str">
        <f t="shared" si="114"/>
        <v>Sep-2024</v>
      </c>
      <c r="D531" t="str">
        <f t="shared" si="115"/>
        <v>Q3-2024</v>
      </c>
      <c r="E531" s="4">
        <v>45583</v>
      </c>
      <c r="F531" s="12">
        <f t="shared" si="112"/>
        <v>45583</v>
      </c>
      <c r="G531" s="13">
        <f t="shared" si="113"/>
        <v>25</v>
      </c>
      <c r="H531" t="s">
        <v>648</v>
      </c>
      <c r="I531" t="s">
        <v>653</v>
      </c>
      <c r="J531" t="s">
        <v>688</v>
      </c>
      <c r="K531" t="s">
        <v>705</v>
      </c>
      <c r="L531" t="s">
        <v>708</v>
      </c>
      <c r="M531" t="s">
        <v>725</v>
      </c>
      <c r="N531" t="s">
        <v>730</v>
      </c>
      <c r="O531" t="s">
        <v>883</v>
      </c>
      <c r="P531" s="6">
        <v>1297</v>
      </c>
      <c r="Q531" s="6">
        <v>2411.52</v>
      </c>
      <c r="R531" s="10">
        <v>2.1000000000000001E-2</v>
      </c>
      <c r="S531" s="10" t="b">
        <f t="shared" si="116"/>
        <v>0</v>
      </c>
      <c r="T531" s="8">
        <v>18</v>
      </c>
      <c r="U531">
        <f t="shared" si="117"/>
        <v>42495.805439999996</v>
      </c>
      <c r="V531">
        <f t="shared" si="118"/>
        <v>23346</v>
      </c>
      <c r="W531">
        <f t="shared" si="119"/>
        <v>19149.805439999996</v>
      </c>
      <c r="X531" s="10">
        <f t="shared" si="120"/>
        <v>0.45062813239385913</v>
      </c>
      <c r="Y531" t="str">
        <f t="shared" si="121"/>
        <v>High</v>
      </c>
      <c r="Z531" t="str">
        <f t="shared" si="122"/>
        <v>Not Met</v>
      </c>
      <c r="AA531" t="str">
        <f t="shared" si="123"/>
        <v>Low Discount</v>
      </c>
      <c r="AB531" s="10">
        <f>MIN(R531,ControlPanel!$B$5)</f>
        <v>2.1000000000000001E-2</v>
      </c>
      <c r="AC531">
        <f>P531*(1+ControlPanel!$B$6)</f>
        <v>1361.8500000000001</v>
      </c>
      <c r="AD531">
        <f>T531*(1+ControlPanel!$B$7)</f>
        <v>19.8</v>
      </c>
      <c r="AE531" s="6">
        <f t="shared" si="124"/>
        <v>46745.385984</v>
      </c>
      <c r="AF531">
        <f t="shared" si="125"/>
        <v>19780.755983999996</v>
      </c>
    </row>
    <row r="532" spans="1:32" x14ac:dyDescent="0.3">
      <c r="A532" t="s">
        <v>334</v>
      </c>
      <c r="B532" s="4">
        <v>45440</v>
      </c>
      <c r="C532" s="4" t="str">
        <f t="shared" si="114"/>
        <v>May-2024</v>
      </c>
      <c r="D532" t="str">
        <f t="shared" si="115"/>
        <v>Q2-2024</v>
      </c>
      <c r="E532" s="4">
        <v>45461</v>
      </c>
      <c r="F532" s="12">
        <f t="shared" si="112"/>
        <v>45461</v>
      </c>
      <c r="G532" s="13">
        <f t="shared" si="113"/>
        <v>21</v>
      </c>
      <c r="H532" t="s">
        <v>649</v>
      </c>
      <c r="I532" t="s">
        <v>656</v>
      </c>
      <c r="J532" t="s">
        <v>698</v>
      </c>
      <c r="K532" t="s">
        <v>705</v>
      </c>
      <c r="L532" t="s">
        <v>708</v>
      </c>
      <c r="M532" t="s">
        <v>718</v>
      </c>
      <c r="N532" t="s">
        <v>730</v>
      </c>
      <c r="O532" t="s">
        <v>1054</v>
      </c>
      <c r="P532" s="6">
        <v>986.85</v>
      </c>
      <c r="Q532" s="6">
        <v>2422.1</v>
      </c>
      <c r="R532" s="10">
        <v>7.5999999999999998E-2</v>
      </c>
      <c r="S532" s="10" t="b">
        <f t="shared" si="116"/>
        <v>0</v>
      </c>
      <c r="T532" s="8">
        <v>10</v>
      </c>
      <c r="U532">
        <f t="shared" si="117"/>
        <v>22380.203999999998</v>
      </c>
      <c r="V532">
        <f t="shared" si="118"/>
        <v>9868.5</v>
      </c>
      <c r="W532">
        <f t="shared" si="119"/>
        <v>12511.703999999998</v>
      </c>
      <c r="X532" s="10">
        <f t="shared" si="120"/>
        <v>0.55905227673527902</v>
      </c>
      <c r="Y532" t="str">
        <f t="shared" si="121"/>
        <v>High</v>
      </c>
      <c r="Z532" t="str">
        <f t="shared" si="122"/>
        <v>Not Met</v>
      </c>
      <c r="AA532" t="str">
        <f t="shared" si="123"/>
        <v>Low Discount</v>
      </c>
      <c r="AB532" s="10">
        <f>MIN(R532,ControlPanel!$B$5)</f>
        <v>7.5999999999999998E-2</v>
      </c>
      <c r="AC532">
        <f>P532*(1+ControlPanel!$B$6)</f>
        <v>1036.1925000000001</v>
      </c>
      <c r="AD532">
        <f>T532*(1+ControlPanel!$B$7)</f>
        <v>11</v>
      </c>
      <c r="AE532" s="6">
        <f t="shared" si="124"/>
        <v>24618.224399999999</v>
      </c>
      <c r="AF532">
        <f t="shared" si="125"/>
        <v>13220.106899999999</v>
      </c>
    </row>
    <row r="533" spans="1:32" x14ac:dyDescent="0.3">
      <c r="A533" t="s">
        <v>346</v>
      </c>
      <c r="B533" s="4">
        <v>45168</v>
      </c>
      <c r="C533" s="4" t="str">
        <f t="shared" si="114"/>
        <v>Aug-2023</v>
      </c>
      <c r="D533" t="str">
        <f t="shared" si="115"/>
        <v>Q3-2023</v>
      </c>
      <c r="E533" s="4">
        <v>45172</v>
      </c>
      <c r="F533" s="12">
        <f t="shared" si="112"/>
        <v>45172</v>
      </c>
      <c r="G533" s="13">
        <f t="shared" si="113"/>
        <v>4</v>
      </c>
      <c r="H533" t="s">
        <v>647</v>
      </c>
      <c r="I533" t="s">
        <v>654</v>
      </c>
      <c r="J533" t="s">
        <v>680</v>
      </c>
      <c r="K533" t="s">
        <v>705</v>
      </c>
      <c r="L533" t="s">
        <v>709</v>
      </c>
      <c r="M533" t="s">
        <v>716</v>
      </c>
      <c r="N533" t="s">
        <v>733</v>
      </c>
      <c r="O533" t="s">
        <v>1066</v>
      </c>
      <c r="P533" s="6">
        <v>1082.25</v>
      </c>
      <c r="Q533" s="6">
        <v>2433.34</v>
      </c>
      <c r="R533" s="10">
        <v>0.27</v>
      </c>
      <c r="S533" s="10" t="b">
        <f t="shared" si="116"/>
        <v>0</v>
      </c>
      <c r="T533" s="8">
        <v>4</v>
      </c>
      <c r="U533">
        <f t="shared" si="117"/>
        <v>7105.3528000000006</v>
      </c>
      <c r="V533">
        <f t="shared" si="118"/>
        <v>4329</v>
      </c>
      <c r="W533">
        <f t="shared" si="119"/>
        <v>2776.3528000000006</v>
      </c>
      <c r="X533" s="10">
        <f t="shared" si="120"/>
        <v>0.3907410199251472</v>
      </c>
      <c r="Y533" t="str">
        <f t="shared" si="121"/>
        <v>High</v>
      </c>
      <c r="Z533" t="str">
        <f t="shared" si="122"/>
        <v>Met</v>
      </c>
      <c r="AA533" t="str">
        <f t="shared" si="123"/>
        <v>High Discount</v>
      </c>
      <c r="AB533" s="10">
        <f>MIN(R533,ControlPanel!$B$5)</f>
        <v>0.2</v>
      </c>
      <c r="AC533">
        <f>P533*(1+ControlPanel!$B$6)</f>
        <v>1136.3625</v>
      </c>
      <c r="AD533">
        <f>T533*(1+ControlPanel!$B$7)</f>
        <v>4.4000000000000004</v>
      </c>
      <c r="AE533" s="6">
        <f t="shared" si="124"/>
        <v>8565.3568000000014</v>
      </c>
      <c r="AF533">
        <f t="shared" si="125"/>
        <v>3565.3618000000015</v>
      </c>
    </row>
    <row r="534" spans="1:32" x14ac:dyDescent="0.3">
      <c r="A534" t="s">
        <v>370</v>
      </c>
      <c r="B534" s="4">
        <v>45883</v>
      </c>
      <c r="C534" s="4" t="str">
        <f t="shared" si="114"/>
        <v>Aug-2025</v>
      </c>
      <c r="D534" t="str">
        <f t="shared" si="115"/>
        <v>Q3-2025</v>
      </c>
      <c r="E534" s="4">
        <v>45911</v>
      </c>
      <c r="F534" s="12">
        <f t="shared" si="112"/>
        <v>45911</v>
      </c>
      <c r="G534" s="13">
        <f t="shared" si="113"/>
        <v>28</v>
      </c>
      <c r="H534" t="s">
        <v>648</v>
      </c>
      <c r="I534" t="s">
        <v>655</v>
      </c>
      <c r="J534" t="s">
        <v>670</v>
      </c>
      <c r="K534" t="s">
        <v>703</v>
      </c>
      <c r="L534" t="s">
        <v>711</v>
      </c>
      <c r="M534" t="s">
        <v>721</v>
      </c>
      <c r="N534" t="s">
        <v>728</v>
      </c>
      <c r="O534" t="s">
        <v>1090</v>
      </c>
      <c r="P534" s="6">
        <v>1203.02</v>
      </c>
      <c r="Q534" s="6">
        <v>2439.33</v>
      </c>
      <c r="R534" s="10">
        <v>0</v>
      </c>
      <c r="S534" s="10" t="b">
        <f t="shared" si="116"/>
        <v>0</v>
      </c>
      <c r="T534" s="8">
        <v>18</v>
      </c>
      <c r="U534">
        <f t="shared" si="117"/>
        <v>43907.94</v>
      </c>
      <c r="V534">
        <f t="shared" si="118"/>
        <v>21654.36</v>
      </c>
      <c r="W534">
        <f t="shared" si="119"/>
        <v>22253.58</v>
      </c>
      <c r="X534" s="10">
        <f t="shared" si="120"/>
        <v>0.50682359500354612</v>
      </c>
      <c r="Y534" t="str">
        <f t="shared" si="121"/>
        <v>High</v>
      </c>
      <c r="Z534" t="str">
        <f t="shared" si="122"/>
        <v>Not Met</v>
      </c>
      <c r="AA534" t="str">
        <f t="shared" si="123"/>
        <v>Low Discount</v>
      </c>
      <c r="AB534" s="10">
        <f>MIN(R534,ControlPanel!$B$5)</f>
        <v>0</v>
      </c>
      <c r="AC534">
        <f>P534*(1+ControlPanel!$B$6)</f>
        <v>1263.171</v>
      </c>
      <c r="AD534">
        <f>T534*(1+ControlPanel!$B$7)</f>
        <v>19.8</v>
      </c>
      <c r="AE534" s="6">
        <f t="shared" si="124"/>
        <v>48298.733999999997</v>
      </c>
      <c r="AF534">
        <f t="shared" si="125"/>
        <v>23287.948199999995</v>
      </c>
    </row>
    <row r="535" spans="1:32" x14ac:dyDescent="0.3">
      <c r="A535" t="s">
        <v>219</v>
      </c>
      <c r="B535" s="4">
        <v>45035</v>
      </c>
      <c r="C535" s="4" t="str">
        <f t="shared" si="114"/>
        <v>Apr-2023</v>
      </c>
      <c r="D535" t="str">
        <f t="shared" si="115"/>
        <v>Q2-2023</v>
      </c>
      <c r="E535" s="4">
        <v>45044</v>
      </c>
      <c r="F535" s="12">
        <f t="shared" si="112"/>
        <v>45044</v>
      </c>
      <c r="G535" s="13">
        <f t="shared" si="113"/>
        <v>9</v>
      </c>
      <c r="H535" t="s">
        <v>649</v>
      </c>
      <c r="I535" t="s">
        <v>656</v>
      </c>
      <c r="J535" t="s">
        <v>671</v>
      </c>
      <c r="K535" t="s">
        <v>702</v>
      </c>
      <c r="L535" t="s">
        <v>708</v>
      </c>
      <c r="M535" t="s">
        <v>718</v>
      </c>
      <c r="N535" t="s">
        <v>732</v>
      </c>
      <c r="O535" t="s">
        <v>939</v>
      </c>
      <c r="P535" s="6">
        <v>1178.42</v>
      </c>
      <c r="Q535" s="6">
        <v>2446.56</v>
      </c>
      <c r="R535" s="10">
        <v>2.9000000000000001E-2</v>
      </c>
      <c r="S535" s="10" t="b">
        <f t="shared" si="116"/>
        <v>0</v>
      </c>
      <c r="T535" s="8">
        <v>11</v>
      </c>
      <c r="U535">
        <f t="shared" si="117"/>
        <v>26131.707359999997</v>
      </c>
      <c r="V535">
        <f t="shared" si="118"/>
        <v>12962.62</v>
      </c>
      <c r="W535">
        <f t="shared" si="119"/>
        <v>13169.087359999996</v>
      </c>
      <c r="X535" s="10">
        <f t="shared" si="120"/>
        <v>0.50395051416188819</v>
      </c>
      <c r="Y535" t="str">
        <f t="shared" si="121"/>
        <v>High</v>
      </c>
      <c r="Z535" t="str">
        <f t="shared" si="122"/>
        <v>Not Met</v>
      </c>
      <c r="AA535" t="str">
        <f t="shared" si="123"/>
        <v>Low Discount</v>
      </c>
      <c r="AB535" s="10">
        <f>MIN(R535,ControlPanel!$B$5)</f>
        <v>2.9000000000000001E-2</v>
      </c>
      <c r="AC535">
        <f>P535*(1+ControlPanel!$B$6)</f>
        <v>1237.3410000000001</v>
      </c>
      <c r="AD535">
        <f>T535*(1+ControlPanel!$B$7)</f>
        <v>12.100000000000001</v>
      </c>
      <c r="AE535" s="6">
        <f t="shared" si="124"/>
        <v>28744.878096</v>
      </c>
      <c r="AF535">
        <f t="shared" si="125"/>
        <v>13773.051995999997</v>
      </c>
    </row>
    <row r="536" spans="1:32" x14ac:dyDescent="0.3">
      <c r="A536" t="s">
        <v>561</v>
      </c>
      <c r="B536" s="4">
        <v>45177</v>
      </c>
      <c r="C536" s="4" t="str">
        <f t="shared" si="114"/>
        <v>Sep-2023</v>
      </c>
      <c r="D536" t="str">
        <f t="shared" si="115"/>
        <v>Q3-2023</v>
      </c>
      <c r="E536" s="4">
        <v>45201</v>
      </c>
      <c r="F536" s="12">
        <f t="shared" si="112"/>
        <v>45201</v>
      </c>
      <c r="G536" s="13">
        <f t="shared" si="113"/>
        <v>24</v>
      </c>
      <c r="H536" t="s">
        <v>648</v>
      </c>
      <c r="I536" t="s">
        <v>653</v>
      </c>
      <c r="J536" t="s">
        <v>667</v>
      </c>
      <c r="K536" t="s">
        <v>702</v>
      </c>
      <c r="L536" t="s">
        <v>711</v>
      </c>
      <c r="M536" t="s">
        <v>720</v>
      </c>
      <c r="N536" t="s">
        <v>733</v>
      </c>
      <c r="O536" t="s">
        <v>1279</v>
      </c>
      <c r="P536" s="6">
        <v>1299.03</v>
      </c>
      <c r="Q536" s="6">
        <v>2451.2199999999998</v>
      </c>
      <c r="R536" s="10">
        <v>0.20799999999999999</v>
      </c>
      <c r="S536" s="10" t="b">
        <f t="shared" si="116"/>
        <v>0</v>
      </c>
      <c r="T536" s="8">
        <v>8</v>
      </c>
      <c r="U536">
        <f t="shared" si="117"/>
        <v>15530.929919999999</v>
      </c>
      <c r="V536">
        <f t="shared" si="118"/>
        <v>10392.24</v>
      </c>
      <c r="W536">
        <f t="shared" si="119"/>
        <v>5138.6899199999989</v>
      </c>
      <c r="X536" s="10">
        <f t="shared" si="120"/>
        <v>0.3308681416032041</v>
      </c>
      <c r="Y536" t="str">
        <f t="shared" si="121"/>
        <v>High</v>
      </c>
      <c r="Z536" t="str">
        <f t="shared" si="122"/>
        <v>Not Met</v>
      </c>
      <c r="AA536" t="str">
        <f t="shared" si="123"/>
        <v>High Discount</v>
      </c>
      <c r="AB536" s="10">
        <f>MIN(R536,ControlPanel!$B$5)</f>
        <v>0.2</v>
      </c>
      <c r="AC536">
        <f>P536*(1+ControlPanel!$B$6)</f>
        <v>1363.9815000000001</v>
      </c>
      <c r="AD536">
        <f>T536*(1+ControlPanel!$B$7)</f>
        <v>8.8000000000000007</v>
      </c>
      <c r="AE536" s="6">
        <f t="shared" si="124"/>
        <v>17256.588800000001</v>
      </c>
      <c r="AF536">
        <f t="shared" si="125"/>
        <v>5253.5515999999989</v>
      </c>
    </row>
    <row r="537" spans="1:32" x14ac:dyDescent="0.3">
      <c r="A537" t="s">
        <v>281</v>
      </c>
      <c r="B537" s="4">
        <v>45053</v>
      </c>
      <c r="C537" s="4" t="str">
        <f t="shared" si="114"/>
        <v>May-2023</v>
      </c>
      <c r="D537" t="str">
        <f t="shared" si="115"/>
        <v>Q2-2023</v>
      </c>
      <c r="E537" s="4">
        <v>45051</v>
      </c>
      <c r="F537" s="12">
        <f t="shared" si="112"/>
        <v>45067</v>
      </c>
      <c r="G537" s="13">
        <f t="shared" si="113"/>
        <v>14</v>
      </c>
      <c r="H537" t="s">
        <v>646</v>
      </c>
      <c r="I537" t="s">
        <v>651</v>
      </c>
      <c r="J537" t="s">
        <v>663</v>
      </c>
      <c r="K537" t="s">
        <v>703</v>
      </c>
      <c r="L537" t="s">
        <v>709</v>
      </c>
      <c r="M537" t="s">
        <v>720</v>
      </c>
      <c r="N537" t="s">
        <v>727</v>
      </c>
      <c r="O537" t="s">
        <v>1001</v>
      </c>
      <c r="P537" s="6">
        <v>1269.6500000000001</v>
      </c>
      <c r="Q537" s="6">
        <v>2462.77</v>
      </c>
      <c r="R537" s="10">
        <v>0.107</v>
      </c>
      <c r="S537" s="10" t="b">
        <f t="shared" si="116"/>
        <v>0</v>
      </c>
      <c r="T537" s="8">
        <v>8</v>
      </c>
      <c r="U537">
        <f t="shared" si="117"/>
        <v>17594.028880000002</v>
      </c>
      <c r="V537">
        <f t="shared" si="118"/>
        <v>10157.200000000001</v>
      </c>
      <c r="W537">
        <f t="shared" si="119"/>
        <v>7436.8288800000009</v>
      </c>
      <c r="X537" s="10">
        <f t="shared" si="120"/>
        <v>0.42269050089225502</v>
      </c>
      <c r="Y537" t="str">
        <f t="shared" si="121"/>
        <v>High</v>
      </c>
      <c r="Z537" t="str">
        <f t="shared" si="122"/>
        <v>Not Met</v>
      </c>
      <c r="AA537" t="str">
        <f t="shared" si="123"/>
        <v>Low Discount</v>
      </c>
      <c r="AB537" s="10">
        <f>MIN(R537,ControlPanel!$B$5)</f>
        <v>0.107</v>
      </c>
      <c r="AC537">
        <f>P537*(1+ControlPanel!$B$6)</f>
        <v>1333.1325000000002</v>
      </c>
      <c r="AD537">
        <f>T537*(1+ControlPanel!$B$7)</f>
        <v>8.8000000000000007</v>
      </c>
      <c r="AE537" s="6">
        <f t="shared" si="124"/>
        <v>19353.431768000002</v>
      </c>
      <c r="AF537">
        <f t="shared" si="125"/>
        <v>7621.8657679999997</v>
      </c>
    </row>
    <row r="538" spans="1:32" x14ac:dyDescent="0.3">
      <c r="A538" t="s">
        <v>110</v>
      </c>
      <c r="B538" s="4">
        <v>45022</v>
      </c>
      <c r="C538" s="4" t="str">
        <f t="shared" si="114"/>
        <v>Apr-2023</v>
      </c>
      <c r="D538" t="str">
        <f t="shared" si="115"/>
        <v>Q2-2023</v>
      </c>
      <c r="E538" s="4">
        <v>45043</v>
      </c>
      <c r="F538" s="12">
        <f t="shared" si="112"/>
        <v>45043</v>
      </c>
      <c r="G538" s="13">
        <f t="shared" si="113"/>
        <v>21</v>
      </c>
      <c r="H538" t="s">
        <v>649</v>
      </c>
      <c r="I538" t="s">
        <v>658</v>
      </c>
      <c r="J538" t="s">
        <v>693</v>
      </c>
      <c r="K538" t="s">
        <v>706</v>
      </c>
      <c r="L538" t="s">
        <v>710</v>
      </c>
      <c r="M538" t="s">
        <v>714</v>
      </c>
      <c r="N538" t="s">
        <v>728</v>
      </c>
      <c r="O538" t="s">
        <v>829</v>
      </c>
      <c r="P538" s="6">
        <v>1084.79</v>
      </c>
      <c r="Q538" s="6">
        <v>2484.9899999999998</v>
      </c>
      <c r="R538" s="10">
        <v>3.4000000000000002E-2</v>
      </c>
      <c r="S538" s="10" t="b">
        <f t="shared" si="116"/>
        <v>0</v>
      </c>
      <c r="T538" s="8">
        <v>18</v>
      </c>
      <c r="U538">
        <f t="shared" si="117"/>
        <v>43209.006119999991</v>
      </c>
      <c r="V538">
        <f t="shared" si="118"/>
        <v>19526.22</v>
      </c>
      <c r="W538">
        <f t="shared" si="119"/>
        <v>23682.78611999999</v>
      </c>
      <c r="X538" s="10">
        <f t="shared" si="120"/>
        <v>0.54809837685755114</v>
      </c>
      <c r="Y538" t="str">
        <f t="shared" si="121"/>
        <v>High</v>
      </c>
      <c r="Z538" t="str">
        <f t="shared" si="122"/>
        <v>Not Met</v>
      </c>
      <c r="AA538" t="str">
        <f t="shared" si="123"/>
        <v>Low Discount</v>
      </c>
      <c r="AB538" s="10">
        <f>MIN(R538,ControlPanel!$B$5)</f>
        <v>3.4000000000000002E-2</v>
      </c>
      <c r="AC538">
        <f>P538*(1+ControlPanel!$B$6)</f>
        <v>1139.0295000000001</v>
      </c>
      <c r="AD538">
        <f>T538*(1+ControlPanel!$B$7)</f>
        <v>19.8</v>
      </c>
      <c r="AE538" s="6">
        <f t="shared" si="124"/>
        <v>47529.906731999996</v>
      </c>
      <c r="AF538">
        <f t="shared" si="125"/>
        <v>24977.122631999991</v>
      </c>
    </row>
    <row r="539" spans="1:32" x14ac:dyDescent="0.3">
      <c r="A539" t="s">
        <v>338</v>
      </c>
      <c r="B539" s="4">
        <v>45544</v>
      </c>
      <c r="C539" s="4" t="str">
        <f t="shared" si="114"/>
        <v>Sep-2024</v>
      </c>
      <c r="D539" t="str">
        <f t="shared" si="115"/>
        <v>Q3-2024</v>
      </c>
      <c r="E539" s="4">
        <v>45573</v>
      </c>
      <c r="F539" s="12">
        <f t="shared" si="112"/>
        <v>45573</v>
      </c>
      <c r="G539" s="13">
        <f t="shared" si="113"/>
        <v>29</v>
      </c>
      <c r="H539" t="s">
        <v>648</v>
      </c>
      <c r="I539" t="s">
        <v>655</v>
      </c>
      <c r="J539" t="s">
        <v>670</v>
      </c>
      <c r="K539" t="s">
        <v>702</v>
      </c>
      <c r="L539" t="s">
        <v>711</v>
      </c>
      <c r="M539" t="s">
        <v>713</v>
      </c>
      <c r="N539" t="s">
        <v>727</v>
      </c>
      <c r="O539" t="s">
        <v>1058</v>
      </c>
      <c r="P539" s="6">
        <v>1010.33</v>
      </c>
      <c r="Q539" s="6">
        <v>2492.14</v>
      </c>
      <c r="R539" s="10">
        <v>5.0999999999999997E-2</v>
      </c>
      <c r="S539" s="10" t="b">
        <f t="shared" si="116"/>
        <v>0</v>
      </c>
      <c r="T539" s="8">
        <v>11</v>
      </c>
      <c r="U539">
        <f t="shared" si="117"/>
        <v>26015.449459999996</v>
      </c>
      <c r="V539">
        <f t="shared" si="118"/>
        <v>11113.630000000001</v>
      </c>
      <c r="W539">
        <f t="shared" si="119"/>
        <v>14901.819459999995</v>
      </c>
      <c r="X539" s="10">
        <f t="shared" si="120"/>
        <v>0.57280653493656752</v>
      </c>
      <c r="Y539" t="str">
        <f t="shared" si="121"/>
        <v>High</v>
      </c>
      <c r="Z539" t="str">
        <f t="shared" si="122"/>
        <v>Not Met</v>
      </c>
      <c r="AA539" t="str">
        <f t="shared" si="123"/>
        <v>Low Discount</v>
      </c>
      <c r="AB539" s="10">
        <f>MIN(R539,ControlPanel!$B$5)</f>
        <v>5.0999999999999997E-2</v>
      </c>
      <c r="AC539">
        <f>P539*(1+ControlPanel!$B$6)</f>
        <v>1060.8465000000001</v>
      </c>
      <c r="AD539">
        <f>T539*(1+ControlPanel!$B$7)</f>
        <v>12.100000000000001</v>
      </c>
      <c r="AE539" s="6">
        <f t="shared" si="124"/>
        <v>28616.994405999998</v>
      </c>
      <c r="AF539">
        <f t="shared" si="125"/>
        <v>15780.751755999996</v>
      </c>
    </row>
    <row r="540" spans="1:32" x14ac:dyDescent="0.3">
      <c r="A540" t="s">
        <v>280</v>
      </c>
      <c r="B540" s="4">
        <v>45573</v>
      </c>
      <c r="C540" s="4" t="str">
        <f t="shared" si="114"/>
        <v>Oct-2024</v>
      </c>
      <c r="D540" t="str">
        <f t="shared" si="115"/>
        <v>Q4-2024</v>
      </c>
      <c r="E540" s="4">
        <v>45573</v>
      </c>
      <c r="F540" s="12">
        <f t="shared" si="112"/>
        <v>45573</v>
      </c>
      <c r="G540" s="13">
        <f t="shared" si="113"/>
        <v>0</v>
      </c>
      <c r="H540" t="s">
        <v>649</v>
      </c>
      <c r="I540" t="s">
        <v>658</v>
      </c>
      <c r="J540" t="s">
        <v>683</v>
      </c>
      <c r="K540" t="s">
        <v>701</v>
      </c>
      <c r="L540" t="s">
        <v>708</v>
      </c>
      <c r="M540" t="s">
        <v>718</v>
      </c>
      <c r="N540" t="s">
        <v>732</v>
      </c>
      <c r="O540" t="s">
        <v>1000</v>
      </c>
      <c r="P540" s="6">
        <v>1108.1099999999999</v>
      </c>
      <c r="Q540" s="6">
        <v>2503.79</v>
      </c>
      <c r="R540" s="10">
        <v>0.184</v>
      </c>
      <c r="S540" s="10" t="b">
        <f t="shared" si="116"/>
        <v>0</v>
      </c>
      <c r="T540" s="8">
        <v>19</v>
      </c>
      <c r="U540">
        <f t="shared" si="117"/>
        <v>38818.760159999998</v>
      </c>
      <c r="V540">
        <f t="shared" si="118"/>
        <v>21054.089999999997</v>
      </c>
      <c r="W540">
        <f t="shared" si="119"/>
        <v>17764.670160000001</v>
      </c>
      <c r="X540" s="10">
        <f t="shared" si="120"/>
        <v>0.45763105485025884</v>
      </c>
      <c r="Y540" t="str">
        <f t="shared" si="121"/>
        <v>High</v>
      </c>
      <c r="Z540" t="str">
        <f t="shared" si="122"/>
        <v>Met</v>
      </c>
      <c r="AA540" t="str">
        <f t="shared" si="123"/>
        <v>Low Discount</v>
      </c>
      <c r="AB540" s="10">
        <f>MIN(R540,ControlPanel!$B$5)</f>
        <v>0.184</v>
      </c>
      <c r="AC540">
        <f>P540*(1+ControlPanel!$B$6)</f>
        <v>1163.5155</v>
      </c>
      <c r="AD540">
        <f>T540*(1+ControlPanel!$B$7)</f>
        <v>20.900000000000002</v>
      </c>
      <c r="AE540" s="6">
        <f t="shared" si="124"/>
        <v>42700.636176000007</v>
      </c>
      <c r="AF540">
        <f t="shared" si="125"/>
        <v>18383.162226000004</v>
      </c>
    </row>
    <row r="541" spans="1:32" x14ac:dyDescent="0.3">
      <c r="A541" t="s">
        <v>427</v>
      </c>
      <c r="B541" s="4">
        <v>45163</v>
      </c>
      <c r="C541" s="4" t="str">
        <f t="shared" si="114"/>
        <v>Aug-2023</v>
      </c>
      <c r="D541" t="str">
        <f t="shared" si="115"/>
        <v>Q3-2023</v>
      </c>
      <c r="E541" s="4">
        <v>45185</v>
      </c>
      <c r="F541" s="12">
        <f t="shared" si="112"/>
        <v>45185</v>
      </c>
      <c r="G541" s="13">
        <f t="shared" si="113"/>
        <v>22</v>
      </c>
      <c r="H541" t="s">
        <v>646</v>
      </c>
      <c r="I541" t="s">
        <v>651</v>
      </c>
      <c r="J541" t="s">
        <v>669</v>
      </c>
      <c r="K541" t="s">
        <v>701</v>
      </c>
      <c r="L541" t="s">
        <v>709</v>
      </c>
      <c r="M541" t="s">
        <v>716</v>
      </c>
      <c r="N541" t="s">
        <v>730</v>
      </c>
      <c r="O541" t="s">
        <v>1146</v>
      </c>
      <c r="P541" s="6">
        <v>1196.83</v>
      </c>
      <c r="Q541" s="6">
        <v>2513.5100000000002</v>
      </c>
      <c r="R541" s="10">
        <v>8.3000000000000004E-2</v>
      </c>
      <c r="S541" s="10" t="b">
        <f t="shared" si="116"/>
        <v>0</v>
      </c>
      <c r="T541" s="8">
        <v>7</v>
      </c>
      <c r="U541">
        <f t="shared" si="117"/>
        <v>16134.220690000002</v>
      </c>
      <c r="V541">
        <f t="shared" si="118"/>
        <v>8377.81</v>
      </c>
      <c r="W541">
        <f t="shared" si="119"/>
        <v>7756.4106900000024</v>
      </c>
      <c r="X541" s="10">
        <f t="shared" si="120"/>
        <v>0.4807428160944538</v>
      </c>
      <c r="Y541" t="str">
        <f t="shared" si="121"/>
        <v>High</v>
      </c>
      <c r="Z541" t="str">
        <f t="shared" si="122"/>
        <v>Not Met</v>
      </c>
      <c r="AA541" t="str">
        <f t="shared" si="123"/>
        <v>Low Discount</v>
      </c>
      <c r="AB541" s="10">
        <f>MIN(R541,ControlPanel!$B$5)</f>
        <v>8.3000000000000004E-2</v>
      </c>
      <c r="AC541">
        <f>P541*(1+ControlPanel!$B$6)</f>
        <v>1256.6714999999999</v>
      </c>
      <c r="AD541">
        <f>T541*(1+ControlPanel!$B$7)</f>
        <v>7.7000000000000011</v>
      </c>
      <c r="AE541" s="6">
        <f t="shared" si="124"/>
        <v>17747.642759000006</v>
      </c>
      <c r="AF541">
        <f t="shared" si="125"/>
        <v>8071.2722090000043</v>
      </c>
    </row>
    <row r="542" spans="1:32" x14ac:dyDescent="0.3">
      <c r="A542" t="s">
        <v>239</v>
      </c>
      <c r="B542" s="4">
        <v>45279</v>
      </c>
      <c r="C542" s="4" t="str">
        <f t="shared" si="114"/>
        <v>Dec-2023</v>
      </c>
      <c r="D542" t="str">
        <f t="shared" si="115"/>
        <v>Q4-2023</v>
      </c>
      <c r="E542" s="4">
        <v>45280</v>
      </c>
      <c r="F542" s="12">
        <f t="shared" si="112"/>
        <v>45280</v>
      </c>
      <c r="G542" s="13">
        <f t="shared" si="113"/>
        <v>1</v>
      </c>
      <c r="H542" t="s">
        <v>648</v>
      </c>
      <c r="I542" t="s">
        <v>655</v>
      </c>
      <c r="J542" t="s">
        <v>692</v>
      </c>
      <c r="K542" t="s">
        <v>704</v>
      </c>
      <c r="L542" t="s">
        <v>710</v>
      </c>
      <c r="M542" t="s">
        <v>713</v>
      </c>
      <c r="N542" t="s">
        <v>730</v>
      </c>
      <c r="O542" t="s">
        <v>959</v>
      </c>
      <c r="P542" s="6">
        <v>1080.43</v>
      </c>
      <c r="Q542" s="6">
        <v>2529.15</v>
      </c>
      <c r="R542" s="10">
        <v>0.14699999999999999</v>
      </c>
      <c r="S542" s="10" t="b">
        <f t="shared" si="116"/>
        <v>0</v>
      </c>
      <c r="T542" s="8">
        <v>10</v>
      </c>
      <c r="U542">
        <f t="shared" si="117"/>
        <v>21573.6495</v>
      </c>
      <c r="V542">
        <f t="shared" si="118"/>
        <v>10804.300000000001</v>
      </c>
      <c r="W542">
        <f t="shared" si="119"/>
        <v>10769.349499999998</v>
      </c>
      <c r="X542" s="10">
        <f t="shared" si="120"/>
        <v>0.49918997247081437</v>
      </c>
      <c r="Y542" t="str">
        <f t="shared" si="121"/>
        <v>High</v>
      </c>
      <c r="Z542" t="str">
        <f t="shared" si="122"/>
        <v>Met</v>
      </c>
      <c r="AA542" t="str">
        <f t="shared" si="123"/>
        <v>Low Discount</v>
      </c>
      <c r="AB542" s="10">
        <f>MIN(R542,ControlPanel!$B$5)</f>
        <v>0.14699999999999999</v>
      </c>
      <c r="AC542">
        <f>P542*(1+ControlPanel!$B$6)</f>
        <v>1134.4515000000001</v>
      </c>
      <c r="AD542">
        <f>T542*(1+ControlPanel!$B$7)</f>
        <v>11</v>
      </c>
      <c r="AE542" s="6">
        <f t="shared" si="124"/>
        <v>23731.014450000002</v>
      </c>
      <c r="AF542">
        <f t="shared" si="125"/>
        <v>11252.04795</v>
      </c>
    </row>
    <row r="543" spans="1:32" x14ac:dyDescent="0.3">
      <c r="A543" t="s">
        <v>23</v>
      </c>
      <c r="B543" s="4">
        <v>45416</v>
      </c>
      <c r="C543" s="4" t="str">
        <f t="shared" si="114"/>
        <v>May-2024</v>
      </c>
      <c r="D543" t="str">
        <f t="shared" si="115"/>
        <v>Q2-2024</v>
      </c>
      <c r="E543" s="4">
        <v>45441</v>
      </c>
      <c r="F543" s="12">
        <f t="shared" si="112"/>
        <v>45441</v>
      </c>
      <c r="G543" s="13">
        <f t="shared" si="113"/>
        <v>25</v>
      </c>
      <c r="H543" t="s">
        <v>646</v>
      </c>
      <c r="I543" t="s">
        <v>651</v>
      </c>
      <c r="J543" t="s">
        <v>669</v>
      </c>
      <c r="K543" t="s">
        <v>703</v>
      </c>
      <c r="L543" t="s">
        <v>709</v>
      </c>
      <c r="M543" t="s">
        <v>719</v>
      </c>
      <c r="N543" t="s">
        <v>732</v>
      </c>
      <c r="O543" t="s">
        <v>742</v>
      </c>
      <c r="P543" s="6">
        <v>1295.3399999999999</v>
      </c>
      <c r="Q543" s="6">
        <v>2530.81</v>
      </c>
      <c r="R543" s="10">
        <v>3.1E-2</v>
      </c>
      <c r="S543" s="10" t="b">
        <f t="shared" si="116"/>
        <v>0</v>
      </c>
      <c r="T543" s="8">
        <v>6</v>
      </c>
      <c r="U543">
        <f t="shared" si="117"/>
        <v>14714.12934</v>
      </c>
      <c r="V543">
        <f t="shared" si="118"/>
        <v>7772.0399999999991</v>
      </c>
      <c r="W543">
        <f t="shared" si="119"/>
        <v>6942.0893400000004</v>
      </c>
      <c r="X543" s="10">
        <f t="shared" si="120"/>
        <v>0.4717974933880798</v>
      </c>
      <c r="Y543" t="str">
        <f t="shared" si="121"/>
        <v>High</v>
      </c>
      <c r="Z543" t="str">
        <f t="shared" si="122"/>
        <v>Not Met</v>
      </c>
      <c r="AA543" t="str">
        <f t="shared" si="123"/>
        <v>Low Discount</v>
      </c>
      <c r="AB543" s="10">
        <f>MIN(R543,ControlPanel!$B$5)</f>
        <v>3.1E-2</v>
      </c>
      <c r="AC543">
        <f>P543*(1+ControlPanel!$B$6)</f>
        <v>1360.107</v>
      </c>
      <c r="AD543">
        <f>T543*(1+ControlPanel!$B$7)</f>
        <v>6.6000000000000005</v>
      </c>
      <c r="AE543" s="6">
        <f t="shared" si="124"/>
        <v>16185.542274000001</v>
      </c>
      <c r="AF543">
        <f t="shared" si="125"/>
        <v>7208.8360740000007</v>
      </c>
    </row>
    <row r="544" spans="1:32" x14ac:dyDescent="0.3">
      <c r="A544" t="s">
        <v>492</v>
      </c>
      <c r="B544" s="4">
        <v>45123</v>
      </c>
      <c r="C544" s="4" t="str">
        <f t="shared" si="114"/>
        <v>Jul-2023</v>
      </c>
      <c r="D544" t="str">
        <f t="shared" si="115"/>
        <v>Q3-2023</v>
      </c>
      <c r="E544" s="4">
        <v>45151</v>
      </c>
      <c r="F544" s="12">
        <f t="shared" si="112"/>
        <v>45151</v>
      </c>
      <c r="G544" s="13">
        <f t="shared" si="113"/>
        <v>28</v>
      </c>
      <c r="H544" t="s">
        <v>649</v>
      </c>
      <c r="I544" t="s">
        <v>658</v>
      </c>
      <c r="J544" t="s">
        <v>693</v>
      </c>
      <c r="K544" t="s">
        <v>703</v>
      </c>
      <c r="L544" t="s">
        <v>708</v>
      </c>
      <c r="M544" t="s">
        <v>713</v>
      </c>
      <c r="N544" t="s">
        <v>731</v>
      </c>
      <c r="O544" t="s">
        <v>1211</v>
      </c>
      <c r="P544" s="6">
        <v>1039.03</v>
      </c>
      <c r="Q544" s="6">
        <v>2545.81</v>
      </c>
      <c r="R544" s="10">
        <v>0.216</v>
      </c>
      <c r="S544" s="10" t="b">
        <f t="shared" si="116"/>
        <v>0</v>
      </c>
      <c r="T544" s="8">
        <v>21</v>
      </c>
      <c r="U544">
        <f t="shared" si="117"/>
        <v>41914.215840000004</v>
      </c>
      <c r="V544">
        <f t="shared" si="118"/>
        <v>21819.63</v>
      </c>
      <c r="W544">
        <f t="shared" si="119"/>
        <v>20094.585840000003</v>
      </c>
      <c r="X544" s="10">
        <f t="shared" si="120"/>
        <v>0.47942172929364774</v>
      </c>
      <c r="Y544" t="str">
        <f t="shared" si="121"/>
        <v>High</v>
      </c>
      <c r="Z544" t="str">
        <f t="shared" si="122"/>
        <v>Not Met</v>
      </c>
      <c r="AA544" t="str">
        <f t="shared" si="123"/>
        <v>High Discount</v>
      </c>
      <c r="AB544" s="10">
        <f>MIN(R544,ControlPanel!$B$5)</f>
        <v>0.2</v>
      </c>
      <c r="AC544">
        <f>P544*(1+ControlPanel!$B$6)</f>
        <v>1090.9815000000001</v>
      </c>
      <c r="AD544">
        <f>T544*(1+ControlPanel!$B$7)</f>
        <v>23.1</v>
      </c>
      <c r="AE544" s="6">
        <f t="shared" si="124"/>
        <v>47046.568800000008</v>
      </c>
      <c r="AF544">
        <f t="shared" si="125"/>
        <v>21844.896150000004</v>
      </c>
    </row>
    <row r="545" spans="1:32" x14ac:dyDescent="0.3">
      <c r="A545" t="s">
        <v>174</v>
      </c>
      <c r="B545" s="4">
        <v>45870</v>
      </c>
      <c r="C545" s="4" t="str">
        <f t="shared" si="114"/>
        <v>Aug-2025</v>
      </c>
      <c r="D545" t="str">
        <f t="shared" si="115"/>
        <v>Q3-2025</v>
      </c>
      <c r="E545" s="4">
        <v>45890</v>
      </c>
      <c r="F545" s="12">
        <f t="shared" si="112"/>
        <v>45890</v>
      </c>
      <c r="G545" s="13">
        <f t="shared" si="113"/>
        <v>20</v>
      </c>
      <c r="H545" t="s">
        <v>647</v>
      </c>
      <c r="I545" t="s">
        <v>659</v>
      </c>
      <c r="J545" t="s">
        <v>685</v>
      </c>
      <c r="K545" t="s">
        <v>701</v>
      </c>
      <c r="L545" t="s">
        <v>711</v>
      </c>
      <c r="M545" t="s">
        <v>714</v>
      </c>
      <c r="N545" t="s">
        <v>730</v>
      </c>
      <c r="O545" t="s">
        <v>893</v>
      </c>
      <c r="P545" s="6">
        <v>1220.4100000000001</v>
      </c>
      <c r="Q545" s="6">
        <v>2552.2199999999998</v>
      </c>
      <c r="R545" s="10">
        <v>0.18099999999999999</v>
      </c>
      <c r="S545" s="10" t="b">
        <f t="shared" si="116"/>
        <v>0</v>
      </c>
      <c r="T545" s="8">
        <v>14</v>
      </c>
      <c r="U545">
        <f t="shared" si="117"/>
        <v>29263.754519999995</v>
      </c>
      <c r="V545">
        <f t="shared" si="118"/>
        <v>17085.740000000002</v>
      </c>
      <c r="W545">
        <f t="shared" si="119"/>
        <v>12178.014519999993</v>
      </c>
      <c r="X545" s="10">
        <f t="shared" si="120"/>
        <v>0.41614668793360271</v>
      </c>
      <c r="Y545" t="str">
        <f t="shared" si="121"/>
        <v>High</v>
      </c>
      <c r="Z545" t="str">
        <f t="shared" si="122"/>
        <v>Not Met</v>
      </c>
      <c r="AA545" t="str">
        <f t="shared" si="123"/>
        <v>Low Discount</v>
      </c>
      <c r="AB545" s="10">
        <f>MIN(R545,ControlPanel!$B$5)</f>
        <v>0.18099999999999999</v>
      </c>
      <c r="AC545">
        <f>P545*(1+ControlPanel!$B$6)</f>
        <v>1281.4305000000002</v>
      </c>
      <c r="AD545">
        <f>T545*(1+ControlPanel!$B$7)</f>
        <v>15.400000000000002</v>
      </c>
      <c r="AE545" s="6">
        <f t="shared" si="124"/>
        <v>32190.129971999999</v>
      </c>
      <c r="AF545">
        <f t="shared" si="125"/>
        <v>12456.100271999992</v>
      </c>
    </row>
    <row r="546" spans="1:32" x14ac:dyDescent="0.3">
      <c r="A546" t="s">
        <v>38</v>
      </c>
      <c r="B546" s="4">
        <v>45430</v>
      </c>
      <c r="C546" s="4" t="str">
        <f t="shared" si="114"/>
        <v>May-2024</v>
      </c>
      <c r="D546" t="str">
        <f t="shared" si="115"/>
        <v>Q2-2024</v>
      </c>
      <c r="E546" s="4">
        <v>45435</v>
      </c>
      <c r="F546" s="12">
        <f t="shared" si="112"/>
        <v>45435</v>
      </c>
      <c r="G546" s="13">
        <f t="shared" si="113"/>
        <v>5</v>
      </c>
      <c r="H546" t="s">
        <v>648</v>
      </c>
      <c r="I546" t="s">
        <v>660</v>
      </c>
      <c r="J546" t="s">
        <v>677</v>
      </c>
      <c r="K546" t="s">
        <v>706</v>
      </c>
      <c r="L546" t="s">
        <v>707</v>
      </c>
      <c r="M546" t="s">
        <v>722</v>
      </c>
      <c r="N546" t="s">
        <v>731</v>
      </c>
      <c r="O546" t="s">
        <v>757</v>
      </c>
      <c r="P546" s="6">
        <v>1274.5899999999999</v>
      </c>
      <c r="Q546" s="6">
        <v>2553.69</v>
      </c>
      <c r="R546" s="10">
        <v>0.01</v>
      </c>
      <c r="S546" s="10" t="b">
        <f t="shared" si="116"/>
        <v>0</v>
      </c>
      <c r="T546" s="8">
        <v>8</v>
      </c>
      <c r="U546">
        <f t="shared" si="117"/>
        <v>20225.2248</v>
      </c>
      <c r="V546">
        <f t="shared" si="118"/>
        <v>10196.719999999999</v>
      </c>
      <c r="W546">
        <f t="shared" si="119"/>
        <v>10028.504800000001</v>
      </c>
      <c r="X546" s="10">
        <f t="shared" si="120"/>
        <v>0.49584145042481803</v>
      </c>
      <c r="Y546" t="str">
        <f t="shared" si="121"/>
        <v>High</v>
      </c>
      <c r="Z546" t="str">
        <f t="shared" si="122"/>
        <v>Met</v>
      </c>
      <c r="AA546" t="str">
        <f t="shared" si="123"/>
        <v>Low Discount</v>
      </c>
      <c r="AB546" s="10">
        <f>MIN(R546,ControlPanel!$B$5)</f>
        <v>0.01</v>
      </c>
      <c r="AC546">
        <f>P546*(1+ControlPanel!$B$6)</f>
        <v>1338.3195000000001</v>
      </c>
      <c r="AD546">
        <f>T546*(1+ControlPanel!$B$7)</f>
        <v>8.8000000000000007</v>
      </c>
      <c r="AE546" s="6">
        <f t="shared" si="124"/>
        <v>22247.747280000003</v>
      </c>
      <c r="AF546">
        <f t="shared" si="125"/>
        <v>10470.535680000001</v>
      </c>
    </row>
    <row r="547" spans="1:32" x14ac:dyDescent="0.3">
      <c r="A547" t="s">
        <v>270</v>
      </c>
      <c r="B547" s="4">
        <v>45204</v>
      </c>
      <c r="C547" s="4" t="str">
        <f t="shared" si="114"/>
        <v>Oct-2023</v>
      </c>
      <c r="D547" t="str">
        <f t="shared" si="115"/>
        <v>Q4-2023</v>
      </c>
      <c r="E547" s="4">
        <v>45205</v>
      </c>
      <c r="F547" s="12">
        <f t="shared" si="112"/>
        <v>45205</v>
      </c>
      <c r="G547" s="13">
        <f t="shared" si="113"/>
        <v>1</v>
      </c>
      <c r="H547" t="s">
        <v>647</v>
      </c>
      <c r="I547" t="s">
        <v>654</v>
      </c>
      <c r="J547" t="s">
        <v>668</v>
      </c>
      <c r="K547" t="s">
        <v>703</v>
      </c>
      <c r="L547" t="s">
        <v>708</v>
      </c>
      <c r="M547" t="s">
        <v>714</v>
      </c>
      <c r="N547" t="s">
        <v>727</v>
      </c>
      <c r="O547" t="s">
        <v>990</v>
      </c>
      <c r="P547" s="6">
        <v>1470.26</v>
      </c>
      <c r="Q547" s="6">
        <v>2562.5500000000002</v>
      </c>
      <c r="R547" s="10">
        <v>0.17299999999999999</v>
      </c>
      <c r="S547" s="10" t="b">
        <f t="shared" si="116"/>
        <v>0</v>
      </c>
      <c r="T547" s="8">
        <v>9</v>
      </c>
      <c r="U547">
        <f t="shared" si="117"/>
        <v>19073.059649999999</v>
      </c>
      <c r="V547">
        <f t="shared" si="118"/>
        <v>13232.34</v>
      </c>
      <c r="W547">
        <f t="shared" si="119"/>
        <v>5840.7196499999991</v>
      </c>
      <c r="X547" s="10">
        <f t="shared" si="120"/>
        <v>0.30622877279157462</v>
      </c>
      <c r="Y547" t="str">
        <f t="shared" si="121"/>
        <v>High</v>
      </c>
      <c r="Z547" t="str">
        <f t="shared" si="122"/>
        <v>Met</v>
      </c>
      <c r="AA547" t="str">
        <f t="shared" si="123"/>
        <v>Low Discount</v>
      </c>
      <c r="AB547" s="10">
        <f>MIN(R547,ControlPanel!$B$5)</f>
        <v>0.17299999999999999</v>
      </c>
      <c r="AC547">
        <f>P547*(1+ControlPanel!$B$6)</f>
        <v>1543.7730000000001</v>
      </c>
      <c r="AD547">
        <f>T547*(1+ControlPanel!$B$7)</f>
        <v>9.9</v>
      </c>
      <c r="AE547" s="6">
        <f t="shared" si="124"/>
        <v>20980.365614999999</v>
      </c>
      <c r="AF547">
        <f t="shared" si="125"/>
        <v>5697.0129149999975</v>
      </c>
    </row>
    <row r="548" spans="1:32" x14ac:dyDescent="0.3">
      <c r="A548" t="s">
        <v>221</v>
      </c>
      <c r="B548" s="4">
        <v>45678</v>
      </c>
      <c r="C548" s="4" t="str">
        <f t="shared" si="114"/>
        <v>Jan-2025</v>
      </c>
      <c r="D548" t="str">
        <f t="shared" si="115"/>
        <v>Q1-2025</v>
      </c>
      <c r="E548" s="4">
        <v>45702</v>
      </c>
      <c r="F548" s="12">
        <f t="shared" si="112"/>
        <v>45702</v>
      </c>
      <c r="G548" s="13">
        <f t="shared" si="113"/>
        <v>24</v>
      </c>
      <c r="H548" t="s">
        <v>646</v>
      </c>
      <c r="I548" t="s">
        <v>650</v>
      </c>
      <c r="J548" t="s">
        <v>664</v>
      </c>
      <c r="K548" t="s">
        <v>705</v>
      </c>
      <c r="L548" t="s">
        <v>707</v>
      </c>
      <c r="M548" t="s">
        <v>713</v>
      </c>
      <c r="N548" t="s">
        <v>733</v>
      </c>
      <c r="O548" t="s">
        <v>941</v>
      </c>
      <c r="P548" s="6">
        <v>1030.44</v>
      </c>
      <c r="Q548" s="6">
        <v>2562.84</v>
      </c>
      <c r="R548" s="10">
        <v>0.14799999999999999</v>
      </c>
      <c r="S548" s="10" t="b">
        <f t="shared" si="116"/>
        <v>0</v>
      </c>
      <c r="T548" s="8">
        <v>13</v>
      </c>
      <c r="U548">
        <f t="shared" si="117"/>
        <v>28386.01584</v>
      </c>
      <c r="V548">
        <f t="shared" si="118"/>
        <v>13395.720000000001</v>
      </c>
      <c r="W548">
        <f t="shared" si="119"/>
        <v>14990.295839999999</v>
      </c>
      <c r="X548" s="10">
        <f t="shared" si="120"/>
        <v>0.52808734852027051</v>
      </c>
      <c r="Y548" t="str">
        <f t="shared" si="121"/>
        <v>High</v>
      </c>
      <c r="Z548" t="str">
        <f t="shared" si="122"/>
        <v>Not Met</v>
      </c>
      <c r="AA548" t="str">
        <f t="shared" si="123"/>
        <v>Low Discount</v>
      </c>
      <c r="AB548" s="10">
        <f>MIN(R548,ControlPanel!$B$5)</f>
        <v>0.14799999999999999</v>
      </c>
      <c r="AC548">
        <f>P548*(1+ControlPanel!$B$6)</f>
        <v>1081.9620000000002</v>
      </c>
      <c r="AD548">
        <f>T548*(1+ControlPanel!$B$7)</f>
        <v>14.3</v>
      </c>
      <c r="AE548" s="6">
        <f t="shared" si="124"/>
        <v>31224.617424</v>
      </c>
      <c r="AF548">
        <f t="shared" si="125"/>
        <v>15752.560823999997</v>
      </c>
    </row>
    <row r="549" spans="1:32" x14ac:dyDescent="0.3">
      <c r="A549" t="s">
        <v>301</v>
      </c>
      <c r="B549" s="4">
        <v>45542</v>
      </c>
      <c r="C549" s="4" t="str">
        <f t="shared" si="114"/>
        <v>Sep-2024</v>
      </c>
      <c r="D549" t="str">
        <f t="shared" si="115"/>
        <v>Q3-2024</v>
      </c>
      <c r="E549" s="4">
        <v>45542</v>
      </c>
      <c r="F549" s="12">
        <f t="shared" si="112"/>
        <v>45542</v>
      </c>
      <c r="G549" s="13">
        <f t="shared" si="113"/>
        <v>0</v>
      </c>
      <c r="H549" t="s">
        <v>647</v>
      </c>
      <c r="I549" t="s">
        <v>654</v>
      </c>
      <c r="J549" t="s">
        <v>691</v>
      </c>
      <c r="K549" t="s">
        <v>702</v>
      </c>
      <c r="L549" t="s">
        <v>710</v>
      </c>
      <c r="M549" t="s">
        <v>717</v>
      </c>
      <c r="N549" t="s">
        <v>729</v>
      </c>
      <c r="O549" t="s">
        <v>1021</v>
      </c>
      <c r="P549" s="6">
        <v>1066.6500000000001</v>
      </c>
      <c r="Q549" s="6">
        <v>2569.77</v>
      </c>
      <c r="R549" s="10">
        <v>0.13400000000000001</v>
      </c>
      <c r="S549" s="10" t="b">
        <f t="shared" si="116"/>
        <v>0</v>
      </c>
      <c r="T549" s="8">
        <v>9</v>
      </c>
      <c r="U549">
        <f t="shared" si="117"/>
        <v>20028.787379999998</v>
      </c>
      <c r="V549">
        <f t="shared" si="118"/>
        <v>9599.85</v>
      </c>
      <c r="W549">
        <f t="shared" si="119"/>
        <v>10428.937379999998</v>
      </c>
      <c r="X549" s="10">
        <f t="shared" si="120"/>
        <v>0.52069739331368337</v>
      </c>
      <c r="Y549" t="str">
        <f t="shared" si="121"/>
        <v>High</v>
      </c>
      <c r="Z549" t="str">
        <f t="shared" si="122"/>
        <v>Met</v>
      </c>
      <c r="AA549" t="str">
        <f t="shared" si="123"/>
        <v>Low Discount</v>
      </c>
      <c r="AB549" s="10">
        <f>MIN(R549,ControlPanel!$B$5)</f>
        <v>0.13400000000000001</v>
      </c>
      <c r="AC549">
        <f>P549*(1+ControlPanel!$B$6)</f>
        <v>1119.9825000000001</v>
      </c>
      <c r="AD549">
        <f>T549*(1+ControlPanel!$B$7)</f>
        <v>9.9</v>
      </c>
      <c r="AE549" s="6">
        <f t="shared" si="124"/>
        <v>22031.666117999997</v>
      </c>
      <c r="AF549">
        <f t="shared" si="125"/>
        <v>10943.839367999995</v>
      </c>
    </row>
    <row r="550" spans="1:32" x14ac:dyDescent="0.3">
      <c r="A550" t="s">
        <v>275</v>
      </c>
      <c r="B550" s="4">
        <v>45073</v>
      </c>
      <c r="C550" s="4" t="str">
        <f t="shared" si="114"/>
        <v>May-2023</v>
      </c>
      <c r="D550" t="str">
        <f t="shared" si="115"/>
        <v>Q2-2023</v>
      </c>
      <c r="E550" s="4">
        <v>45096</v>
      </c>
      <c r="F550" s="12">
        <f t="shared" si="112"/>
        <v>45096</v>
      </c>
      <c r="G550" s="13">
        <f t="shared" si="113"/>
        <v>23</v>
      </c>
      <c r="H550" t="s">
        <v>649</v>
      </c>
      <c r="I550" t="s">
        <v>656</v>
      </c>
      <c r="J550" t="s">
        <v>671</v>
      </c>
      <c r="K550" t="s">
        <v>702</v>
      </c>
      <c r="L550" t="s">
        <v>707</v>
      </c>
      <c r="M550" t="s">
        <v>719</v>
      </c>
      <c r="N550" t="s">
        <v>733</v>
      </c>
      <c r="O550" t="s">
        <v>995</v>
      </c>
      <c r="P550" s="6">
        <v>1471.58</v>
      </c>
      <c r="Q550" s="6">
        <v>2576.65</v>
      </c>
      <c r="R550" s="10">
        <v>4.0000000000000001E-3</v>
      </c>
      <c r="S550" s="10" t="b">
        <f t="shared" si="116"/>
        <v>0</v>
      </c>
      <c r="T550" s="8">
        <v>7</v>
      </c>
      <c r="U550">
        <f t="shared" si="117"/>
        <v>17964.4038</v>
      </c>
      <c r="V550">
        <f t="shared" si="118"/>
        <v>10301.06</v>
      </c>
      <c r="W550">
        <f t="shared" si="119"/>
        <v>7663.3438000000006</v>
      </c>
      <c r="X550" s="10">
        <f t="shared" si="120"/>
        <v>0.4265849223451546</v>
      </c>
      <c r="Y550" t="str">
        <f t="shared" si="121"/>
        <v>High</v>
      </c>
      <c r="Z550" t="str">
        <f t="shared" si="122"/>
        <v>Not Met</v>
      </c>
      <c r="AA550" t="str">
        <f t="shared" si="123"/>
        <v>Low Discount</v>
      </c>
      <c r="AB550" s="10">
        <f>MIN(R550,ControlPanel!$B$5)</f>
        <v>4.0000000000000001E-3</v>
      </c>
      <c r="AC550">
        <f>P550*(1+ControlPanel!$B$6)</f>
        <v>1545.1589999999999</v>
      </c>
      <c r="AD550">
        <f>T550*(1+ControlPanel!$B$7)</f>
        <v>7.7000000000000011</v>
      </c>
      <c r="AE550" s="6">
        <f t="shared" si="124"/>
        <v>19760.844180000004</v>
      </c>
      <c r="AF550">
        <f t="shared" si="125"/>
        <v>7863.1198800000038</v>
      </c>
    </row>
    <row r="551" spans="1:32" x14ac:dyDescent="0.3">
      <c r="A551" t="s">
        <v>570</v>
      </c>
      <c r="B551" s="4">
        <v>45053</v>
      </c>
      <c r="C551" s="4" t="str">
        <f t="shared" si="114"/>
        <v>May-2023</v>
      </c>
      <c r="D551" t="str">
        <f t="shared" si="115"/>
        <v>Q2-2023</v>
      </c>
      <c r="E551" s="4">
        <v>45066</v>
      </c>
      <c r="F551" s="12">
        <f t="shared" si="112"/>
        <v>45066</v>
      </c>
      <c r="G551" s="13">
        <f t="shared" si="113"/>
        <v>13</v>
      </c>
      <c r="H551" t="s">
        <v>647</v>
      </c>
      <c r="I551" t="s">
        <v>654</v>
      </c>
      <c r="J551" t="s">
        <v>691</v>
      </c>
      <c r="K551" t="s">
        <v>706</v>
      </c>
      <c r="L551" t="s">
        <v>707</v>
      </c>
      <c r="M551" t="s">
        <v>726</v>
      </c>
      <c r="N551" t="s">
        <v>733</v>
      </c>
      <c r="O551" t="s">
        <v>1288</v>
      </c>
      <c r="P551" s="6">
        <v>1443.28</v>
      </c>
      <c r="Q551" s="6">
        <v>2580.5700000000002</v>
      </c>
      <c r="R551" s="10">
        <v>0</v>
      </c>
      <c r="S551" s="10" t="b">
        <f t="shared" si="116"/>
        <v>0</v>
      </c>
      <c r="T551" s="8">
        <v>18</v>
      </c>
      <c r="U551">
        <f t="shared" si="117"/>
        <v>46450.26</v>
      </c>
      <c r="V551">
        <f t="shared" si="118"/>
        <v>25979.040000000001</v>
      </c>
      <c r="W551">
        <f t="shared" si="119"/>
        <v>20471.22</v>
      </c>
      <c r="X551" s="10">
        <f t="shared" si="120"/>
        <v>0.4407127107577008</v>
      </c>
      <c r="Y551" t="str">
        <f t="shared" si="121"/>
        <v>High</v>
      </c>
      <c r="Z551" t="str">
        <f t="shared" si="122"/>
        <v>Not Met</v>
      </c>
      <c r="AA551" t="str">
        <f t="shared" si="123"/>
        <v>Low Discount</v>
      </c>
      <c r="AB551" s="10">
        <f>MIN(R551,ControlPanel!$B$5)</f>
        <v>0</v>
      </c>
      <c r="AC551">
        <f>P551*(1+ControlPanel!$B$6)</f>
        <v>1515.444</v>
      </c>
      <c r="AD551">
        <f>T551*(1+ControlPanel!$B$7)</f>
        <v>19.8</v>
      </c>
      <c r="AE551" s="6">
        <f t="shared" si="124"/>
        <v>51095.286000000007</v>
      </c>
      <c r="AF551">
        <f t="shared" si="125"/>
        <v>21089.494800000008</v>
      </c>
    </row>
    <row r="552" spans="1:32" x14ac:dyDescent="0.3">
      <c r="A552" t="s">
        <v>40</v>
      </c>
      <c r="B552" s="4">
        <v>45473</v>
      </c>
      <c r="C552" s="4" t="str">
        <f t="shared" si="114"/>
        <v>Jun-2024</v>
      </c>
      <c r="D552" t="str">
        <f t="shared" si="115"/>
        <v>Q2-2024</v>
      </c>
      <c r="E552" s="4">
        <v>45487</v>
      </c>
      <c r="F552" s="12">
        <f t="shared" si="112"/>
        <v>45487</v>
      </c>
      <c r="G552" s="13">
        <f t="shared" si="113"/>
        <v>14</v>
      </c>
      <c r="H552" t="s">
        <v>648</v>
      </c>
      <c r="I552" t="s">
        <v>655</v>
      </c>
      <c r="J552" t="s">
        <v>672</v>
      </c>
      <c r="K552" t="s">
        <v>702</v>
      </c>
      <c r="L552" t="s">
        <v>707</v>
      </c>
      <c r="M552" t="s">
        <v>712</v>
      </c>
      <c r="N552" t="s">
        <v>733</v>
      </c>
      <c r="O552" t="s">
        <v>759</v>
      </c>
      <c r="P552" s="6">
        <v>1491.85</v>
      </c>
      <c r="Q552" s="6">
        <v>2583.02</v>
      </c>
      <c r="R552" s="10">
        <v>0.16800000000000001</v>
      </c>
      <c r="S552" s="10" t="b">
        <f t="shared" si="116"/>
        <v>0</v>
      </c>
      <c r="T552" s="8">
        <v>4</v>
      </c>
      <c r="U552">
        <f t="shared" si="117"/>
        <v>8596.2905599999995</v>
      </c>
      <c r="V552">
        <f t="shared" si="118"/>
        <v>5967.4</v>
      </c>
      <c r="W552">
        <f t="shared" si="119"/>
        <v>2628.8905599999998</v>
      </c>
      <c r="X552" s="10">
        <f t="shared" si="120"/>
        <v>0.30581685689321325</v>
      </c>
      <c r="Y552" t="str">
        <f t="shared" si="121"/>
        <v>High</v>
      </c>
      <c r="Z552" t="str">
        <f t="shared" si="122"/>
        <v>Not Met</v>
      </c>
      <c r="AA552" t="str">
        <f t="shared" si="123"/>
        <v>Low Discount</v>
      </c>
      <c r="AB552" s="10">
        <f>MIN(R552,ControlPanel!$B$5)</f>
        <v>0.16800000000000001</v>
      </c>
      <c r="AC552">
        <f>P552*(1+ControlPanel!$B$6)</f>
        <v>1566.4424999999999</v>
      </c>
      <c r="AD552">
        <f>T552*(1+ControlPanel!$B$7)</f>
        <v>4.4000000000000004</v>
      </c>
      <c r="AE552" s="6">
        <f t="shared" si="124"/>
        <v>9455.919616000001</v>
      </c>
      <c r="AF552">
        <f t="shared" si="125"/>
        <v>2563.5726160000013</v>
      </c>
    </row>
    <row r="553" spans="1:32" x14ac:dyDescent="0.3">
      <c r="A553" t="s">
        <v>76</v>
      </c>
      <c r="B553" s="4">
        <v>45910</v>
      </c>
      <c r="C553" s="4" t="str">
        <f t="shared" si="114"/>
        <v>Sep-2025</v>
      </c>
      <c r="D553" t="str">
        <f t="shared" si="115"/>
        <v>Q3-2025</v>
      </c>
      <c r="E553" s="4">
        <v>45912</v>
      </c>
      <c r="F553" s="12">
        <f t="shared" si="112"/>
        <v>45912</v>
      </c>
      <c r="G553" s="13">
        <f t="shared" si="113"/>
        <v>2</v>
      </c>
      <c r="H553" t="s">
        <v>647</v>
      </c>
      <c r="I553" t="s">
        <v>652</v>
      </c>
      <c r="J553" t="s">
        <v>689</v>
      </c>
      <c r="K553" t="s">
        <v>704</v>
      </c>
      <c r="L553" t="s">
        <v>708</v>
      </c>
      <c r="M553" t="s">
        <v>719</v>
      </c>
      <c r="N553" t="s">
        <v>727</v>
      </c>
      <c r="O553" t="s">
        <v>795</v>
      </c>
      <c r="P553" s="6">
        <v>1470.15</v>
      </c>
      <c r="Q553" s="6">
        <v>2593.7800000000002</v>
      </c>
      <c r="R553" s="10">
        <v>0.11</v>
      </c>
      <c r="S553" s="10" t="b">
        <f t="shared" si="116"/>
        <v>0</v>
      </c>
      <c r="T553" s="8">
        <v>12</v>
      </c>
      <c r="U553">
        <f t="shared" si="117"/>
        <v>27701.570400000004</v>
      </c>
      <c r="V553">
        <f t="shared" si="118"/>
        <v>17641.800000000003</v>
      </c>
      <c r="W553">
        <f t="shared" si="119"/>
        <v>10059.770400000001</v>
      </c>
      <c r="X553" s="10">
        <f t="shared" si="120"/>
        <v>0.36314801849645317</v>
      </c>
      <c r="Y553" t="str">
        <f t="shared" si="121"/>
        <v>High</v>
      </c>
      <c r="Z553" t="str">
        <f t="shared" si="122"/>
        <v>Met</v>
      </c>
      <c r="AA553" t="str">
        <f t="shared" si="123"/>
        <v>Low Discount</v>
      </c>
      <c r="AB553" s="10">
        <f>MIN(R553,ControlPanel!$B$5)</f>
        <v>0.11</v>
      </c>
      <c r="AC553">
        <f>P553*(1+ControlPanel!$B$6)</f>
        <v>1543.6575000000003</v>
      </c>
      <c r="AD553">
        <f>T553*(1+ControlPanel!$B$7)</f>
        <v>13.200000000000001</v>
      </c>
      <c r="AE553" s="6">
        <f t="shared" si="124"/>
        <v>30471.727440000006</v>
      </c>
      <c r="AF553">
        <f t="shared" si="125"/>
        <v>10095.44844</v>
      </c>
    </row>
    <row r="554" spans="1:32" x14ac:dyDescent="0.3">
      <c r="A554" t="s">
        <v>521</v>
      </c>
      <c r="B554" s="4">
        <v>45589</v>
      </c>
      <c r="C554" s="4" t="str">
        <f t="shared" si="114"/>
        <v>Oct-2024</v>
      </c>
      <c r="D554" t="str">
        <f t="shared" si="115"/>
        <v>Q4-2024</v>
      </c>
      <c r="E554" s="4">
        <v>45593</v>
      </c>
      <c r="F554" s="12">
        <f t="shared" si="112"/>
        <v>45593</v>
      </c>
      <c r="G554" s="13">
        <f t="shared" si="113"/>
        <v>4</v>
      </c>
      <c r="H554" t="s">
        <v>647</v>
      </c>
      <c r="I554" t="s">
        <v>659</v>
      </c>
      <c r="J554" t="s">
        <v>685</v>
      </c>
      <c r="K554" t="s">
        <v>705</v>
      </c>
      <c r="L554" t="s">
        <v>710</v>
      </c>
      <c r="M554" t="s">
        <v>714</v>
      </c>
      <c r="N554" t="s">
        <v>729</v>
      </c>
      <c r="O554" t="s">
        <v>1240</v>
      </c>
      <c r="P554" s="6">
        <v>1331.77</v>
      </c>
      <c r="Q554" s="6">
        <v>2606.11</v>
      </c>
      <c r="R554" s="10">
        <v>0.02</v>
      </c>
      <c r="S554" s="10" t="b">
        <f t="shared" si="116"/>
        <v>0</v>
      </c>
      <c r="T554" s="8">
        <v>6</v>
      </c>
      <c r="U554">
        <f t="shared" si="117"/>
        <v>15323.926799999999</v>
      </c>
      <c r="V554">
        <f t="shared" si="118"/>
        <v>7990.62</v>
      </c>
      <c r="W554">
        <f t="shared" si="119"/>
        <v>7333.3067999999994</v>
      </c>
      <c r="X554" s="10">
        <f t="shared" si="120"/>
        <v>0.47855271665745619</v>
      </c>
      <c r="Y554" t="str">
        <f t="shared" si="121"/>
        <v>High</v>
      </c>
      <c r="Z554" t="str">
        <f t="shared" si="122"/>
        <v>Met</v>
      </c>
      <c r="AA554" t="str">
        <f t="shared" si="123"/>
        <v>Low Discount</v>
      </c>
      <c r="AB554" s="10">
        <f>MIN(R554,ControlPanel!$B$5)</f>
        <v>0.02</v>
      </c>
      <c r="AC554">
        <f>P554*(1+ControlPanel!$B$6)</f>
        <v>1398.3585</v>
      </c>
      <c r="AD554">
        <f>T554*(1+ControlPanel!$B$7)</f>
        <v>6.6000000000000005</v>
      </c>
      <c r="AE554" s="6">
        <f t="shared" si="124"/>
        <v>16856.319480000002</v>
      </c>
      <c r="AF554">
        <f t="shared" si="125"/>
        <v>7627.1533800000016</v>
      </c>
    </row>
    <row r="555" spans="1:32" x14ac:dyDescent="0.3">
      <c r="A555" t="s">
        <v>65</v>
      </c>
      <c r="B555" s="4">
        <v>45602</v>
      </c>
      <c r="C555" s="4" t="str">
        <f t="shared" si="114"/>
        <v>Nov-2024</v>
      </c>
      <c r="D555" t="str">
        <f t="shared" si="115"/>
        <v>Q4-2024</v>
      </c>
      <c r="E555" s="4">
        <v>45618</v>
      </c>
      <c r="F555" s="12">
        <f t="shared" si="112"/>
        <v>45618</v>
      </c>
      <c r="G555" s="13">
        <f t="shared" si="113"/>
        <v>16</v>
      </c>
      <c r="H555" t="s">
        <v>648</v>
      </c>
      <c r="I555" t="s">
        <v>653</v>
      </c>
      <c r="J555" t="s">
        <v>667</v>
      </c>
      <c r="K555" t="s">
        <v>703</v>
      </c>
      <c r="L555" t="s">
        <v>710</v>
      </c>
      <c r="M555" t="s">
        <v>726</v>
      </c>
      <c r="N555" t="s">
        <v>733</v>
      </c>
      <c r="O555" t="s">
        <v>784</v>
      </c>
      <c r="P555" s="6">
        <v>1454.11</v>
      </c>
      <c r="Q555" s="6">
        <v>2629.75</v>
      </c>
      <c r="R555" s="10">
        <v>0.29199999999999998</v>
      </c>
      <c r="S555" s="10" t="b">
        <f t="shared" si="116"/>
        <v>0</v>
      </c>
      <c r="T555" s="8">
        <v>8</v>
      </c>
      <c r="U555">
        <f t="shared" si="117"/>
        <v>14894.903999999999</v>
      </c>
      <c r="V555">
        <f t="shared" si="118"/>
        <v>11632.88</v>
      </c>
      <c r="W555">
        <f t="shared" si="119"/>
        <v>3262.0239999999994</v>
      </c>
      <c r="X555" s="10">
        <f t="shared" si="120"/>
        <v>0.21900268709351867</v>
      </c>
      <c r="Y555" t="str">
        <f t="shared" si="121"/>
        <v>High</v>
      </c>
      <c r="Z555" t="str">
        <f t="shared" si="122"/>
        <v>Not Met</v>
      </c>
      <c r="AA555" t="str">
        <f t="shared" si="123"/>
        <v>High Discount</v>
      </c>
      <c r="AB555" s="10">
        <f>MIN(R555,ControlPanel!$B$5)</f>
        <v>0.2</v>
      </c>
      <c r="AC555">
        <f>P555*(1+ControlPanel!$B$6)</f>
        <v>1526.8154999999999</v>
      </c>
      <c r="AD555">
        <f>T555*(1+ControlPanel!$B$7)</f>
        <v>8.8000000000000007</v>
      </c>
      <c r="AE555" s="6">
        <f t="shared" si="124"/>
        <v>18513.440000000002</v>
      </c>
      <c r="AF555">
        <f t="shared" si="125"/>
        <v>5077.4636000000028</v>
      </c>
    </row>
    <row r="556" spans="1:32" x14ac:dyDescent="0.3">
      <c r="A556" t="s">
        <v>47</v>
      </c>
      <c r="B556" s="4">
        <v>45862</v>
      </c>
      <c r="C556" s="4" t="str">
        <f t="shared" si="114"/>
        <v>Jul-2025</v>
      </c>
      <c r="D556" t="str">
        <f t="shared" si="115"/>
        <v>Q3-2025</v>
      </c>
      <c r="E556" s="4">
        <v>45875</v>
      </c>
      <c r="F556" s="12">
        <f t="shared" si="112"/>
        <v>45875</v>
      </c>
      <c r="G556" s="13">
        <f t="shared" si="113"/>
        <v>13</v>
      </c>
      <c r="H556" t="s">
        <v>646</v>
      </c>
      <c r="I556" t="s">
        <v>661</v>
      </c>
      <c r="J556" t="s">
        <v>682</v>
      </c>
      <c r="K556" t="s">
        <v>702</v>
      </c>
      <c r="L556" t="s">
        <v>709</v>
      </c>
      <c r="M556" t="s">
        <v>726</v>
      </c>
      <c r="N556" t="s">
        <v>729</v>
      </c>
      <c r="O556" t="s">
        <v>766</v>
      </c>
      <c r="P556" s="6">
        <v>1463.9</v>
      </c>
      <c r="Q556" s="6">
        <v>2633.02</v>
      </c>
      <c r="R556" s="10">
        <v>8.4000000000000005E-2</v>
      </c>
      <c r="S556" s="10" t="b">
        <f t="shared" si="116"/>
        <v>0</v>
      </c>
      <c r="T556" s="8">
        <v>4</v>
      </c>
      <c r="U556">
        <f t="shared" si="117"/>
        <v>9647.3852800000004</v>
      </c>
      <c r="V556">
        <f t="shared" si="118"/>
        <v>5855.6</v>
      </c>
      <c r="W556">
        <f t="shared" si="119"/>
        <v>3791.7852800000001</v>
      </c>
      <c r="X556" s="10">
        <f t="shared" si="120"/>
        <v>0.39303761277791527</v>
      </c>
      <c r="Y556" t="str">
        <f t="shared" si="121"/>
        <v>High</v>
      </c>
      <c r="Z556" t="str">
        <f t="shared" si="122"/>
        <v>Not Met</v>
      </c>
      <c r="AA556" t="str">
        <f t="shared" si="123"/>
        <v>Low Discount</v>
      </c>
      <c r="AB556" s="10">
        <f>MIN(R556,ControlPanel!$B$5)</f>
        <v>8.4000000000000005E-2</v>
      </c>
      <c r="AC556">
        <f>P556*(1+ControlPanel!$B$6)</f>
        <v>1537.0950000000003</v>
      </c>
      <c r="AD556">
        <f>T556*(1+ControlPanel!$B$7)</f>
        <v>4.4000000000000004</v>
      </c>
      <c r="AE556" s="6">
        <f t="shared" si="124"/>
        <v>10612.123808000002</v>
      </c>
      <c r="AF556">
        <f t="shared" si="125"/>
        <v>3848.9058080000004</v>
      </c>
    </row>
    <row r="557" spans="1:32" x14ac:dyDescent="0.3">
      <c r="A557" t="s">
        <v>639</v>
      </c>
      <c r="B557" s="4">
        <v>45249</v>
      </c>
      <c r="C557" s="4" t="str">
        <f t="shared" si="114"/>
        <v>Nov-2023</v>
      </c>
      <c r="D557" t="str">
        <f t="shared" si="115"/>
        <v>Q4-2023</v>
      </c>
      <c r="E557" s="4">
        <v>45272</v>
      </c>
      <c r="F557" s="12">
        <f t="shared" si="112"/>
        <v>45272</v>
      </c>
      <c r="G557" s="13">
        <f t="shared" si="113"/>
        <v>23</v>
      </c>
      <c r="H557" t="s">
        <v>647</v>
      </c>
      <c r="I557" t="s">
        <v>654</v>
      </c>
      <c r="J557" t="s">
        <v>680</v>
      </c>
      <c r="K557" t="s">
        <v>705</v>
      </c>
      <c r="L557" t="s">
        <v>711</v>
      </c>
      <c r="M557" t="s">
        <v>712</v>
      </c>
      <c r="N557" t="s">
        <v>729</v>
      </c>
      <c r="O557" t="s">
        <v>1357</v>
      </c>
      <c r="P557" s="6">
        <v>1349.04</v>
      </c>
      <c r="Q557" s="6">
        <v>2636.6</v>
      </c>
      <c r="R557" s="10">
        <v>0.114</v>
      </c>
      <c r="S557" s="10" t="b">
        <f t="shared" si="116"/>
        <v>0</v>
      </c>
      <c r="T557" s="8">
        <v>14</v>
      </c>
      <c r="U557">
        <f t="shared" si="117"/>
        <v>32704.386399999999</v>
      </c>
      <c r="V557">
        <f t="shared" si="118"/>
        <v>18886.559999999998</v>
      </c>
      <c r="W557">
        <f t="shared" si="119"/>
        <v>13817.826400000002</v>
      </c>
      <c r="X557" s="10">
        <f t="shared" si="120"/>
        <v>0.42250682312143922</v>
      </c>
      <c r="Y557" t="str">
        <f t="shared" si="121"/>
        <v>High</v>
      </c>
      <c r="Z557" t="str">
        <f t="shared" si="122"/>
        <v>Not Met</v>
      </c>
      <c r="AA557" t="str">
        <f t="shared" si="123"/>
        <v>Low Discount</v>
      </c>
      <c r="AB557" s="10">
        <f>MIN(R557,ControlPanel!$B$5)</f>
        <v>0.114</v>
      </c>
      <c r="AC557">
        <f>P557*(1+ControlPanel!$B$6)</f>
        <v>1416.492</v>
      </c>
      <c r="AD557">
        <f>T557*(1+ControlPanel!$B$7)</f>
        <v>15.400000000000002</v>
      </c>
      <c r="AE557" s="6">
        <f t="shared" si="124"/>
        <v>35974.825040000003</v>
      </c>
      <c r="AF557">
        <f t="shared" si="125"/>
        <v>14160.848239999999</v>
      </c>
    </row>
    <row r="558" spans="1:32" x14ac:dyDescent="0.3">
      <c r="A558" t="s">
        <v>213</v>
      </c>
      <c r="B558" s="4">
        <v>45030</v>
      </c>
      <c r="C558" s="4" t="str">
        <f t="shared" si="114"/>
        <v>Apr-2023</v>
      </c>
      <c r="D558" t="str">
        <f t="shared" si="115"/>
        <v>Q2-2023</v>
      </c>
      <c r="E558" s="4">
        <v>45059</v>
      </c>
      <c r="F558" s="12">
        <f t="shared" si="112"/>
        <v>45059</v>
      </c>
      <c r="G558" s="13">
        <f t="shared" si="113"/>
        <v>29</v>
      </c>
      <c r="H558" t="s">
        <v>649</v>
      </c>
      <c r="I558" t="s">
        <v>656</v>
      </c>
      <c r="J558" t="s">
        <v>698</v>
      </c>
      <c r="K558" t="s">
        <v>704</v>
      </c>
      <c r="L558" t="s">
        <v>711</v>
      </c>
      <c r="M558" t="s">
        <v>713</v>
      </c>
      <c r="N558" t="s">
        <v>728</v>
      </c>
      <c r="O558" t="s">
        <v>933</v>
      </c>
      <c r="P558" s="6">
        <v>1320.33</v>
      </c>
      <c r="Q558" s="6">
        <v>2645.23</v>
      </c>
      <c r="R558" s="10">
        <v>0.155</v>
      </c>
      <c r="S558" s="10" t="b">
        <f t="shared" si="116"/>
        <v>0</v>
      </c>
      <c r="T558" s="8">
        <v>25</v>
      </c>
      <c r="U558">
        <f t="shared" si="117"/>
        <v>55880.483749999999</v>
      </c>
      <c r="V558">
        <f t="shared" si="118"/>
        <v>33008.25</v>
      </c>
      <c r="W558">
        <f t="shared" si="119"/>
        <v>22872.233749999999</v>
      </c>
      <c r="X558" s="10">
        <f t="shared" si="120"/>
        <v>0.40930629470436536</v>
      </c>
      <c r="Y558" t="str">
        <f t="shared" si="121"/>
        <v>High</v>
      </c>
      <c r="Z558" t="str">
        <f t="shared" si="122"/>
        <v>Not Met</v>
      </c>
      <c r="AA558" t="str">
        <f t="shared" si="123"/>
        <v>Low Discount</v>
      </c>
      <c r="AB558" s="10">
        <f>MIN(R558,ControlPanel!$B$5)</f>
        <v>0.155</v>
      </c>
      <c r="AC558">
        <f>P558*(1+ControlPanel!$B$6)</f>
        <v>1386.3464999999999</v>
      </c>
      <c r="AD558">
        <f>T558*(1+ControlPanel!$B$7)</f>
        <v>27.500000000000004</v>
      </c>
      <c r="AE558" s="6">
        <f t="shared" si="124"/>
        <v>61468.532125000005</v>
      </c>
      <c r="AF558">
        <f t="shared" si="125"/>
        <v>23344.003375</v>
      </c>
    </row>
    <row r="559" spans="1:32" x14ac:dyDescent="0.3">
      <c r="A559" t="s">
        <v>551</v>
      </c>
      <c r="B559" s="4">
        <v>45520</v>
      </c>
      <c r="C559" s="4" t="str">
        <f t="shared" si="114"/>
        <v>Aug-2024</v>
      </c>
      <c r="D559" t="str">
        <f t="shared" si="115"/>
        <v>Q3-2024</v>
      </c>
      <c r="E559" s="4">
        <v>45530</v>
      </c>
      <c r="F559" s="12">
        <f t="shared" si="112"/>
        <v>45530</v>
      </c>
      <c r="G559" s="13">
        <f t="shared" si="113"/>
        <v>10</v>
      </c>
      <c r="H559" t="s">
        <v>648</v>
      </c>
      <c r="I559" t="s">
        <v>660</v>
      </c>
      <c r="J559" t="s">
        <v>677</v>
      </c>
      <c r="K559" t="s">
        <v>701</v>
      </c>
      <c r="L559" t="s">
        <v>710</v>
      </c>
      <c r="M559" t="s">
        <v>716</v>
      </c>
      <c r="N559" t="s">
        <v>731</v>
      </c>
      <c r="O559" t="s">
        <v>1121</v>
      </c>
      <c r="P559" s="6">
        <v>1291.7</v>
      </c>
      <c r="Q559" s="6">
        <v>2657.84</v>
      </c>
      <c r="R559" s="10">
        <v>8.6999999999999994E-2</v>
      </c>
      <c r="S559" s="10" t="b">
        <f t="shared" si="116"/>
        <v>0</v>
      </c>
      <c r="T559" s="8">
        <v>21</v>
      </c>
      <c r="U559">
        <f t="shared" si="117"/>
        <v>50958.76632000001</v>
      </c>
      <c r="V559">
        <f t="shared" si="118"/>
        <v>27125.7</v>
      </c>
      <c r="W559">
        <f t="shared" si="119"/>
        <v>23833.066320000009</v>
      </c>
      <c r="X559" s="10">
        <f t="shared" si="120"/>
        <v>0.46769315745083379</v>
      </c>
      <c r="Y559" t="str">
        <f t="shared" si="121"/>
        <v>High</v>
      </c>
      <c r="Z559" t="str">
        <f t="shared" si="122"/>
        <v>Not Met</v>
      </c>
      <c r="AA559" t="str">
        <f t="shared" si="123"/>
        <v>Low Discount</v>
      </c>
      <c r="AB559" s="10">
        <f>MIN(R559,ControlPanel!$B$5)</f>
        <v>8.6999999999999994E-2</v>
      </c>
      <c r="AC559">
        <f>P559*(1+ControlPanel!$B$6)</f>
        <v>1356.2850000000001</v>
      </c>
      <c r="AD559">
        <f>T559*(1+ControlPanel!$B$7)</f>
        <v>23.1</v>
      </c>
      <c r="AE559" s="6">
        <f t="shared" si="124"/>
        <v>56054.642952000009</v>
      </c>
      <c r="AF559">
        <f t="shared" si="125"/>
        <v>24724.459452000006</v>
      </c>
    </row>
    <row r="560" spans="1:32" x14ac:dyDescent="0.3">
      <c r="A560" t="s">
        <v>479</v>
      </c>
      <c r="B560" s="4">
        <v>45618</v>
      </c>
      <c r="C560" s="4" t="str">
        <f t="shared" si="114"/>
        <v>Nov-2024</v>
      </c>
      <c r="D560" t="str">
        <f t="shared" si="115"/>
        <v>Q4-2024</v>
      </c>
      <c r="E560" s="4">
        <v>45641</v>
      </c>
      <c r="F560" s="12">
        <f t="shared" si="112"/>
        <v>45641</v>
      </c>
      <c r="G560" s="13">
        <f t="shared" si="113"/>
        <v>23</v>
      </c>
      <c r="H560" t="s">
        <v>646</v>
      </c>
      <c r="I560" t="s">
        <v>650</v>
      </c>
      <c r="J560" t="s">
        <v>675</v>
      </c>
      <c r="K560" t="s">
        <v>703</v>
      </c>
      <c r="L560" t="s">
        <v>710</v>
      </c>
      <c r="M560" t="s">
        <v>712</v>
      </c>
      <c r="N560" t="s">
        <v>727</v>
      </c>
      <c r="O560" t="s">
        <v>1198</v>
      </c>
      <c r="P560" s="6">
        <v>1335.76</v>
      </c>
      <c r="Q560" s="6">
        <v>2665.91</v>
      </c>
      <c r="R560" s="10">
        <v>0.21099999999999999</v>
      </c>
      <c r="S560" s="10" t="b">
        <f t="shared" si="116"/>
        <v>0</v>
      </c>
      <c r="T560" s="8">
        <v>40</v>
      </c>
      <c r="U560">
        <f t="shared" si="117"/>
        <v>84136.119600000005</v>
      </c>
      <c r="V560">
        <f t="shared" si="118"/>
        <v>53430.400000000001</v>
      </c>
      <c r="W560">
        <f t="shared" si="119"/>
        <v>30705.719600000004</v>
      </c>
      <c r="X560" s="10">
        <f t="shared" si="120"/>
        <v>0.36495288522909253</v>
      </c>
      <c r="Y560" t="str">
        <f t="shared" si="121"/>
        <v>High</v>
      </c>
      <c r="Z560" t="str">
        <f t="shared" si="122"/>
        <v>Not Met</v>
      </c>
      <c r="AA560" t="str">
        <f t="shared" si="123"/>
        <v>High Discount</v>
      </c>
      <c r="AB560" s="10">
        <f>MIN(R560,ControlPanel!$B$5)</f>
        <v>0.2</v>
      </c>
      <c r="AC560">
        <f>P560*(1+ControlPanel!$B$6)</f>
        <v>1402.548</v>
      </c>
      <c r="AD560">
        <f>T560*(1+ControlPanel!$B$7)</f>
        <v>44</v>
      </c>
      <c r="AE560" s="6">
        <f t="shared" si="124"/>
        <v>93840.032000000007</v>
      </c>
      <c r="AF560">
        <f t="shared" si="125"/>
        <v>32127.920000000006</v>
      </c>
    </row>
    <row r="561" spans="1:32" x14ac:dyDescent="0.3">
      <c r="A561" t="s">
        <v>227</v>
      </c>
      <c r="B561" s="4">
        <v>45686</v>
      </c>
      <c r="C561" s="4" t="str">
        <f t="shared" si="114"/>
        <v>Jan-2025</v>
      </c>
      <c r="D561" t="str">
        <f t="shared" si="115"/>
        <v>Q1-2025</v>
      </c>
      <c r="E561" s="4">
        <v>45694</v>
      </c>
      <c r="F561" s="12">
        <f t="shared" si="112"/>
        <v>45694</v>
      </c>
      <c r="G561" s="13">
        <f t="shared" si="113"/>
        <v>8</v>
      </c>
      <c r="H561" t="s">
        <v>646</v>
      </c>
      <c r="I561" t="s">
        <v>650</v>
      </c>
      <c r="J561" t="s">
        <v>662</v>
      </c>
      <c r="K561" t="s">
        <v>702</v>
      </c>
      <c r="L561" t="s">
        <v>707</v>
      </c>
      <c r="M561" t="s">
        <v>717</v>
      </c>
      <c r="N561" t="s">
        <v>730</v>
      </c>
      <c r="O561" t="s">
        <v>947</v>
      </c>
      <c r="P561" s="6">
        <v>1445.27</v>
      </c>
      <c r="Q561" s="6">
        <v>2691.45</v>
      </c>
      <c r="R561" s="10">
        <v>0</v>
      </c>
      <c r="S561" s="10" t="b">
        <f t="shared" si="116"/>
        <v>0</v>
      </c>
      <c r="T561" s="8">
        <v>9</v>
      </c>
      <c r="U561">
        <f t="shared" si="117"/>
        <v>24223.05</v>
      </c>
      <c r="V561">
        <f t="shared" si="118"/>
        <v>13007.43</v>
      </c>
      <c r="W561">
        <f t="shared" si="119"/>
        <v>11215.619999999999</v>
      </c>
      <c r="X561" s="10">
        <f t="shared" si="120"/>
        <v>0.46301436028906351</v>
      </c>
      <c r="Y561" t="str">
        <f t="shared" si="121"/>
        <v>High</v>
      </c>
      <c r="Z561" t="str">
        <f t="shared" si="122"/>
        <v>Not Met</v>
      </c>
      <c r="AA561" t="str">
        <f t="shared" si="123"/>
        <v>Low Discount</v>
      </c>
      <c r="AB561" s="10">
        <f>MIN(R561,ControlPanel!$B$5)</f>
        <v>0</v>
      </c>
      <c r="AC561">
        <f>P561*(1+ControlPanel!$B$6)</f>
        <v>1517.5335</v>
      </c>
      <c r="AD561">
        <f>T561*(1+ControlPanel!$B$7)</f>
        <v>9.9</v>
      </c>
      <c r="AE561" s="6">
        <f t="shared" si="124"/>
        <v>26645.355</v>
      </c>
      <c r="AF561">
        <f t="shared" si="125"/>
        <v>11621.773349999999</v>
      </c>
    </row>
    <row r="562" spans="1:32" x14ac:dyDescent="0.3">
      <c r="A562" t="s">
        <v>240</v>
      </c>
      <c r="B562" s="4">
        <v>45137</v>
      </c>
      <c r="C562" s="4" t="str">
        <f t="shared" si="114"/>
        <v>Jul-2023</v>
      </c>
      <c r="D562" t="str">
        <f t="shared" si="115"/>
        <v>Q3-2023</v>
      </c>
      <c r="E562" s="4">
        <v>45145</v>
      </c>
      <c r="F562" s="12">
        <f t="shared" si="112"/>
        <v>45145</v>
      </c>
      <c r="G562" s="13">
        <f t="shared" si="113"/>
        <v>8</v>
      </c>
      <c r="H562" t="s">
        <v>647</v>
      </c>
      <c r="I562" t="s">
        <v>652</v>
      </c>
      <c r="J562" t="s">
        <v>694</v>
      </c>
      <c r="K562" t="s">
        <v>702</v>
      </c>
      <c r="L562" t="s">
        <v>709</v>
      </c>
      <c r="M562" t="s">
        <v>720</v>
      </c>
      <c r="N562" t="s">
        <v>729</v>
      </c>
      <c r="O562" t="s">
        <v>960</v>
      </c>
      <c r="P562" s="6">
        <v>1352.44</v>
      </c>
      <c r="Q562" s="6">
        <v>2698.01</v>
      </c>
      <c r="R562" s="10">
        <v>0.13100000000000001</v>
      </c>
      <c r="S562" s="10" t="b">
        <f t="shared" si="116"/>
        <v>0</v>
      </c>
      <c r="T562" s="8">
        <v>13</v>
      </c>
      <c r="U562">
        <f t="shared" si="117"/>
        <v>30479.418969999999</v>
      </c>
      <c r="V562">
        <f t="shared" si="118"/>
        <v>17581.72</v>
      </c>
      <c r="W562">
        <f t="shared" si="119"/>
        <v>12897.698969999998</v>
      </c>
      <c r="X562" s="10">
        <f t="shared" si="120"/>
        <v>0.42316091992090876</v>
      </c>
      <c r="Y562" t="str">
        <f t="shared" si="121"/>
        <v>High</v>
      </c>
      <c r="Z562" t="str">
        <f t="shared" si="122"/>
        <v>Not Met</v>
      </c>
      <c r="AA562" t="str">
        <f t="shared" si="123"/>
        <v>Low Discount</v>
      </c>
      <c r="AB562" s="10">
        <f>MIN(R562,ControlPanel!$B$5)</f>
        <v>0.13100000000000001</v>
      </c>
      <c r="AC562">
        <f>P562*(1+ControlPanel!$B$6)</f>
        <v>1420.0620000000001</v>
      </c>
      <c r="AD562">
        <f>T562*(1+ControlPanel!$B$7)</f>
        <v>14.3</v>
      </c>
      <c r="AE562" s="6">
        <f t="shared" si="124"/>
        <v>33527.360867000003</v>
      </c>
      <c r="AF562">
        <f t="shared" si="125"/>
        <v>13220.474267000001</v>
      </c>
    </row>
    <row r="563" spans="1:32" x14ac:dyDescent="0.3">
      <c r="A563" t="s">
        <v>32</v>
      </c>
      <c r="B563" s="4">
        <v>45908</v>
      </c>
      <c r="C563" s="4" t="str">
        <f t="shared" si="114"/>
        <v>Sep-2025</v>
      </c>
      <c r="D563" t="str">
        <f t="shared" si="115"/>
        <v>Q3-2025</v>
      </c>
      <c r="E563" s="4">
        <v>45916</v>
      </c>
      <c r="F563" s="12">
        <f t="shared" si="112"/>
        <v>45916</v>
      </c>
      <c r="G563" s="13">
        <f t="shared" si="113"/>
        <v>8</v>
      </c>
      <c r="H563" t="s">
        <v>647</v>
      </c>
      <c r="I563" t="s">
        <v>652</v>
      </c>
      <c r="J563" t="s">
        <v>666</v>
      </c>
      <c r="K563" t="s">
        <v>701</v>
      </c>
      <c r="L563" t="s">
        <v>710</v>
      </c>
      <c r="M563" t="s">
        <v>712</v>
      </c>
      <c r="N563" t="s">
        <v>730</v>
      </c>
      <c r="O563" t="s">
        <v>751</v>
      </c>
      <c r="P563" s="6">
        <v>1225.57</v>
      </c>
      <c r="Q563" s="6">
        <v>2705.57</v>
      </c>
      <c r="R563" s="10">
        <v>0.183</v>
      </c>
      <c r="S563" s="10" t="b">
        <f t="shared" si="116"/>
        <v>0</v>
      </c>
      <c r="T563" s="8">
        <v>16</v>
      </c>
      <c r="U563">
        <f t="shared" si="117"/>
        <v>35367.211040000002</v>
      </c>
      <c r="V563">
        <f t="shared" si="118"/>
        <v>19609.12</v>
      </c>
      <c r="W563">
        <f t="shared" si="119"/>
        <v>15758.091040000003</v>
      </c>
      <c r="X563" s="10">
        <f t="shared" si="120"/>
        <v>0.44555650775453404</v>
      </c>
      <c r="Y563" t="str">
        <f t="shared" si="121"/>
        <v>High</v>
      </c>
      <c r="Z563" t="str">
        <f t="shared" si="122"/>
        <v>Not Met</v>
      </c>
      <c r="AA563" t="str">
        <f t="shared" si="123"/>
        <v>Low Discount</v>
      </c>
      <c r="AB563" s="10">
        <f>MIN(R563,ControlPanel!$B$5)</f>
        <v>0.183</v>
      </c>
      <c r="AC563">
        <f>P563*(1+ControlPanel!$B$6)</f>
        <v>1286.8485000000001</v>
      </c>
      <c r="AD563">
        <f>T563*(1+ControlPanel!$B$7)</f>
        <v>17.600000000000001</v>
      </c>
      <c r="AE563" s="6">
        <f t="shared" si="124"/>
        <v>38903.932144000006</v>
      </c>
      <c r="AF563">
        <f t="shared" si="125"/>
        <v>16255.398544000003</v>
      </c>
    </row>
    <row r="564" spans="1:32" x14ac:dyDescent="0.3">
      <c r="A564" t="s">
        <v>429</v>
      </c>
      <c r="B564" s="4">
        <v>45167</v>
      </c>
      <c r="C564" s="4" t="str">
        <f t="shared" si="114"/>
        <v>Aug-2023</v>
      </c>
      <c r="D564" t="str">
        <f t="shared" si="115"/>
        <v>Q3-2023</v>
      </c>
      <c r="E564" s="4">
        <v>45182</v>
      </c>
      <c r="F564" s="12">
        <f t="shared" si="112"/>
        <v>45182</v>
      </c>
      <c r="G564" s="13">
        <f t="shared" si="113"/>
        <v>15</v>
      </c>
      <c r="H564" t="s">
        <v>648</v>
      </c>
      <c r="I564" t="s">
        <v>653</v>
      </c>
      <c r="J564" t="s">
        <v>688</v>
      </c>
      <c r="K564" t="s">
        <v>705</v>
      </c>
      <c r="L564" t="s">
        <v>709</v>
      </c>
      <c r="M564" t="s">
        <v>719</v>
      </c>
      <c r="N564" t="s">
        <v>728</v>
      </c>
      <c r="O564" t="s">
        <v>1148</v>
      </c>
      <c r="P564" s="6">
        <v>1287.6400000000001</v>
      </c>
      <c r="Q564" s="6">
        <v>2717.15</v>
      </c>
      <c r="R564" s="10">
        <v>3.2000000000000001E-2</v>
      </c>
      <c r="S564" s="10" t="b">
        <f t="shared" si="116"/>
        <v>0</v>
      </c>
      <c r="T564" s="8">
        <v>7</v>
      </c>
      <c r="U564">
        <f t="shared" si="117"/>
        <v>18411.4084</v>
      </c>
      <c r="V564">
        <f t="shared" si="118"/>
        <v>9013.4800000000014</v>
      </c>
      <c r="W564">
        <f t="shared" si="119"/>
        <v>9397.9283999999989</v>
      </c>
      <c r="X564" s="10">
        <f t="shared" si="120"/>
        <v>0.51044049405802105</v>
      </c>
      <c r="Y564" t="str">
        <f t="shared" si="121"/>
        <v>High</v>
      </c>
      <c r="Z564" t="str">
        <f t="shared" si="122"/>
        <v>Not Met</v>
      </c>
      <c r="AA564" t="str">
        <f t="shared" si="123"/>
        <v>Low Discount</v>
      </c>
      <c r="AB564" s="10">
        <f>MIN(R564,ControlPanel!$B$5)</f>
        <v>3.2000000000000001E-2</v>
      </c>
      <c r="AC564">
        <f>P564*(1+ControlPanel!$B$6)</f>
        <v>1352.0220000000002</v>
      </c>
      <c r="AD564">
        <f>T564*(1+ControlPanel!$B$7)</f>
        <v>7.7000000000000011</v>
      </c>
      <c r="AE564" s="6">
        <f t="shared" si="124"/>
        <v>20252.549240000004</v>
      </c>
      <c r="AF564">
        <f t="shared" si="125"/>
        <v>9841.9798400000018</v>
      </c>
    </row>
    <row r="565" spans="1:32" x14ac:dyDescent="0.3">
      <c r="A565" t="s">
        <v>295</v>
      </c>
      <c r="B565" s="4">
        <v>45730</v>
      </c>
      <c r="C565" s="4" t="str">
        <f t="shared" si="114"/>
        <v>Mar-2025</v>
      </c>
      <c r="D565" t="str">
        <f t="shared" si="115"/>
        <v>Q1-2025</v>
      </c>
      <c r="E565" s="4">
        <v>45745</v>
      </c>
      <c r="F565" s="12">
        <f t="shared" si="112"/>
        <v>45745</v>
      </c>
      <c r="G565" s="13">
        <f t="shared" si="113"/>
        <v>15</v>
      </c>
      <c r="H565" t="s">
        <v>647</v>
      </c>
      <c r="I565" t="s">
        <v>652</v>
      </c>
      <c r="J565" t="s">
        <v>689</v>
      </c>
      <c r="K565" t="s">
        <v>703</v>
      </c>
      <c r="L565" t="s">
        <v>711</v>
      </c>
      <c r="M565" t="s">
        <v>722</v>
      </c>
      <c r="N565" t="s">
        <v>729</v>
      </c>
      <c r="O565" t="s">
        <v>1015</v>
      </c>
      <c r="P565" s="6">
        <v>1106.96</v>
      </c>
      <c r="Q565" s="6">
        <v>2726.62</v>
      </c>
      <c r="R565" s="10">
        <v>0</v>
      </c>
      <c r="S565" s="10" t="b">
        <f t="shared" si="116"/>
        <v>0</v>
      </c>
      <c r="T565" s="8">
        <v>7</v>
      </c>
      <c r="U565">
        <f t="shared" si="117"/>
        <v>19086.34</v>
      </c>
      <c r="V565">
        <f t="shared" si="118"/>
        <v>7748.72</v>
      </c>
      <c r="W565">
        <f t="shared" si="119"/>
        <v>11337.619999999999</v>
      </c>
      <c r="X565" s="10">
        <f t="shared" si="120"/>
        <v>0.59401750152203092</v>
      </c>
      <c r="Y565" t="str">
        <f t="shared" si="121"/>
        <v>High</v>
      </c>
      <c r="Z565" t="str">
        <f t="shared" si="122"/>
        <v>Not Met</v>
      </c>
      <c r="AA565" t="str">
        <f t="shared" si="123"/>
        <v>Low Discount</v>
      </c>
      <c r="AB565" s="10">
        <f>MIN(R565,ControlPanel!$B$5)</f>
        <v>0</v>
      </c>
      <c r="AC565">
        <f>P565*(1+ControlPanel!$B$6)</f>
        <v>1162.308</v>
      </c>
      <c r="AD565">
        <f>T565*(1+ControlPanel!$B$7)</f>
        <v>7.7000000000000011</v>
      </c>
      <c r="AE565" s="6">
        <f t="shared" si="124"/>
        <v>20994.974000000002</v>
      </c>
      <c r="AF565">
        <f t="shared" si="125"/>
        <v>12045.2024</v>
      </c>
    </row>
    <row r="566" spans="1:32" x14ac:dyDescent="0.3">
      <c r="A566" t="s">
        <v>494</v>
      </c>
      <c r="B566" s="4">
        <v>45293</v>
      </c>
      <c r="C566" s="4" t="str">
        <f t="shared" si="114"/>
        <v>Jan-2024</v>
      </c>
      <c r="D566" t="str">
        <f t="shared" si="115"/>
        <v>Q1-2024</v>
      </c>
      <c r="E566" s="4">
        <v>45306</v>
      </c>
      <c r="F566" s="12">
        <f t="shared" si="112"/>
        <v>45306</v>
      </c>
      <c r="G566" s="13">
        <f t="shared" si="113"/>
        <v>13</v>
      </c>
      <c r="H566" t="s">
        <v>647</v>
      </c>
      <c r="I566" t="s">
        <v>652</v>
      </c>
      <c r="J566" t="s">
        <v>694</v>
      </c>
      <c r="K566" t="s">
        <v>705</v>
      </c>
      <c r="L566" t="s">
        <v>709</v>
      </c>
      <c r="M566" t="s">
        <v>715</v>
      </c>
      <c r="N566" t="s">
        <v>729</v>
      </c>
      <c r="O566" t="s">
        <v>1213</v>
      </c>
      <c r="P566" s="6">
        <v>1219.06</v>
      </c>
      <c r="Q566" s="6">
        <v>2738.69</v>
      </c>
      <c r="R566" s="10">
        <v>7.5999999999999998E-2</v>
      </c>
      <c r="S566" s="10" t="b">
        <f t="shared" si="116"/>
        <v>0</v>
      </c>
      <c r="T566" s="8">
        <v>16</v>
      </c>
      <c r="U566">
        <f t="shared" si="117"/>
        <v>40488.792960000006</v>
      </c>
      <c r="V566">
        <f t="shared" si="118"/>
        <v>19504.96</v>
      </c>
      <c r="W566">
        <f t="shared" si="119"/>
        <v>20983.832960000007</v>
      </c>
      <c r="X566" s="10">
        <f t="shared" si="120"/>
        <v>0.51826274447673737</v>
      </c>
      <c r="Y566" t="str">
        <f t="shared" si="121"/>
        <v>High</v>
      </c>
      <c r="Z566" t="str">
        <f t="shared" si="122"/>
        <v>Not Met</v>
      </c>
      <c r="AA566" t="str">
        <f t="shared" si="123"/>
        <v>Low Discount</v>
      </c>
      <c r="AB566" s="10">
        <f>MIN(R566,ControlPanel!$B$5)</f>
        <v>7.5999999999999998E-2</v>
      </c>
      <c r="AC566">
        <f>P566*(1+ControlPanel!$B$6)</f>
        <v>1280.0129999999999</v>
      </c>
      <c r="AD566">
        <f>T566*(1+ControlPanel!$B$7)</f>
        <v>17.600000000000001</v>
      </c>
      <c r="AE566" s="6">
        <f t="shared" si="124"/>
        <v>44537.672256000013</v>
      </c>
      <c r="AF566">
        <f t="shared" si="125"/>
        <v>22009.443456000012</v>
      </c>
    </row>
    <row r="567" spans="1:32" x14ac:dyDescent="0.3">
      <c r="A567" t="s">
        <v>136</v>
      </c>
      <c r="B567" s="4">
        <v>45249</v>
      </c>
      <c r="C567" s="4" t="str">
        <f t="shared" si="114"/>
        <v>Nov-2023</v>
      </c>
      <c r="D567" t="str">
        <f t="shared" si="115"/>
        <v>Q4-2023</v>
      </c>
      <c r="E567" s="4">
        <v>45273</v>
      </c>
      <c r="F567" s="12">
        <f t="shared" si="112"/>
        <v>45273</v>
      </c>
      <c r="G567" s="13">
        <f t="shared" si="113"/>
        <v>24</v>
      </c>
      <c r="H567" t="s">
        <v>649</v>
      </c>
      <c r="I567" t="s">
        <v>657</v>
      </c>
      <c r="J567" t="s">
        <v>679</v>
      </c>
      <c r="K567" t="s">
        <v>703</v>
      </c>
      <c r="L567" t="s">
        <v>711</v>
      </c>
      <c r="M567" t="s">
        <v>722</v>
      </c>
      <c r="N567" t="s">
        <v>732</v>
      </c>
      <c r="O567" t="s">
        <v>855</v>
      </c>
      <c r="P567" s="6">
        <v>1297.42</v>
      </c>
      <c r="Q567" s="6">
        <v>2742.97</v>
      </c>
      <c r="R567" s="10">
        <v>6.9000000000000006E-2</v>
      </c>
      <c r="S567" s="10" t="b">
        <f t="shared" si="116"/>
        <v>0</v>
      </c>
      <c r="T567" s="8">
        <v>9</v>
      </c>
      <c r="U567">
        <f t="shared" si="117"/>
        <v>22983.34563</v>
      </c>
      <c r="V567">
        <f t="shared" si="118"/>
        <v>11676.78</v>
      </c>
      <c r="W567">
        <f t="shared" si="119"/>
        <v>11306.565629999999</v>
      </c>
      <c r="X567" s="10">
        <f t="shared" si="120"/>
        <v>0.49194602961727291</v>
      </c>
      <c r="Y567" t="str">
        <f t="shared" si="121"/>
        <v>High</v>
      </c>
      <c r="Z567" t="str">
        <f t="shared" si="122"/>
        <v>Not Met</v>
      </c>
      <c r="AA567" t="str">
        <f t="shared" si="123"/>
        <v>Low Discount</v>
      </c>
      <c r="AB567" s="10">
        <f>MIN(R567,ControlPanel!$B$5)</f>
        <v>6.9000000000000006E-2</v>
      </c>
      <c r="AC567">
        <f>P567*(1+ControlPanel!$B$6)</f>
        <v>1362.2910000000002</v>
      </c>
      <c r="AD567">
        <f>T567*(1+ControlPanel!$B$7)</f>
        <v>9.9</v>
      </c>
      <c r="AE567" s="6">
        <f t="shared" si="124"/>
        <v>25281.680193</v>
      </c>
      <c r="AF567">
        <f t="shared" si="125"/>
        <v>11794.999292999997</v>
      </c>
    </row>
    <row r="568" spans="1:32" x14ac:dyDescent="0.3">
      <c r="A568" t="s">
        <v>349</v>
      </c>
      <c r="B568" s="4">
        <v>45391</v>
      </c>
      <c r="C568" s="4" t="str">
        <f t="shared" si="114"/>
        <v>Apr-2024</v>
      </c>
      <c r="D568" t="str">
        <f t="shared" si="115"/>
        <v>Q2-2024</v>
      </c>
      <c r="E568" s="4">
        <v>45400</v>
      </c>
      <c r="F568" s="12">
        <f t="shared" si="112"/>
        <v>45400</v>
      </c>
      <c r="G568" s="13">
        <f t="shared" si="113"/>
        <v>9</v>
      </c>
      <c r="H568" t="s">
        <v>649</v>
      </c>
      <c r="I568" t="s">
        <v>657</v>
      </c>
      <c r="J568" t="s">
        <v>679</v>
      </c>
      <c r="K568" t="s">
        <v>704</v>
      </c>
      <c r="L568" t="s">
        <v>708</v>
      </c>
      <c r="M568" t="s">
        <v>718</v>
      </c>
      <c r="N568" t="s">
        <v>728</v>
      </c>
      <c r="O568" t="s">
        <v>1069</v>
      </c>
      <c r="P568" s="6">
        <v>1288.8499999999999</v>
      </c>
      <c r="Q568" s="6">
        <v>2751.84</v>
      </c>
      <c r="R568" s="10">
        <v>0.158</v>
      </c>
      <c r="S568" s="10" t="b">
        <f t="shared" si="116"/>
        <v>0</v>
      </c>
      <c r="T568" s="8">
        <v>7</v>
      </c>
      <c r="U568">
        <f t="shared" si="117"/>
        <v>16219.344960000002</v>
      </c>
      <c r="V568">
        <f t="shared" si="118"/>
        <v>9021.9499999999989</v>
      </c>
      <c r="W568">
        <f t="shared" si="119"/>
        <v>7197.3949600000033</v>
      </c>
      <c r="X568" s="10">
        <f t="shared" si="120"/>
        <v>0.44375373837538767</v>
      </c>
      <c r="Y568" t="str">
        <f t="shared" si="121"/>
        <v>High</v>
      </c>
      <c r="Z568" t="str">
        <f t="shared" si="122"/>
        <v>Not Met</v>
      </c>
      <c r="AA568" t="str">
        <f t="shared" si="123"/>
        <v>Low Discount</v>
      </c>
      <c r="AB568" s="10">
        <f>MIN(R568,ControlPanel!$B$5)</f>
        <v>0.158</v>
      </c>
      <c r="AC568">
        <f>P568*(1+ControlPanel!$B$6)</f>
        <v>1353.2925</v>
      </c>
      <c r="AD568">
        <f>T568*(1+ControlPanel!$B$7)</f>
        <v>7.7000000000000011</v>
      </c>
      <c r="AE568" s="6">
        <f t="shared" si="124"/>
        <v>17841.279456000004</v>
      </c>
      <c r="AF568">
        <f t="shared" si="125"/>
        <v>7420.9272060000021</v>
      </c>
    </row>
    <row r="569" spans="1:32" x14ac:dyDescent="0.3">
      <c r="A569" t="s">
        <v>617</v>
      </c>
      <c r="B569" s="4">
        <v>45793</v>
      </c>
      <c r="C569" s="4" t="str">
        <f t="shared" si="114"/>
        <v>May-2025</v>
      </c>
      <c r="D569" t="str">
        <f t="shared" si="115"/>
        <v>Q2-2025</v>
      </c>
      <c r="E569" s="4">
        <v>45795</v>
      </c>
      <c r="F569" s="12">
        <f t="shared" si="112"/>
        <v>45795</v>
      </c>
      <c r="G569" s="13">
        <f t="shared" si="113"/>
        <v>2</v>
      </c>
      <c r="H569" t="s">
        <v>647</v>
      </c>
      <c r="I569" t="s">
        <v>652</v>
      </c>
      <c r="J569" t="s">
        <v>689</v>
      </c>
      <c r="K569" t="s">
        <v>706</v>
      </c>
      <c r="L569" t="s">
        <v>707</v>
      </c>
      <c r="M569" t="s">
        <v>713</v>
      </c>
      <c r="N569" t="s">
        <v>728</v>
      </c>
      <c r="O569" t="s">
        <v>1335</v>
      </c>
      <c r="P569" s="6">
        <v>1144.3800000000001</v>
      </c>
      <c r="Q569" s="6">
        <v>2755.04</v>
      </c>
      <c r="R569" s="10">
        <v>0.15</v>
      </c>
      <c r="S569" s="10" t="b">
        <f t="shared" si="116"/>
        <v>0</v>
      </c>
      <c r="T569" s="8">
        <v>17</v>
      </c>
      <c r="U569">
        <f t="shared" si="117"/>
        <v>39810.328000000001</v>
      </c>
      <c r="V569">
        <f t="shared" si="118"/>
        <v>19454.460000000003</v>
      </c>
      <c r="W569">
        <f t="shared" si="119"/>
        <v>20355.867999999999</v>
      </c>
      <c r="X569" s="10">
        <f t="shared" si="120"/>
        <v>0.51132128326096682</v>
      </c>
      <c r="Y569" t="str">
        <f t="shared" si="121"/>
        <v>High</v>
      </c>
      <c r="Z569" t="str">
        <f t="shared" si="122"/>
        <v>Met</v>
      </c>
      <c r="AA569" t="str">
        <f t="shared" si="123"/>
        <v>Low Discount</v>
      </c>
      <c r="AB569" s="10">
        <f>MIN(R569,ControlPanel!$B$5)</f>
        <v>0.15</v>
      </c>
      <c r="AC569">
        <f>P569*(1+ControlPanel!$B$6)</f>
        <v>1201.5990000000002</v>
      </c>
      <c r="AD569">
        <f>T569*(1+ControlPanel!$B$7)</f>
        <v>18.700000000000003</v>
      </c>
      <c r="AE569" s="6">
        <f t="shared" si="124"/>
        <v>43791.360800000009</v>
      </c>
      <c r="AF569">
        <f t="shared" si="125"/>
        <v>21321.459500000004</v>
      </c>
    </row>
    <row r="570" spans="1:32" x14ac:dyDescent="0.3">
      <c r="A570" t="s">
        <v>251</v>
      </c>
      <c r="B570" s="4">
        <v>45855</v>
      </c>
      <c r="C570" s="4" t="str">
        <f t="shared" si="114"/>
        <v>Jul-2025</v>
      </c>
      <c r="D570" t="str">
        <f t="shared" si="115"/>
        <v>Q3-2025</v>
      </c>
      <c r="E570" s="4">
        <v>45861</v>
      </c>
      <c r="F570" s="12">
        <f t="shared" si="112"/>
        <v>45861</v>
      </c>
      <c r="G570" s="13">
        <f t="shared" si="113"/>
        <v>6</v>
      </c>
      <c r="H570" t="s">
        <v>648</v>
      </c>
      <c r="I570" t="s">
        <v>653</v>
      </c>
      <c r="J570" t="s">
        <v>688</v>
      </c>
      <c r="K570" t="s">
        <v>704</v>
      </c>
      <c r="L570" t="s">
        <v>708</v>
      </c>
      <c r="M570" t="s">
        <v>722</v>
      </c>
      <c r="N570" t="s">
        <v>727</v>
      </c>
      <c r="O570" t="s">
        <v>971</v>
      </c>
      <c r="P570" s="6">
        <v>1364.89</v>
      </c>
      <c r="Q570" s="6">
        <v>2757.54</v>
      </c>
      <c r="R570" s="10">
        <v>0.17199999999999999</v>
      </c>
      <c r="S570" s="10" t="b">
        <f t="shared" si="116"/>
        <v>0</v>
      </c>
      <c r="T570" s="8">
        <v>61</v>
      </c>
      <c r="U570">
        <f t="shared" si="117"/>
        <v>139277.83032000001</v>
      </c>
      <c r="V570">
        <f t="shared" si="118"/>
        <v>83258.290000000008</v>
      </c>
      <c r="W570">
        <f t="shared" si="119"/>
        <v>56019.54032</v>
      </c>
      <c r="X570" s="10">
        <f t="shared" si="120"/>
        <v>0.4022143379983118</v>
      </c>
      <c r="Y570" t="str">
        <f t="shared" si="121"/>
        <v>High</v>
      </c>
      <c r="Z570" t="str">
        <f t="shared" si="122"/>
        <v>Met</v>
      </c>
      <c r="AA570" t="str">
        <f t="shared" si="123"/>
        <v>Low Discount</v>
      </c>
      <c r="AB570" s="10">
        <f>MIN(R570,ControlPanel!$B$5)</f>
        <v>0.17199999999999999</v>
      </c>
      <c r="AC570">
        <f>P570*(1+ControlPanel!$B$6)</f>
        <v>1433.1345000000001</v>
      </c>
      <c r="AD570">
        <f>T570*(1+ControlPanel!$B$7)</f>
        <v>67.100000000000009</v>
      </c>
      <c r="AE570" s="6">
        <f t="shared" si="124"/>
        <v>153205.61335200001</v>
      </c>
      <c r="AF570">
        <f t="shared" si="125"/>
        <v>57042.288401999991</v>
      </c>
    </row>
    <row r="571" spans="1:32" x14ac:dyDescent="0.3">
      <c r="A571" t="s">
        <v>95</v>
      </c>
      <c r="B571" s="4">
        <v>44965</v>
      </c>
      <c r="C571" s="4" t="str">
        <f t="shared" si="114"/>
        <v>Feb-2023</v>
      </c>
      <c r="D571" t="str">
        <f t="shared" si="115"/>
        <v>Q1-2023</v>
      </c>
      <c r="E571" s="4">
        <v>44968</v>
      </c>
      <c r="F571" s="12">
        <f t="shared" si="112"/>
        <v>44968</v>
      </c>
      <c r="G571" s="13">
        <f t="shared" si="113"/>
        <v>3</v>
      </c>
      <c r="H571" t="s">
        <v>646</v>
      </c>
      <c r="I571" t="s">
        <v>661</v>
      </c>
      <c r="J571" t="s">
        <v>695</v>
      </c>
      <c r="K571" t="s">
        <v>701</v>
      </c>
      <c r="L571" t="s">
        <v>711</v>
      </c>
      <c r="M571" t="s">
        <v>724</v>
      </c>
      <c r="N571" t="s">
        <v>729</v>
      </c>
      <c r="O571" t="s">
        <v>814</v>
      </c>
      <c r="P571" s="6">
        <v>1410.05</v>
      </c>
      <c r="Q571" s="6">
        <v>2763.95</v>
      </c>
      <c r="R571" s="10">
        <v>0.161</v>
      </c>
      <c r="S571" s="10" t="b">
        <f t="shared" si="116"/>
        <v>0</v>
      </c>
      <c r="T571" s="8">
        <v>26</v>
      </c>
      <c r="U571">
        <f t="shared" si="117"/>
        <v>60292.805299999993</v>
      </c>
      <c r="V571">
        <f t="shared" si="118"/>
        <v>36661.299999999996</v>
      </c>
      <c r="W571">
        <f t="shared" si="119"/>
        <v>23631.505299999997</v>
      </c>
      <c r="X571" s="10">
        <f t="shared" si="120"/>
        <v>0.39194569206750779</v>
      </c>
      <c r="Y571" t="str">
        <f t="shared" si="121"/>
        <v>High</v>
      </c>
      <c r="Z571" t="str">
        <f t="shared" si="122"/>
        <v>Met</v>
      </c>
      <c r="AA571" t="str">
        <f t="shared" si="123"/>
        <v>Low Discount</v>
      </c>
      <c r="AB571" s="10">
        <f>MIN(R571,ControlPanel!$B$5)</f>
        <v>0.161</v>
      </c>
      <c r="AC571">
        <f>P571*(1+ControlPanel!$B$6)</f>
        <v>1480.5525</v>
      </c>
      <c r="AD571">
        <f>T571*(1+ControlPanel!$B$7)</f>
        <v>28.6</v>
      </c>
      <c r="AE571" s="6">
        <f t="shared" si="124"/>
        <v>66322.085829999996</v>
      </c>
      <c r="AF571">
        <f t="shared" si="125"/>
        <v>23978.284329999995</v>
      </c>
    </row>
    <row r="572" spans="1:32" x14ac:dyDescent="0.3">
      <c r="A572" t="s">
        <v>445</v>
      </c>
      <c r="B572" s="4">
        <v>45654</v>
      </c>
      <c r="C572" s="4" t="str">
        <f t="shared" si="114"/>
        <v>Dec-2024</v>
      </c>
      <c r="D572" t="str">
        <f t="shared" si="115"/>
        <v>Q4-2024</v>
      </c>
      <c r="E572" s="4">
        <v>45665</v>
      </c>
      <c r="F572" s="12">
        <f t="shared" si="112"/>
        <v>45665</v>
      </c>
      <c r="G572" s="13">
        <f t="shared" si="113"/>
        <v>11</v>
      </c>
      <c r="H572" t="s">
        <v>647</v>
      </c>
      <c r="I572" t="s">
        <v>659</v>
      </c>
      <c r="J572" t="s">
        <v>676</v>
      </c>
      <c r="K572" t="s">
        <v>706</v>
      </c>
      <c r="L572" t="s">
        <v>708</v>
      </c>
      <c r="M572" t="s">
        <v>723</v>
      </c>
      <c r="N572" t="s">
        <v>731</v>
      </c>
      <c r="O572" t="s">
        <v>1164</v>
      </c>
      <c r="P572" s="6">
        <v>1201.31</v>
      </c>
      <c r="Q572" s="6">
        <v>2764.65</v>
      </c>
      <c r="R572" s="10">
        <v>0</v>
      </c>
      <c r="S572" s="10" t="b">
        <f t="shared" si="116"/>
        <v>0</v>
      </c>
      <c r="T572" s="8">
        <v>21</v>
      </c>
      <c r="U572">
        <f t="shared" si="117"/>
        <v>58057.65</v>
      </c>
      <c r="V572">
        <f t="shared" si="118"/>
        <v>25227.51</v>
      </c>
      <c r="W572">
        <f t="shared" si="119"/>
        <v>32830.14</v>
      </c>
      <c r="X572" s="10">
        <f t="shared" si="120"/>
        <v>0.56547483406579491</v>
      </c>
      <c r="Y572" t="str">
        <f t="shared" si="121"/>
        <v>High</v>
      </c>
      <c r="Z572" t="str">
        <f t="shared" si="122"/>
        <v>Not Met</v>
      </c>
      <c r="AA572" t="str">
        <f t="shared" si="123"/>
        <v>Low Discount</v>
      </c>
      <c r="AB572" s="10">
        <f>MIN(R572,ControlPanel!$B$5)</f>
        <v>0</v>
      </c>
      <c r="AC572">
        <f>P572*(1+ControlPanel!$B$6)</f>
        <v>1261.3755000000001</v>
      </c>
      <c r="AD572">
        <f>T572*(1+ControlPanel!$B$7)</f>
        <v>23.1</v>
      </c>
      <c r="AE572" s="6">
        <f t="shared" si="124"/>
        <v>63863.415000000008</v>
      </c>
      <c r="AF572">
        <f t="shared" si="125"/>
        <v>34725.640950000001</v>
      </c>
    </row>
    <row r="573" spans="1:32" x14ac:dyDescent="0.3">
      <c r="A573" t="s">
        <v>496</v>
      </c>
      <c r="B573" s="4">
        <v>45899</v>
      </c>
      <c r="C573" s="4" t="str">
        <f t="shared" si="114"/>
        <v>Aug-2025</v>
      </c>
      <c r="D573" t="str">
        <f t="shared" si="115"/>
        <v>Q3-2025</v>
      </c>
      <c r="E573" s="4">
        <v>45903</v>
      </c>
      <c r="F573" s="12">
        <f t="shared" si="112"/>
        <v>45903</v>
      </c>
      <c r="G573" s="13">
        <f t="shared" si="113"/>
        <v>4</v>
      </c>
      <c r="H573" t="s">
        <v>649</v>
      </c>
      <c r="I573" t="s">
        <v>657</v>
      </c>
      <c r="J573" t="s">
        <v>673</v>
      </c>
      <c r="K573" t="s">
        <v>705</v>
      </c>
      <c r="L573" t="s">
        <v>709</v>
      </c>
      <c r="M573" t="s">
        <v>713</v>
      </c>
      <c r="N573" t="s">
        <v>731</v>
      </c>
      <c r="O573" t="s">
        <v>1215</v>
      </c>
      <c r="P573" s="6">
        <v>1286.56</v>
      </c>
      <c r="Q573" s="6">
        <v>2777.35</v>
      </c>
      <c r="R573" s="10">
        <v>0.13200000000000001</v>
      </c>
      <c r="S573" s="10" t="b">
        <f t="shared" si="116"/>
        <v>0</v>
      </c>
      <c r="T573" s="8">
        <v>15</v>
      </c>
      <c r="U573">
        <f t="shared" si="117"/>
        <v>36161.096999999994</v>
      </c>
      <c r="V573">
        <f t="shared" si="118"/>
        <v>19298.399999999998</v>
      </c>
      <c r="W573">
        <f t="shared" si="119"/>
        <v>16862.696999999996</v>
      </c>
      <c r="X573" s="10">
        <f t="shared" si="120"/>
        <v>0.46632150014696733</v>
      </c>
      <c r="Y573" t="str">
        <f t="shared" si="121"/>
        <v>High</v>
      </c>
      <c r="Z573" t="str">
        <f t="shared" si="122"/>
        <v>Met</v>
      </c>
      <c r="AA573" t="str">
        <f t="shared" si="123"/>
        <v>Low Discount</v>
      </c>
      <c r="AB573" s="10">
        <f>MIN(R573,ControlPanel!$B$5)</f>
        <v>0.13200000000000001</v>
      </c>
      <c r="AC573">
        <f>P573*(1+ControlPanel!$B$6)</f>
        <v>1350.8879999999999</v>
      </c>
      <c r="AD573">
        <f>T573*(1+ControlPanel!$B$7)</f>
        <v>16.5</v>
      </c>
      <c r="AE573" s="6">
        <f t="shared" si="124"/>
        <v>39777.206699999995</v>
      </c>
      <c r="AF573">
        <f t="shared" si="125"/>
        <v>17487.554699999997</v>
      </c>
    </row>
    <row r="574" spans="1:32" x14ac:dyDescent="0.3">
      <c r="A574" t="s">
        <v>503</v>
      </c>
      <c r="B574" s="4">
        <v>45792</v>
      </c>
      <c r="C574" s="4" t="str">
        <f t="shared" si="114"/>
        <v>May-2025</v>
      </c>
      <c r="D574" t="str">
        <f t="shared" si="115"/>
        <v>Q2-2025</v>
      </c>
      <c r="E574" s="4">
        <v>45813</v>
      </c>
      <c r="F574" s="12">
        <f t="shared" si="112"/>
        <v>45813</v>
      </c>
      <c r="G574" s="13">
        <f t="shared" si="113"/>
        <v>21</v>
      </c>
      <c r="H574" t="s">
        <v>647</v>
      </c>
      <c r="I574" t="s">
        <v>652</v>
      </c>
      <c r="J574" t="s">
        <v>666</v>
      </c>
      <c r="K574" t="s">
        <v>706</v>
      </c>
      <c r="L574" t="s">
        <v>711</v>
      </c>
      <c r="M574" t="s">
        <v>722</v>
      </c>
      <c r="N574" t="s">
        <v>730</v>
      </c>
      <c r="O574" t="s">
        <v>1222</v>
      </c>
      <c r="P574" s="6">
        <v>1466.5</v>
      </c>
      <c r="Q574" s="6">
        <v>2778.74</v>
      </c>
      <c r="R574" s="10">
        <v>0.13500000000000001</v>
      </c>
      <c r="S574" s="10" t="b">
        <f t="shared" si="116"/>
        <v>0</v>
      </c>
      <c r="T574" s="8">
        <v>4</v>
      </c>
      <c r="U574">
        <f t="shared" si="117"/>
        <v>9614.4403999999995</v>
      </c>
      <c r="V574">
        <f t="shared" si="118"/>
        <v>5866</v>
      </c>
      <c r="W574">
        <f t="shared" si="119"/>
        <v>3748.4403999999995</v>
      </c>
      <c r="X574" s="10">
        <f t="shared" si="120"/>
        <v>0.38987608680792279</v>
      </c>
      <c r="Y574" t="str">
        <f t="shared" si="121"/>
        <v>High</v>
      </c>
      <c r="Z574" t="str">
        <f t="shared" si="122"/>
        <v>Not Met</v>
      </c>
      <c r="AA574" t="str">
        <f t="shared" si="123"/>
        <v>Low Discount</v>
      </c>
      <c r="AB574" s="10">
        <f>MIN(R574,ControlPanel!$B$5)</f>
        <v>0.13500000000000001</v>
      </c>
      <c r="AC574">
        <f>P574*(1+ControlPanel!$B$6)</f>
        <v>1539.825</v>
      </c>
      <c r="AD574">
        <f>T574*(1+ControlPanel!$B$7)</f>
        <v>4.4000000000000004</v>
      </c>
      <c r="AE574" s="6">
        <f t="shared" si="124"/>
        <v>10575.88444</v>
      </c>
      <c r="AF574">
        <f t="shared" si="125"/>
        <v>3800.6544399999993</v>
      </c>
    </row>
    <row r="575" spans="1:32" x14ac:dyDescent="0.3">
      <c r="A575" t="s">
        <v>359</v>
      </c>
      <c r="B575" s="4">
        <v>45261</v>
      </c>
      <c r="C575" s="4" t="str">
        <f t="shared" si="114"/>
        <v>Dec-2023</v>
      </c>
      <c r="D575" t="str">
        <f t="shared" si="115"/>
        <v>Q4-2023</v>
      </c>
      <c r="E575" s="4">
        <v>45278</v>
      </c>
      <c r="F575" s="12">
        <f t="shared" si="112"/>
        <v>45278</v>
      </c>
      <c r="G575" s="13">
        <f t="shared" si="113"/>
        <v>17</v>
      </c>
      <c r="H575" t="s">
        <v>647</v>
      </c>
      <c r="I575" t="s">
        <v>652</v>
      </c>
      <c r="J575" t="s">
        <v>694</v>
      </c>
      <c r="K575" t="s">
        <v>705</v>
      </c>
      <c r="L575" t="s">
        <v>711</v>
      </c>
      <c r="M575" t="s">
        <v>725</v>
      </c>
      <c r="N575" t="s">
        <v>731</v>
      </c>
      <c r="O575" t="s">
        <v>1079</v>
      </c>
      <c r="P575" s="6">
        <v>1495.79</v>
      </c>
      <c r="Q575" s="6">
        <v>2783.12</v>
      </c>
      <c r="R575" s="10">
        <v>0.02</v>
      </c>
      <c r="S575" s="10" t="b">
        <f t="shared" si="116"/>
        <v>0</v>
      </c>
      <c r="T575" s="8">
        <v>5</v>
      </c>
      <c r="U575">
        <f t="shared" si="117"/>
        <v>13637.287999999999</v>
      </c>
      <c r="V575">
        <f t="shared" si="118"/>
        <v>7478.95</v>
      </c>
      <c r="W575">
        <f t="shared" si="119"/>
        <v>6158.3379999999988</v>
      </c>
      <c r="X575" s="10">
        <f t="shared" si="120"/>
        <v>0.45158084217331185</v>
      </c>
      <c r="Y575" t="str">
        <f t="shared" si="121"/>
        <v>High</v>
      </c>
      <c r="Z575" t="str">
        <f t="shared" si="122"/>
        <v>Not Met</v>
      </c>
      <c r="AA575" t="str">
        <f t="shared" si="123"/>
        <v>Low Discount</v>
      </c>
      <c r="AB575" s="10">
        <f>MIN(R575,ControlPanel!$B$5)</f>
        <v>0.02</v>
      </c>
      <c r="AC575">
        <f>P575*(1+ControlPanel!$B$6)</f>
        <v>1570.5795000000001</v>
      </c>
      <c r="AD575">
        <f>T575*(1+ControlPanel!$B$7)</f>
        <v>5.5</v>
      </c>
      <c r="AE575" s="6">
        <f t="shared" si="124"/>
        <v>15001.016799999998</v>
      </c>
      <c r="AF575">
        <f t="shared" si="125"/>
        <v>6362.8295499999967</v>
      </c>
    </row>
    <row r="576" spans="1:32" x14ac:dyDescent="0.3">
      <c r="A576" t="s">
        <v>628</v>
      </c>
      <c r="B576" s="4">
        <v>45137</v>
      </c>
      <c r="C576" s="4" t="str">
        <f t="shared" si="114"/>
        <v>Jul-2023</v>
      </c>
      <c r="D576" t="str">
        <f t="shared" si="115"/>
        <v>Q3-2023</v>
      </c>
      <c r="E576" s="4">
        <v>45157</v>
      </c>
      <c r="F576" s="12">
        <f t="shared" si="112"/>
        <v>45157</v>
      </c>
      <c r="G576" s="13">
        <f t="shared" si="113"/>
        <v>20</v>
      </c>
      <c r="H576" t="s">
        <v>649</v>
      </c>
      <c r="I576" t="s">
        <v>657</v>
      </c>
      <c r="J576" t="s">
        <v>690</v>
      </c>
      <c r="K576" t="s">
        <v>706</v>
      </c>
      <c r="L576" t="s">
        <v>709</v>
      </c>
      <c r="M576" t="s">
        <v>715</v>
      </c>
      <c r="N576" t="s">
        <v>729</v>
      </c>
      <c r="O576" t="s">
        <v>1346</v>
      </c>
      <c r="P576" s="6">
        <v>1418.51</v>
      </c>
      <c r="Q576" s="6">
        <v>2789.61</v>
      </c>
      <c r="R576" s="10">
        <v>0.17100000000000001</v>
      </c>
      <c r="S576" s="10" t="b">
        <f t="shared" si="116"/>
        <v>0</v>
      </c>
      <c r="T576" s="8">
        <v>8</v>
      </c>
      <c r="U576">
        <f t="shared" si="117"/>
        <v>18500.693520000001</v>
      </c>
      <c r="V576">
        <f t="shared" si="118"/>
        <v>11348.08</v>
      </c>
      <c r="W576">
        <f t="shared" si="119"/>
        <v>7152.6135200000008</v>
      </c>
      <c r="X576" s="10">
        <f t="shared" si="120"/>
        <v>0.38661326464695689</v>
      </c>
      <c r="Y576" t="str">
        <f t="shared" si="121"/>
        <v>High</v>
      </c>
      <c r="Z576" t="str">
        <f t="shared" si="122"/>
        <v>Not Met</v>
      </c>
      <c r="AA576" t="str">
        <f t="shared" si="123"/>
        <v>Low Discount</v>
      </c>
      <c r="AB576" s="10">
        <f>MIN(R576,ControlPanel!$B$5)</f>
        <v>0.17100000000000001</v>
      </c>
      <c r="AC576">
        <f>P576*(1+ControlPanel!$B$6)</f>
        <v>1489.4355</v>
      </c>
      <c r="AD576">
        <f>T576*(1+ControlPanel!$B$7)</f>
        <v>8.8000000000000007</v>
      </c>
      <c r="AE576" s="6">
        <f t="shared" si="124"/>
        <v>20350.762872000003</v>
      </c>
      <c r="AF576">
        <f t="shared" si="125"/>
        <v>7243.7304720000011</v>
      </c>
    </row>
    <row r="577" spans="1:32" x14ac:dyDescent="0.3">
      <c r="A577" t="s">
        <v>71</v>
      </c>
      <c r="B577" s="4">
        <v>45697</v>
      </c>
      <c r="C577" s="4" t="str">
        <f t="shared" si="114"/>
        <v>Feb-2025</v>
      </c>
      <c r="D577" t="str">
        <f t="shared" si="115"/>
        <v>Q1-2025</v>
      </c>
      <c r="E577" s="4">
        <v>45717</v>
      </c>
      <c r="F577" s="12">
        <f t="shared" si="112"/>
        <v>45717</v>
      </c>
      <c r="G577" s="13">
        <f t="shared" si="113"/>
        <v>20</v>
      </c>
      <c r="H577" t="s">
        <v>648</v>
      </c>
      <c r="I577" t="s">
        <v>655</v>
      </c>
      <c r="J577" t="s">
        <v>670</v>
      </c>
      <c r="K577" t="s">
        <v>701</v>
      </c>
      <c r="L577" t="s">
        <v>710</v>
      </c>
      <c r="M577" t="s">
        <v>717</v>
      </c>
      <c r="N577" t="s">
        <v>731</v>
      </c>
      <c r="O577" t="s">
        <v>790</v>
      </c>
      <c r="P577" s="6">
        <v>1154.6400000000001</v>
      </c>
      <c r="Q577" s="6">
        <v>2794.13</v>
      </c>
      <c r="R577" s="10">
        <v>3.5000000000000003E-2</v>
      </c>
      <c r="S577" s="10" t="b">
        <f t="shared" si="116"/>
        <v>0</v>
      </c>
      <c r="T577" s="8">
        <v>11</v>
      </c>
      <c r="U577">
        <f t="shared" si="117"/>
        <v>29659.68995</v>
      </c>
      <c r="V577">
        <f t="shared" si="118"/>
        <v>12701.04</v>
      </c>
      <c r="W577">
        <f t="shared" si="119"/>
        <v>16958.649949999999</v>
      </c>
      <c r="X577" s="10">
        <f t="shared" si="120"/>
        <v>0.57177435025749479</v>
      </c>
      <c r="Y577" t="str">
        <f t="shared" si="121"/>
        <v>High</v>
      </c>
      <c r="Z577" t="str">
        <f t="shared" si="122"/>
        <v>Not Met</v>
      </c>
      <c r="AA577" t="str">
        <f t="shared" si="123"/>
        <v>Low Discount</v>
      </c>
      <c r="AB577" s="10">
        <f>MIN(R577,ControlPanel!$B$5)</f>
        <v>3.5000000000000003E-2</v>
      </c>
      <c r="AC577">
        <f>P577*(1+ControlPanel!$B$6)</f>
        <v>1212.3720000000001</v>
      </c>
      <c r="AD577">
        <f>T577*(1+ControlPanel!$B$7)</f>
        <v>12.100000000000001</v>
      </c>
      <c r="AE577" s="6">
        <f t="shared" si="124"/>
        <v>32625.658945000003</v>
      </c>
      <c r="AF577">
        <f t="shared" si="125"/>
        <v>17955.957745</v>
      </c>
    </row>
    <row r="578" spans="1:32" x14ac:dyDescent="0.3">
      <c r="A578" t="s">
        <v>555</v>
      </c>
      <c r="B578" s="4">
        <v>45115</v>
      </c>
      <c r="C578" s="4" t="str">
        <f t="shared" si="114"/>
        <v>Jul-2023</v>
      </c>
      <c r="D578" t="str">
        <f t="shared" si="115"/>
        <v>Q3-2023</v>
      </c>
      <c r="E578" s="4">
        <v>45116</v>
      </c>
      <c r="F578" s="12">
        <f t="shared" ref="F578:F610" si="126">IF(B578&gt;E578,B578+14,E578)</f>
        <v>45116</v>
      </c>
      <c r="G578" s="13">
        <f t="shared" ref="G578:G610" si="127">F578-B578</f>
        <v>1</v>
      </c>
      <c r="H578" t="s">
        <v>646</v>
      </c>
      <c r="I578" t="s">
        <v>650</v>
      </c>
      <c r="J578" t="s">
        <v>664</v>
      </c>
      <c r="K578" t="s">
        <v>704</v>
      </c>
      <c r="L578" t="s">
        <v>708</v>
      </c>
      <c r="M578" t="s">
        <v>726</v>
      </c>
      <c r="N578" t="s">
        <v>731</v>
      </c>
      <c r="O578" t="s">
        <v>1273</v>
      </c>
      <c r="P578" s="6">
        <v>1258.72</v>
      </c>
      <c r="Q578" s="6">
        <v>2797.41</v>
      </c>
      <c r="R578" s="10">
        <v>0</v>
      </c>
      <c r="S578" s="10" t="b">
        <f t="shared" si="116"/>
        <v>0</v>
      </c>
      <c r="T578" s="8">
        <v>7</v>
      </c>
      <c r="U578">
        <f t="shared" si="117"/>
        <v>19581.87</v>
      </c>
      <c r="V578">
        <f t="shared" si="118"/>
        <v>8811.0400000000009</v>
      </c>
      <c r="W578">
        <f t="shared" si="119"/>
        <v>10770.829999999998</v>
      </c>
      <c r="X578" s="10">
        <f t="shared" si="120"/>
        <v>0.55004093071805704</v>
      </c>
      <c r="Y578" t="str">
        <f t="shared" si="121"/>
        <v>High</v>
      </c>
      <c r="Z578" t="str">
        <f t="shared" si="122"/>
        <v>Met</v>
      </c>
      <c r="AA578" t="str">
        <f t="shared" si="123"/>
        <v>Low Discount</v>
      </c>
      <c r="AB578" s="10">
        <f>MIN(R578,ControlPanel!$B$5)</f>
        <v>0</v>
      </c>
      <c r="AC578">
        <f>P578*(1+ControlPanel!$B$6)</f>
        <v>1321.6560000000002</v>
      </c>
      <c r="AD578">
        <f>T578*(1+ControlPanel!$B$7)</f>
        <v>7.7000000000000011</v>
      </c>
      <c r="AE578" s="6">
        <f t="shared" si="124"/>
        <v>21540.057000000001</v>
      </c>
      <c r="AF578">
        <f t="shared" si="125"/>
        <v>11363.305799999998</v>
      </c>
    </row>
    <row r="579" spans="1:32" x14ac:dyDescent="0.3">
      <c r="A579" t="s">
        <v>548</v>
      </c>
      <c r="B579" s="4">
        <v>45832</v>
      </c>
      <c r="C579" s="4" t="str">
        <f t="shared" ref="C579:C610" si="128">TEXT(B579,"MMM-YYYY")</f>
        <v>Jun-2025</v>
      </c>
      <c r="D579" t="str">
        <f t="shared" ref="D579:D610" si="129">"Q" &amp; ROUNDUP(MONTH(B579)/3,0) &amp; "-" &amp; YEAR(B579)</f>
        <v>Q2-2025</v>
      </c>
      <c r="E579" s="4">
        <v>45852</v>
      </c>
      <c r="F579" s="12">
        <f t="shared" si="126"/>
        <v>45852</v>
      </c>
      <c r="G579" s="13">
        <f t="shared" si="127"/>
        <v>20</v>
      </c>
      <c r="H579" t="s">
        <v>646</v>
      </c>
      <c r="I579" t="s">
        <v>661</v>
      </c>
      <c r="J579" t="s">
        <v>682</v>
      </c>
      <c r="K579" t="s">
        <v>706</v>
      </c>
      <c r="L579" t="s">
        <v>709</v>
      </c>
      <c r="M579" t="s">
        <v>713</v>
      </c>
      <c r="N579" t="s">
        <v>731</v>
      </c>
      <c r="O579" t="s">
        <v>1267</v>
      </c>
      <c r="P579" s="6">
        <v>1151.06</v>
      </c>
      <c r="Q579" s="6">
        <v>2821.36</v>
      </c>
      <c r="R579" s="10">
        <v>0.248</v>
      </c>
      <c r="S579" s="10" t="b">
        <f t="shared" ref="S579:S610" si="130">IF(R579&gt;30,TRUE)</f>
        <v>0</v>
      </c>
      <c r="T579" s="8">
        <v>20</v>
      </c>
      <c r="U579">
        <f t="shared" ref="U579:U610" si="131">(Q579*(100%-R579))*T579</f>
        <v>42433.254400000005</v>
      </c>
      <c r="V579">
        <f t="shared" ref="V579:V610" si="132">P579*T579</f>
        <v>23021.199999999997</v>
      </c>
      <c r="W579">
        <f t="shared" ref="W579:W610" si="133">U579-V579</f>
        <v>19412.054400000008</v>
      </c>
      <c r="X579" s="10">
        <f t="shared" ref="X579:X610" si="134">IF(U579=0,0,W579/U579)</f>
        <v>0.45747267501594235</v>
      </c>
      <c r="Y579" t="str">
        <f t="shared" ref="Y579:Y610" si="135">IF(Q579&lt;=_xlfn.PERCENTILE.INC($Q$2:$Q$610,0.33),"Low",IF(Q579&lt;=_xlfn.PERCENTILE.INC($Q$2:$Q$610,0.67),"Medium","High"))</f>
        <v>High</v>
      </c>
      <c r="Z579" t="str">
        <f t="shared" ref="Z579:Z610" si="136">IF(G579&lt;=7,"Met","Not Met")</f>
        <v>Not Met</v>
      </c>
      <c r="AA579" t="str">
        <f t="shared" ref="AA579:AA610" si="137">IF(R579&gt;20%,"High Discount","Low Discount")</f>
        <v>High Discount</v>
      </c>
      <c r="AB579" s="10">
        <f>MIN(R579,ControlPanel!$B$5)</f>
        <v>0.2</v>
      </c>
      <c r="AC579">
        <f>P579*(1+ControlPanel!$B$6)</f>
        <v>1208.6130000000001</v>
      </c>
      <c r="AD579">
        <f>T579*(1+ControlPanel!$B$7)</f>
        <v>22</v>
      </c>
      <c r="AE579" s="6">
        <f t="shared" ref="AE579:AE610" si="138">(Q579*(100%-AB579)*AD579)</f>
        <v>49655.936000000002</v>
      </c>
      <c r="AF579">
        <f t="shared" ref="AF579:AF610" si="139">AE579-(AC579*AD579)</f>
        <v>23066.45</v>
      </c>
    </row>
    <row r="580" spans="1:32" x14ac:dyDescent="0.3">
      <c r="A580" t="s">
        <v>583</v>
      </c>
      <c r="B580" s="4">
        <v>45342</v>
      </c>
      <c r="C580" s="4" t="str">
        <f t="shared" si="128"/>
        <v>Feb-2024</v>
      </c>
      <c r="D580" t="str">
        <f t="shared" si="129"/>
        <v>Q1-2024</v>
      </c>
      <c r="E580" s="4">
        <v>45342</v>
      </c>
      <c r="F580" s="12">
        <f t="shared" si="126"/>
        <v>45342</v>
      </c>
      <c r="G580" s="13">
        <f t="shared" si="127"/>
        <v>0</v>
      </c>
      <c r="H580" t="s">
        <v>648</v>
      </c>
      <c r="I580" t="s">
        <v>660</v>
      </c>
      <c r="J580" t="s">
        <v>700</v>
      </c>
      <c r="K580" t="s">
        <v>706</v>
      </c>
      <c r="L580" t="s">
        <v>708</v>
      </c>
      <c r="M580" t="s">
        <v>712</v>
      </c>
      <c r="N580" t="s">
        <v>729</v>
      </c>
      <c r="O580" t="s">
        <v>1301</v>
      </c>
      <c r="P580" s="6">
        <v>1407.05</v>
      </c>
      <c r="Q580" s="6">
        <v>2858.93</v>
      </c>
      <c r="R580" s="10">
        <v>0</v>
      </c>
      <c r="S580" s="10" t="b">
        <f t="shared" si="130"/>
        <v>0</v>
      </c>
      <c r="T580" s="8">
        <v>12</v>
      </c>
      <c r="U580">
        <f t="shared" si="131"/>
        <v>34307.159999999996</v>
      </c>
      <c r="V580">
        <f t="shared" si="132"/>
        <v>16884.599999999999</v>
      </c>
      <c r="W580">
        <f t="shared" si="133"/>
        <v>17422.559999999998</v>
      </c>
      <c r="X580" s="10">
        <f t="shared" si="134"/>
        <v>0.50784034586366222</v>
      </c>
      <c r="Y580" t="str">
        <f t="shared" si="135"/>
        <v>High</v>
      </c>
      <c r="Z580" t="str">
        <f t="shared" si="136"/>
        <v>Met</v>
      </c>
      <c r="AA580" t="str">
        <f t="shared" si="137"/>
        <v>Low Discount</v>
      </c>
      <c r="AB580" s="10">
        <f>MIN(R580,ControlPanel!$B$5)</f>
        <v>0</v>
      </c>
      <c r="AC580">
        <f>P580*(1+ControlPanel!$B$6)</f>
        <v>1477.4024999999999</v>
      </c>
      <c r="AD580">
        <f>T580*(1+ControlPanel!$B$7)</f>
        <v>13.200000000000001</v>
      </c>
      <c r="AE580" s="6">
        <f t="shared" si="138"/>
        <v>37737.876000000004</v>
      </c>
      <c r="AF580">
        <f t="shared" si="139"/>
        <v>18236.163000000004</v>
      </c>
    </row>
    <row r="581" spans="1:32" x14ac:dyDescent="0.3">
      <c r="A581" t="s">
        <v>412</v>
      </c>
      <c r="B581" s="4">
        <v>45914</v>
      </c>
      <c r="C581" s="4" t="str">
        <f t="shared" si="128"/>
        <v>Sep-2025</v>
      </c>
      <c r="D581" t="str">
        <f t="shared" si="129"/>
        <v>Q3-2025</v>
      </c>
      <c r="E581" s="4">
        <v>45923</v>
      </c>
      <c r="F581" s="12">
        <f t="shared" si="126"/>
        <v>45923</v>
      </c>
      <c r="G581" s="13">
        <f t="shared" si="127"/>
        <v>9</v>
      </c>
      <c r="H581" t="s">
        <v>646</v>
      </c>
      <c r="I581" t="s">
        <v>661</v>
      </c>
      <c r="J581" t="s">
        <v>687</v>
      </c>
      <c r="K581" t="s">
        <v>703</v>
      </c>
      <c r="L581" t="s">
        <v>708</v>
      </c>
      <c r="M581" t="s">
        <v>726</v>
      </c>
      <c r="N581" t="s">
        <v>727</v>
      </c>
      <c r="O581" t="s">
        <v>1131</v>
      </c>
      <c r="P581" s="6">
        <v>1310.3</v>
      </c>
      <c r="Q581" s="6">
        <v>2875.8</v>
      </c>
      <c r="R581" s="10">
        <v>8.3000000000000004E-2</v>
      </c>
      <c r="S581" s="10" t="b">
        <f t="shared" si="130"/>
        <v>0</v>
      </c>
      <c r="T581" s="8">
        <v>5</v>
      </c>
      <c r="U581">
        <f t="shared" si="131"/>
        <v>13185.543000000001</v>
      </c>
      <c r="V581">
        <f t="shared" si="132"/>
        <v>6551.5</v>
      </c>
      <c r="W581">
        <f t="shared" si="133"/>
        <v>6634.0430000000015</v>
      </c>
      <c r="X581" s="10">
        <f t="shared" si="134"/>
        <v>0.50313005691157364</v>
      </c>
      <c r="Y581" t="str">
        <f t="shared" si="135"/>
        <v>High</v>
      </c>
      <c r="Z581" t="str">
        <f t="shared" si="136"/>
        <v>Not Met</v>
      </c>
      <c r="AA581" t="str">
        <f t="shared" si="137"/>
        <v>Low Discount</v>
      </c>
      <c r="AB581" s="10">
        <f>MIN(R581,ControlPanel!$B$5)</f>
        <v>8.3000000000000004E-2</v>
      </c>
      <c r="AC581">
        <f>P581*(1+ControlPanel!$B$6)</f>
        <v>1375.8150000000001</v>
      </c>
      <c r="AD581">
        <f>T581*(1+ControlPanel!$B$7)</f>
        <v>5.5</v>
      </c>
      <c r="AE581" s="6">
        <f t="shared" si="138"/>
        <v>14504.097300000003</v>
      </c>
      <c r="AF581">
        <f t="shared" si="139"/>
        <v>6937.114800000003</v>
      </c>
    </row>
    <row r="582" spans="1:32" x14ac:dyDescent="0.3">
      <c r="A582" t="s">
        <v>36</v>
      </c>
      <c r="B582" s="4">
        <v>45057</v>
      </c>
      <c r="C582" s="4" t="str">
        <f t="shared" si="128"/>
        <v>May-2023</v>
      </c>
      <c r="D582" t="str">
        <f t="shared" si="129"/>
        <v>Q2-2023</v>
      </c>
      <c r="E582" s="4">
        <v>45074</v>
      </c>
      <c r="F582" s="12">
        <f t="shared" si="126"/>
        <v>45074</v>
      </c>
      <c r="G582" s="13">
        <f t="shared" si="127"/>
        <v>17</v>
      </c>
      <c r="H582" t="s">
        <v>647</v>
      </c>
      <c r="I582" t="s">
        <v>659</v>
      </c>
      <c r="J582" t="s">
        <v>676</v>
      </c>
      <c r="K582" t="s">
        <v>706</v>
      </c>
      <c r="L582" t="s">
        <v>709</v>
      </c>
      <c r="M582" t="s">
        <v>718</v>
      </c>
      <c r="N582" t="s">
        <v>729</v>
      </c>
      <c r="O582" t="s">
        <v>755</v>
      </c>
      <c r="P582" s="6">
        <v>1331.19</v>
      </c>
      <c r="Q582" s="6">
        <v>2903.09</v>
      </c>
      <c r="R582" s="10">
        <v>0.14299999999999999</v>
      </c>
      <c r="S582" s="10" t="b">
        <f t="shared" si="130"/>
        <v>0</v>
      </c>
      <c r="T582" s="8">
        <v>8</v>
      </c>
      <c r="U582">
        <f t="shared" si="131"/>
        <v>19903.585040000002</v>
      </c>
      <c r="V582">
        <f t="shared" si="132"/>
        <v>10649.52</v>
      </c>
      <c r="W582">
        <f t="shared" si="133"/>
        <v>9254.0650400000013</v>
      </c>
      <c r="X582" s="10">
        <f t="shared" si="134"/>
        <v>0.46494463290920784</v>
      </c>
      <c r="Y582" t="str">
        <f t="shared" si="135"/>
        <v>High</v>
      </c>
      <c r="Z582" t="str">
        <f t="shared" si="136"/>
        <v>Not Met</v>
      </c>
      <c r="AA582" t="str">
        <f t="shared" si="137"/>
        <v>Low Discount</v>
      </c>
      <c r="AB582" s="10">
        <f>MIN(R582,ControlPanel!$B$5)</f>
        <v>0.14299999999999999</v>
      </c>
      <c r="AC582">
        <f>P582*(1+ControlPanel!$B$6)</f>
        <v>1397.7495000000001</v>
      </c>
      <c r="AD582">
        <f>T582*(1+ControlPanel!$B$7)</f>
        <v>8.8000000000000007</v>
      </c>
      <c r="AE582" s="6">
        <f t="shared" si="138"/>
        <v>21893.943544000005</v>
      </c>
      <c r="AF582">
        <f t="shared" si="139"/>
        <v>9593.7479440000025</v>
      </c>
    </row>
    <row r="583" spans="1:32" x14ac:dyDescent="0.3">
      <c r="A583" t="s">
        <v>408</v>
      </c>
      <c r="B583" s="4">
        <v>45075</v>
      </c>
      <c r="C583" s="4" t="str">
        <f t="shared" si="128"/>
        <v>May-2023</v>
      </c>
      <c r="D583" t="str">
        <f t="shared" si="129"/>
        <v>Q2-2023</v>
      </c>
      <c r="E583" s="4">
        <v>45097</v>
      </c>
      <c r="F583" s="12">
        <f t="shared" si="126"/>
        <v>45097</v>
      </c>
      <c r="G583" s="13">
        <f t="shared" si="127"/>
        <v>22</v>
      </c>
      <c r="H583" t="s">
        <v>649</v>
      </c>
      <c r="I583" t="s">
        <v>658</v>
      </c>
      <c r="J583" t="s">
        <v>683</v>
      </c>
      <c r="K583" t="s">
        <v>705</v>
      </c>
      <c r="L583" t="s">
        <v>711</v>
      </c>
      <c r="M583" t="s">
        <v>723</v>
      </c>
      <c r="N583" t="s">
        <v>727</v>
      </c>
      <c r="O583" t="s">
        <v>1127</v>
      </c>
      <c r="P583" s="6">
        <v>1295.3900000000001</v>
      </c>
      <c r="Q583" s="6">
        <v>2905.06</v>
      </c>
      <c r="R583" s="10">
        <v>0.14799999999999999</v>
      </c>
      <c r="S583" s="10" t="b">
        <f t="shared" si="130"/>
        <v>0</v>
      </c>
      <c r="T583" s="8">
        <v>8</v>
      </c>
      <c r="U583">
        <f t="shared" si="131"/>
        <v>19800.88896</v>
      </c>
      <c r="V583">
        <f t="shared" si="132"/>
        <v>10363.120000000001</v>
      </c>
      <c r="W583">
        <f t="shared" si="133"/>
        <v>9437.7689599999994</v>
      </c>
      <c r="X583" s="10">
        <f t="shared" si="134"/>
        <v>0.47663359857556614</v>
      </c>
      <c r="Y583" t="str">
        <f t="shared" si="135"/>
        <v>High</v>
      </c>
      <c r="Z583" t="str">
        <f t="shared" si="136"/>
        <v>Not Met</v>
      </c>
      <c r="AA583" t="str">
        <f t="shared" si="137"/>
        <v>Low Discount</v>
      </c>
      <c r="AB583" s="10">
        <f>MIN(R583,ControlPanel!$B$5)</f>
        <v>0.14799999999999999</v>
      </c>
      <c r="AC583">
        <f>P583*(1+ControlPanel!$B$6)</f>
        <v>1360.1595000000002</v>
      </c>
      <c r="AD583">
        <f>T583*(1+ControlPanel!$B$7)</f>
        <v>8.8000000000000007</v>
      </c>
      <c r="AE583" s="6">
        <f t="shared" si="138"/>
        <v>21780.977856000001</v>
      </c>
      <c r="AF583">
        <f t="shared" si="139"/>
        <v>9811.5742559999981</v>
      </c>
    </row>
    <row r="584" spans="1:32" x14ac:dyDescent="0.3">
      <c r="A584" t="s">
        <v>237</v>
      </c>
      <c r="B584" s="4">
        <v>45854</v>
      </c>
      <c r="C584" s="4" t="str">
        <f t="shared" si="128"/>
        <v>Jul-2025</v>
      </c>
      <c r="D584" t="str">
        <f t="shared" si="129"/>
        <v>Q3-2025</v>
      </c>
      <c r="E584" s="4">
        <v>45855</v>
      </c>
      <c r="F584" s="12">
        <f t="shared" si="126"/>
        <v>45855</v>
      </c>
      <c r="G584" s="13">
        <f t="shared" si="127"/>
        <v>1</v>
      </c>
      <c r="H584" t="s">
        <v>646</v>
      </c>
      <c r="I584" t="s">
        <v>661</v>
      </c>
      <c r="J584" t="s">
        <v>687</v>
      </c>
      <c r="K584" t="s">
        <v>705</v>
      </c>
      <c r="L584" t="s">
        <v>710</v>
      </c>
      <c r="M584" t="s">
        <v>717</v>
      </c>
      <c r="N584" t="s">
        <v>729</v>
      </c>
      <c r="O584" t="s">
        <v>957</v>
      </c>
      <c r="P584" s="6">
        <v>1198.9000000000001</v>
      </c>
      <c r="Q584" s="6">
        <v>2941.2</v>
      </c>
      <c r="R584" s="10">
        <v>5.0999999999999997E-2</v>
      </c>
      <c r="S584" s="10" t="b">
        <f t="shared" si="130"/>
        <v>0</v>
      </c>
      <c r="T584" s="8">
        <v>24</v>
      </c>
      <c r="U584">
        <f t="shared" si="131"/>
        <v>66988.771199999988</v>
      </c>
      <c r="V584">
        <f t="shared" si="132"/>
        <v>28773.600000000002</v>
      </c>
      <c r="W584">
        <f t="shared" si="133"/>
        <v>38215.171199999982</v>
      </c>
      <c r="X584" s="10">
        <f t="shared" si="134"/>
        <v>0.57047129713583977</v>
      </c>
      <c r="Y584" t="str">
        <f t="shared" si="135"/>
        <v>High</v>
      </c>
      <c r="Z584" t="str">
        <f t="shared" si="136"/>
        <v>Met</v>
      </c>
      <c r="AA584" t="str">
        <f t="shared" si="137"/>
        <v>Low Discount</v>
      </c>
      <c r="AB584" s="10">
        <f>MIN(R584,ControlPanel!$B$5)</f>
        <v>5.0999999999999997E-2</v>
      </c>
      <c r="AC584">
        <f>P584*(1+ControlPanel!$B$6)</f>
        <v>1258.8450000000003</v>
      </c>
      <c r="AD584">
        <f>T584*(1+ControlPanel!$B$7)</f>
        <v>26.400000000000002</v>
      </c>
      <c r="AE584" s="6">
        <f t="shared" si="138"/>
        <v>73687.648319999993</v>
      </c>
      <c r="AF584">
        <f t="shared" si="139"/>
        <v>40454.140319999984</v>
      </c>
    </row>
    <row r="585" spans="1:32" x14ac:dyDescent="0.3">
      <c r="A585" t="s">
        <v>569</v>
      </c>
      <c r="B585" s="4">
        <v>45535</v>
      </c>
      <c r="C585" s="4" t="str">
        <f t="shared" si="128"/>
        <v>Aug-2024</v>
      </c>
      <c r="D585" t="str">
        <f t="shared" si="129"/>
        <v>Q3-2024</v>
      </c>
      <c r="E585" s="4">
        <v>45561</v>
      </c>
      <c r="F585" s="12">
        <f t="shared" si="126"/>
        <v>45561</v>
      </c>
      <c r="G585" s="13">
        <f t="shared" si="127"/>
        <v>26</v>
      </c>
      <c r="H585" t="s">
        <v>647</v>
      </c>
      <c r="I585" t="s">
        <v>652</v>
      </c>
      <c r="J585" t="s">
        <v>689</v>
      </c>
      <c r="K585" t="s">
        <v>702</v>
      </c>
      <c r="L585" t="s">
        <v>708</v>
      </c>
      <c r="M585" t="s">
        <v>714</v>
      </c>
      <c r="N585" t="s">
        <v>730</v>
      </c>
      <c r="O585" t="s">
        <v>1287</v>
      </c>
      <c r="P585" s="6">
        <v>1189.03</v>
      </c>
      <c r="Q585" s="6">
        <v>2949.62</v>
      </c>
      <c r="R585" s="10">
        <v>0.125</v>
      </c>
      <c r="S585" s="10" t="b">
        <f t="shared" si="130"/>
        <v>0</v>
      </c>
      <c r="T585" s="8">
        <v>13</v>
      </c>
      <c r="U585">
        <f t="shared" si="131"/>
        <v>33551.927499999998</v>
      </c>
      <c r="V585">
        <f t="shared" si="132"/>
        <v>15457.39</v>
      </c>
      <c r="W585">
        <f t="shared" si="133"/>
        <v>18094.537499999999</v>
      </c>
      <c r="X585" s="10">
        <f t="shared" si="134"/>
        <v>0.53929949330034765</v>
      </c>
      <c r="Y585" t="str">
        <f t="shared" si="135"/>
        <v>High</v>
      </c>
      <c r="Z585" t="str">
        <f t="shared" si="136"/>
        <v>Not Met</v>
      </c>
      <c r="AA585" t="str">
        <f t="shared" si="137"/>
        <v>Low Discount</v>
      </c>
      <c r="AB585" s="10">
        <f>MIN(R585,ControlPanel!$B$5)</f>
        <v>0.125</v>
      </c>
      <c r="AC585">
        <f>P585*(1+ControlPanel!$B$6)</f>
        <v>1248.4815000000001</v>
      </c>
      <c r="AD585">
        <f>T585*(1+ControlPanel!$B$7)</f>
        <v>14.3</v>
      </c>
      <c r="AE585" s="6">
        <f t="shared" si="138"/>
        <v>36907.12025</v>
      </c>
      <c r="AF585">
        <f t="shared" si="139"/>
        <v>19053.834799999997</v>
      </c>
    </row>
    <row r="586" spans="1:32" x14ac:dyDescent="0.3">
      <c r="A586" t="s">
        <v>119</v>
      </c>
      <c r="B586" s="4">
        <v>45549</v>
      </c>
      <c r="C586" s="4" t="str">
        <f t="shared" si="128"/>
        <v>Sep-2024</v>
      </c>
      <c r="D586" t="str">
        <f t="shared" si="129"/>
        <v>Q3-2024</v>
      </c>
      <c r="E586" s="4">
        <v>45570</v>
      </c>
      <c r="F586" s="12">
        <f t="shared" si="126"/>
        <v>45570</v>
      </c>
      <c r="G586" s="13">
        <f t="shared" si="127"/>
        <v>21</v>
      </c>
      <c r="H586" t="s">
        <v>647</v>
      </c>
      <c r="I586" t="s">
        <v>659</v>
      </c>
      <c r="J586" t="s">
        <v>685</v>
      </c>
      <c r="K586" t="s">
        <v>705</v>
      </c>
      <c r="L586" t="s">
        <v>708</v>
      </c>
      <c r="M586" t="s">
        <v>722</v>
      </c>
      <c r="N586" t="s">
        <v>731</v>
      </c>
      <c r="O586" t="s">
        <v>838</v>
      </c>
      <c r="P586" s="6">
        <v>1405.56</v>
      </c>
      <c r="Q586" s="6">
        <v>2968.87</v>
      </c>
      <c r="R586" s="10">
        <v>0.16900000000000001</v>
      </c>
      <c r="S586" s="10" t="b">
        <f t="shared" si="130"/>
        <v>0</v>
      </c>
      <c r="T586" s="8">
        <v>5</v>
      </c>
      <c r="U586">
        <f t="shared" si="131"/>
        <v>12335.654849999999</v>
      </c>
      <c r="V586">
        <f t="shared" si="132"/>
        <v>7027.7999999999993</v>
      </c>
      <c r="W586">
        <f t="shared" si="133"/>
        <v>5307.8548499999997</v>
      </c>
      <c r="X586" s="10">
        <f t="shared" si="134"/>
        <v>0.4302856163327235</v>
      </c>
      <c r="Y586" t="str">
        <f t="shared" si="135"/>
        <v>High</v>
      </c>
      <c r="Z586" t="str">
        <f t="shared" si="136"/>
        <v>Not Met</v>
      </c>
      <c r="AA586" t="str">
        <f t="shared" si="137"/>
        <v>Low Discount</v>
      </c>
      <c r="AB586" s="10">
        <f>MIN(R586,ControlPanel!$B$5)</f>
        <v>0.16900000000000001</v>
      </c>
      <c r="AC586">
        <f>P586*(1+ControlPanel!$B$6)</f>
        <v>1475.838</v>
      </c>
      <c r="AD586">
        <f>T586*(1+ControlPanel!$B$7)</f>
        <v>5.5</v>
      </c>
      <c r="AE586" s="6">
        <f t="shared" si="138"/>
        <v>13569.220334999998</v>
      </c>
      <c r="AF586">
        <f t="shared" si="139"/>
        <v>5452.1113349999987</v>
      </c>
    </row>
    <row r="587" spans="1:32" x14ac:dyDescent="0.3">
      <c r="A587" t="s">
        <v>510</v>
      </c>
      <c r="B587" s="4">
        <v>45097</v>
      </c>
      <c r="C587" s="4" t="str">
        <f t="shared" si="128"/>
        <v>Jun-2023</v>
      </c>
      <c r="D587" t="str">
        <f t="shared" si="129"/>
        <v>Q2-2023</v>
      </c>
      <c r="E587" s="4">
        <v>45111</v>
      </c>
      <c r="F587" s="12">
        <f t="shared" si="126"/>
        <v>45111</v>
      </c>
      <c r="G587" s="13">
        <f t="shared" si="127"/>
        <v>14</v>
      </c>
      <c r="H587" t="s">
        <v>648</v>
      </c>
      <c r="I587" t="s">
        <v>655</v>
      </c>
      <c r="J587" t="s">
        <v>672</v>
      </c>
      <c r="K587" t="s">
        <v>703</v>
      </c>
      <c r="L587" t="s">
        <v>711</v>
      </c>
      <c r="M587" t="s">
        <v>712</v>
      </c>
      <c r="N587" t="s">
        <v>729</v>
      </c>
      <c r="O587" t="s">
        <v>1229</v>
      </c>
      <c r="P587" s="6">
        <v>1292.8599999999999</v>
      </c>
      <c r="Q587" s="6">
        <v>2981.01</v>
      </c>
      <c r="R587" s="10">
        <v>0.14199999999999999</v>
      </c>
      <c r="S587" s="10" t="b">
        <f t="shared" si="130"/>
        <v>0</v>
      </c>
      <c r="T587" s="8">
        <v>12</v>
      </c>
      <c r="U587">
        <f t="shared" si="131"/>
        <v>30692.47896</v>
      </c>
      <c r="V587">
        <f t="shared" si="132"/>
        <v>15514.32</v>
      </c>
      <c r="W587">
        <f t="shared" si="133"/>
        <v>15178.158960000001</v>
      </c>
      <c r="X587" s="10">
        <f t="shared" si="134"/>
        <v>0.49452372288927687</v>
      </c>
      <c r="Y587" t="str">
        <f t="shared" si="135"/>
        <v>High</v>
      </c>
      <c r="Z587" t="str">
        <f t="shared" si="136"/>
        <v>Not Met</v>
      </c>
      <c r="AA587" t="str">
        <f t="shared" si="137"/>
        <v>Low Discount</v>
      </c>
      <c r="AB587" s="10">
        <f>MIN(R587,ControlPanel!$B$5)</f>
        <v>0.14199999999999999</v>
      </c>
      <c r="AC587">
        <f>P587*(1+ControlPanel!$B$6)</f>
        <v>1357.5029999999999</v>
      </c>
      <c r="AD587">
        <f>T587*(1+ControlPanel!$B$7)</f>
        <v>13.200000000000001</v>
      </c>
      <c r="AE587" s="6">
        <f t="shared" si="138"/>
        <v>33761.726856000001</v>
      </c>
      <c r="AF587">
        <f t="shared" si="139"/>
        <v>15842.687256000001</v>
      </c>
    </row>
    <row r="588" spans="1:32" x14ac:dyDescent="0.3">
      <c r="A588" t="s">
        <v>380</v>
      </c>
      <c r="B588" s="4">
        <v>45445</v>
      </c>
      <c r="C588" s="4" t="str">
        <f t="shared" si="128"/>
        <v>Jun-2024</v>
      </c>
      <c r="D588" t="str">
        <f t="shared" si="129"/>
        <v>Q2-2024</v>
      </c>
      <c r="E588" s="4">
        <v>45458</v>
      </c>
      <c r="F588" s="12">
        <f t="shared" si="126"/>
        <v>45458</v>
      </c>
      <c r="G588" s="13">
        <f t="shared" si="127"/>
        <v>13</v>
      </c>
      <c r="H588" t="s">
        <v>646</v>
      </c>
      <c r="I588" t="s">
        <v>650</v>
      </c>
      <c r="J588" t="s">
        <v>675</v>
      </c>
      <c r="K588" t="s">
        <v>702</v>
      </c>
      <c r="L588" t="s">
        <v>708</v>
      </c>
      <c r="M588" t="s">
        <v>719</v>
      </c>
      <c r="N588" t="s">
        <v>730</v>
      </c>
      <c r="O588" t="s">
        <v>1100</v>
      </c>
      <c r="P588" s="6">
        <v>1295.18</v>
      </c>
      <c r="Q588" s="6">
        <v>3024.03</v>
      </c>
      <c r="R588" s="10">
        <v>0.192</v>
      </c>
      <c r="S588" s="10" t="b">
        <f t="shared" si="130"/>
        <v>0</v>
      </c>
      <c r="T588" s="8">
        <v>8</v>
      </c>
      <c r="U588">
        <f t="shared" si="131"/>
        <v>19547.329920000004</v>
      </c>
      <c r="V588">
        <f t="shared" si="132"/>
        <v>10361.44</v>
      </c>
      <c r="W588">
        <f t="shared" si="133"/>
        <v>9185.8899200000033</v>
      </c>
      <c r="X588" s="10">
        <f t="shared" si="134"/>
        <v>0.46993067378483178</v>
      </c>
      <c r="Y588" t="str">
        <f t="shared" si="135"/>
        <v>High</v>
      </c>
      <c r="Z588" t="str">
        <f t="shared" si="136"/>
        <v>Not Met</v>
      </c>
      <c r="AA588" t="str">
        <f t="shared" si="137"/>
        <v>Low Discount</v>
      </c>
      <c r="AB588" s="10">
        <f>MIN(R588,ControlPanel!$B$5)</f>
        <v>0.192</v>
      </c>
      <c r="AC588">
        <f>P588*(1+ControlPanel!$B$6)</f>
        <v>1359.9390000000001</v>
      </c>
      <c r="AD588">
        <f>T588*(1+ControlPanel!$B$7)</f>
        <v>8.8000000000000007</v>
      </c>
      <c r="AE588" s="6">
        <f t="shared" si="138"/>
        <v>21502.062912000005</v>
      </c>
      <c r="AF588">
        <f t="shared" si="139"/>
        <v>9534.5997120000029</v>
      </c>
    </row>
    <row r="589" spans="1:32" x14ac:dyDescent="0.3">
      <c r="A589" t="s">
        <v>528</v>
      </c>
      <c r="B589" s="4">
        <v>45661</v>
      </c>
      <c r="C589" s="4" t="str">
        <f t="shared" si="128"/>
        <v>Jan-2025</v>
      </c>
      <c r="D589" t="str">
        <f t="shared" si="129"/>
        <v>Q1-2025</v>
      </c>
      <c r="E589" s="4">
        <v>45662</v>
      </c>
      <c r="F589" s="12">
        <f t="shared" si="126"/>
        <v>45662</v>
      </c>
      <c r="G589" s="13">
        <f t="shared" si="127"/>
        <v>1</v>
      </c>
      <c r="H589" t="s">
        <v>647</v>
      </c>
      <c r="I589" t="s">
        <v>654</v>
      </c>
      <c r="J589" t="s">
        <v>680</v>
      </c>
      <c r="K589" t="s">
        <v>702</v>
      </c>
      <c r="L589" t="s">
        <v>707</v>
      </c>
      <c r="M589" t="s">
        <v>714</v>
      </c>
      <c r="N589" t="s">
        <v>727</v>
      </c>
      <c r="O589" t="s">
        <v>1247</v>
      </c>
      <c r="P589" s="6">
        <v>1428.33</v>
      </c>
      <c r="Q589" s="6">
        <v>3028.05</v>
      </c>
      <c r="R589" s="10">
        <v>0</v>
      </c>
      <c r="S589" s="10" t="b">
        <f t="shared" si="130"/>
        <v>0</v>
      </c>
      <c r="T589" s="8">
        <v>11</v>
      </c>
      <c r="U589">
        <f t="shared" si="131"/>
        <v>33308.550000000003</v>
      </c>
      <c r="V589">
        <f t="shared" si="132"/>
        <v>15711.63</v>
      </c>
      <c r="W589">
        <f t="shared" si="133"/>
        <v>17596.920000000006</v>
      </c>
      <c r="X589" s="10">
        <f t="shared" si="134"/>
        <v>0.52830039134096207</v>
      </c>
      <c r="Y589" t="str">
        <f t="shared" si="135"/>
        <v>High</v>
      </c>
      <c r="Z589" t="str">
        <f t="shared" si="136"/>
        <v>Met</v>
      </c>
      <c r="AA589" t="str">
        <f t="shared" si="137"/>
        <v>Low Discount</v>
      </c>
      <c r="AB589" s="10">
        <f>MIN(R589,ControlPanel!$B$5)</f>
        <v>0</v>
      </c>
      <c r="AC589">
        <f>P589*(1+ControlPanel!$B$6)</f>
        <v>1499.7465</v>
      </c>
      <c r="AD589">
        <f>T589*(1+ControlPanel!$B$7)</f>
        <v>12.100000000000001</v>
      </c>
      <c r="AE589" s="6">
        <f t="shared" si="138"/>
        <v>36639.405000000006</v>
      </c>
      <c r="AF589">
        <f t="shared" si="139"/>
        <v>18492.472350000004</v>
      </c>
    </row>
    <row r="590" spans="1:32" x14ac:dyDescent="0.3">
      <c r="A590" t="s">
        <v>49</v>
      </c>
      <c r="B590" s="4">
        <v>45527</v>
      </c>
      <c r="C590" s="4" t="str">
        <f t="shared" si="128"/>
        <v>Aug-2024</v>
      </c>
      <c r="D590" t="str">
        <f t="shared" si="129"/>
        <v>Q3-2024</v>
      </c>
      <c r="E590" s="4">
        <v>45525</v>
      </c>
      <c r="F590" s="12">
        <f t="shared" si="126"/>
        <v>45541</v>
      </c>
      <c r="G590" s="13">
        <f t="shared" si="127"/>
        <v>14</v>
      </c>
      <c r="H590" t="s">
        <v>646</v>
      </c>
      <c r="I590" t="s">
        <v>661</v>
      </c>
      <c r="J590" t="s">
        <v>682</v>
      </c>
      <c r="K590" t="s">
        <v>702</v>
      </c>
      <c r="L590" t="s">
        <v>707</v>
      </c>
      <c r="M590" t="s">
        <v>718</v>
      </c>
      <c r="N590" t="s">
        <v>727</v>
      </c>
      <c r="O590" t="s">
        <v>768</v>
      </c>
      <c r="P590" s="6">
        <v>1432.52</v>
      </c>
      <c r="Q590" s="6">
        <v>3036.87</v>
      </c>
      <c r="R590" s="10">
        <v>0</v>
      </c>
      <c r="S590" s="10" t="b">
        <f t="shared" si="130"/>
        <v>0</v>
      </c>
      <c r="T590" s="8">
        <v>9</v>
      </c>
      <c r="U590">
        <f t="shared" si="131"/>
        <v>27331.829999999998</v>
      </c>
      <c r="V590">
        <f t="shared" si="132"/>
        <v>12892.68</v>
      </c>
      <c r="W590">
        <f t="shared" si="133"/>
        <v>14439.149999999998</v>
      </c>
      <c r="X590" s="10">
        <f t="shared" si="134"/>
        <v>0.52829064135112791</v>
      </c>
      <c r="Y590" t="str">
        <f t="shared" si="135"/>
        <v>High</v>
      </c>
      <c r="Z590" t="str">
        <f t="shared" si="136"/>
        <v>Not Met</v>
      </c>
      <c r="AA590" t="str">
        <f t="shared" si="137"/>
        <v>Low Discount</v>
      </c>
      <c r="AB590" s="10">
        <f>MIN(R590,ControlPanel!$B$5)</f>
        <v>0</v>
      </c>
      <c r="AC590">
        <f>P590*(1+ControlPanel!$B$6)</f>
        <v>1504.146</v>
      </c>
      <c r="AD590">
        <f>T590*(1+ControlPanel!$B$7)</f>
        <v>9.9</v>
      </c>
      <c r="AE590" s="6">
        <f t="shared" si="138"/>
        <v>30065.012999999999</v>
      </c>
      <c r="AF590">
        <f t="shared" si="139"/>
        <v>15173.967599999998</v>
      </c>
    </row>
    <row r="591" spans="1:32" x14ac:dyDescent="0.3">
      <c r="A591" t="s">
        <v>602</v>
      </c>
      <c r="B591" s="4">
        <v>45459</v>
      </c>
      <c r="C591" s="4" t="str">
        <f t="shared" si="128"/>
        <v>Jun-2024</v>
      </c>
      <c r="D591" t="str">
        <f t="shared" si="129"/>
        <v>Q2-2024</v>
      </c>
      <c r="E591" s="4">
        <v>45464</v>
      </c>
      <c r="F591" s="12">
        <f t="shared" si="126"/>
        <v>45464</v>
      </c>
      <c r="G591" s="13">
        <f t="shared" si="127"/>
        <v>5</v>
      </c>
      <c r="H591" t="s">
        <v>647</v>
      </c>
      <c r="I591" t="s">
        <v>652</v>
      </c>
      <c r="J591" t="s">
        <v>689</v>
      </c>
      <c r="K591" t="s">
        <v>705</v>
      </c>
      <c r="L591" t="s">
        <v>710</v>
      </c>
      <c r="M591" t="s">
        <v>721</v>
      </c>
      <c r="N591" t="s">
        <v>730</v>
      </c>
      <c r="O591" t="s">
        <v>1320</v>
      </c>
      <c r="P591" s="6">
        <v>1367.13</v>
      </c>
      <c r="Q591" s="6">
        <v>3062.01</v>
      </c>
      <c r="R591" s="10">
        <v>0.10299999999999999</v>
      </c>
      <c r="S591" s="10" t="b">
        <f t="shared" si="130"/>
        <v>0</v>
      </c>
      <c r="T591" s="8">
        <v>25</v>
      </c>
      <c r="U591">
        <f t="shared" si="131"/>
        <v>68665.574250000005</v>
      </c>
      <c r="V591">
        <f t="shared" si="132"/>
        <v>34178.25</v>
      </c>
      <c r="W591">
        <f t="shared" si="133"/>
        <v>34487.324250000005</v>
      </c>
      <c r="X591" s="10">
        <f t="shared" si="134"/>
        <v>0.50225057645971705</v>
      </c>
      <c r="Y591" t="str">
        <f t="shared" si="135"/>
        <v>High</v>
      </c>
      <c r="Z591" t="str">
        <f t="shared" si="136"/>
        <v>Met</v>
      </c>
      <c r="AA591" t="str">
        <f t="shared" si="137"/>
        <v>Low Discount</v>
      </c>
      <c r="AB591" s="10">
        <f>MIN(R591,ControlPanel!$B$5)</f>
        <v>0.10299999999999999</v>
      </c>
      <c r="AC591">
        <f>P591*(1+ControlPanel!$B$6)</f>
        <v>1435.4865000000002</v>
      </c>
      <c r="AD591">
        <f>T591*(1+ControlPanel!$B$7)</f>
        <v>27.500000000000004</v>
      </c>
      <c r="AE591" s="6">
        <f t="shared" si="138"/>
        <v>75532.131675000026</v>
      </c>
      <c r="AF591">
        <f t="shared" si="139"/>
        <v>36056.252925000015</v>
      </c>
    </row>
    <row r="592" spans="1:32" x14ac:dyDescent="0.3">
      <c r="A592" t="s">
        <v>382</v>
      </c>
      <c r="B592" s="4">
        <v>45194</v>
      </c>
      <c r="C592" s="4" t="str">
        <f t="shared" si="128"/>
        <v>Sep-2023</v>
      </c>
      <c r="D592" t="str">
        <f t="shared" si="129"/>
        <v>Q3-2023</v>
      </c>
      <c r="E592" s="4">
        <v>45208</v>
      </c>
      <c r="F592" s="12">
        <f t="shared" si="126"/>
        <v>45208</v>
      </c>
      <c r="G592" s="13">
        <f t="shared" si="127"/>
        <v>14</v>
      </c>
      <c r="H592" t="s">
        <v>648</v>
      </c>
      <c r="I592" t="s">
        <v>660</v>
      </c>
      <c r="J592" t="s">
        <v>700</v>
      </c>
      <c r="K592" t="s">
        <v>705</v>
      </c>
      <c r="L592" t="s">
        <v>709</v>
      </c>
      <c r="M592" t="s">
        <v>713</v>
      </c>
      <c r="N592" t="s">
        <v>731</v>
      </c>
      <c r="O592" t="s">
        <v>1102</v>
      </c>
      <c r="P592" s="6">
        <v>1279.56</v>
      </c>
      <c r="Q592" s="6">
        <v>3083.8</v>
      </c>
      <c r="R592" s="10">
        <v>0.106</v>
      </c>
      <c r="S592" s="10" t="b">
        <f t="shared" si="130"/>
        <v>0</v>
      </c>
      <c r="T592" s="8">
        <v>5</v>
      </c>
      <c r="U592">
        <f t="shared" si="131"/>
        <v>13784.586000000001</v>
      </c>
      <c r="V592">
        <f t="shared" si="132"/>
        <v>6397.7999999999993</v>
      </c>
      <c r="W592">
        <f t="shared" si="133"/>
        <v>7386.7860000000019</v>
      </c>
      <c r="X592" s="10">
        <f t="shared" si="134"/>
        <v>0.53587289455047848</v>
      </c>
      <c r="Y592" t="str">
        <f t="shared" si="135"/>
        <v>High</v>
      </c>
      <c r="Z592" t="str">
        <f t="shared" si="136"/>
        <v>Not Met</v>
      </c>
      <c r="AA592" t="str">
        <f t="shared" si="137"/>
        <v>Low Discount</v>
      </c>
      <c r="AB592" s="10">
        <f>MIN(R592,ControlPanel!$B$5)</f>
        <v>0.106</v>
      </c>
      <c r="AC592">
        <f>P592*(1+ControlPanel!$B$6)</f>
        <v>1343.538</v>
      </c>
      <c r="AD592">
        <f>T592*(1+ControlPanel!$B$7)</f>
        <v>5.5</v>
      </c>
      <c r="AE592" s="6">
        <f t="shared" si="138"/>
        <v>15163.044600000001</v>
      </c>
      <c r="AF592">
        <f t="shared" si="139"/>
        <v>7773.5856000000013</v>
      </c>
    </row>
    <row r="593" spans="1:32" x14ac:dyDescent="0.3">
      <c r="A593" t="s">
        <v>428</v>
      </c>
      <c r="B593" s="4">
        <v>45449</v>
      </c>
      <c r="C593" s="4" t="str">
        <f t="shared" si="128"/>
        <v>Jun-2024</v>
      </c>
      <c r="D593" t="str">
        <f t="shared" si="129"/>
        <v>Q2-2024</v>
      </c>
      <c r="E593" s="4">
        <v>45467</v>
      </c>
      <c r="F593" s="12">
        <f t="shared" si="126"/>
        <v>45467</v>
      </c>
      <c r="G593" s="13">
        <f t="shared" si="127"/>
        <v>18</v>
      </c>
      <c r="H593" t="s">
        <v>647</v>
      </c>
      <c r="I593" t="s">
        <v>654</v>
      </c>
      <c r="J593" t="s">
        <v>668</v>
      </c>
      <c r="K593" t="s">
        <v>705</v>
      </c>
      <c r="L593" t="s">
        <v>711</v>
      </c>
      <c r="M593" t="s">
        <v>722</v>
      </c>
      <c r="N593" t="s">
        <v>729</v>
      </c>
      <c r="O593" t="s">
        <v>1147</v>
      </c>
      <c r="P593" s="6">
        <v>1253.25</v>
      </c>
      <c r="Q593" s="6">
        <v>3087.13</v>
      </c>
      <c r="R593" s="10">
        <v>7.1999999999999995E-2</v>
      </c>
      <c r="S593" s="10" t="b">
        <f t="shared" si="130"/>
        <v>0</v>
      </c>
      <c r="T593" s="8">
        <v>11</v>
      </c>
      <c r="U593">
        <f t="shared" si="131"/>
        <v>31513.423040000005</v>
      </c>
      <c r="V593">
        <f t="shared" si="132"/>
        <v>13785.75</v>
      </c>
      <c r="W593">
        <f t="shared" si="133"/>
        <v>17727.673040000005</v>
      </c>
      <c r="X593" s="10">
        <f t="shared" si="134"/>
        <v>0.562543555408064</v>
      </c>
      <c r="Y593" t="str">
        <f t="shared" si="135"/>
        <v>High</v>
      </c>
      <c r="Z593" t="str">
        <f t="shared" si="136"/>
        <v>Not Met</v>
      </c>
      <c r="AA593" t="str">
        <f t="shared" si="137"/>
        <v>Low Discount</v>
      </c>
      <c r="AB593" s="10">
        <f>MIN(R593,ControlPanel!$B$5)</f>
        <v>7.1999999999999995E-2</v>
      </c>
      <c r="AC593">
        <f>P593*(1+ControlPanel!$B$6)</f>
        <v>1315.9125000000001</v>
      </c>
      <c r="AD593">
        <f>T593*(1+ControlPanel!$B$7)</f>
        <v>12.100000000000001</v>
      </c>
      <c r="AE593" s="6">
        <f t="shared" si="138"/>
        <v>34664.765344000007</v>
      </c>
      <c r="AF593">
        <f t="shared" si="139"/>
        <v>18742.224094000005</v>
      </c>
    </row>
    <row r="594" spans="1:32" x14ac:dyDescent="0.3">
      <c r="A594" t="s">
        <v>535</v>
      </c>
      <c r="B594" s="4">
        <v>45056</v>
      </c>
      <c r="C594" s="4" t="str">
        <f t="shared" si="128"/>
        <v>May-2023</v>
      </c>
      <c r="D594" t="str">
        <f t="shared" si="129"/>
        <v>Q2-2023</v>
      </c>
      <c r="E594" s="4">
        <v>45073</v>
      </c>
      <c r="F594" s="12">
        <f t="shared" si="126"/>
        <v>45073</v>
      </c>
      <c r="G594" s="13">
        <f t="shared" si="127"/>
        <v>17</v>
      </c>
      <c r="H594" t="s">
        <v>647</v>
      </c>
      <c r="I594" t="s">
        <v>654</v>
      </c>
      <c r="J594" t="s">
        <v>691</v>
      </c>
      <c r="K594" t="s">
        <v>704</v>
      </c>
      <c r="L594" t="s">
        <v>707</v>
      </c>
      <c r="M594" t="s">
        <v>724</v>
      </c>
      <c r="N594" t="s">
        <v>731</v>
      </c>
      <c r="O594" t="s">
        <v>1254</v>
      </c>
      <c r="P594" s="6">
        <v>1286.1600000000001</v>
      </c>
      <c r="Q594" s="6">
        <v>3101.11</v>
      </c>
      <c r="R594" s="10">
        <v>0.1</v>
      </c>
      <c r="S594" s="10" t="b">
        <f t="shared" si="130"/>
        <v>0</v>
      </c>
      <c r="T594" s="8">
        <v>23</v>
      </c>
      <c r="U594">
        <f t="shared" si="131"/>
        <v>64192.977000000006</v>
      </c>
      <c r="V594">
        <f t="shared" si="132"/>
        <v>29581.68</v>
      </c>
      <c r="W594">
        <f t="shared" si="133"/>
        <v>34611.297000000006</v>
      </c>
      <c r="X594" s="10">
        <f t="shared" si="134"/>
        <v>0.53917575749758428</v>
      </c>
      <c r="Y594" t="str">
        <f t="shared" si="135"/>
        <v>High</v>
      </c>
      <c r="Z594" t="str">
        <f t="shared" si="136"/>
        <v>Not Met</v>
      </c>
      <c r="AA594" t="str">
        <f t="shared" si="137"/>
        <v>Low Discount</v>
      </c>
      <c r="AB594" s="10">
        <f>MIN(R594,ControlPanel!$B$5)</f>
        <v>0.1</v>
      </c>
      <c r="AC594">
        <f>P594*(1+ControlPanel!$B$6)</f>
        <v>1350.4680000000001</v>
      </c>
      <c r="AD594">
        <f>T594*(1+ControlPanel!$B$7)</f>
        <v>25.3</v>
      </c>
      <c r="AE594" s="6">
        <f t="shared" si="138"/>
        <v>70612.274700000009</v>
      </c>
      <c r="AF594">
        <f t="shared" si="139"/>
        <v>36445.434300000008</v>
      </c>
    </row>
    <row r="595" spans="1:32" x14ac:dyDescent="0.3">
      <c r="A595" t="s">
        <v>115</v>
      </c>
      <c r="B595" s="4">
        <v>45684</v>
      </c>
      <c r="C595" s="4" t="str">
        <f t="shared" si="128"/>
        <v>Jan-2025</v>
      </c>
      <c r="D595" t="str">
        <f t="shared" si="129"/>
        <v>Q1-2025</v>
      </c>
      <c r="E595" s="4">
        <v>45703</v>
      </c>
      <c r="F595" s="12">
        <f t="shared" si="126"/>
        <v>45703</v>
      </c>
      <c r="G595" s="13">
        <f t="shared" si="127"/>
        <v>19</v>
      </c>
      <c r="H595" t="s">
        <v>647</v>
      </c>
      <c r="I595" t="s">
        <v>659</v>
      </c>
      <c r="J595" t="s">
        <v>676</v>
      </c>
      <c r="K595" t="s">
        <v>703</v>
      </c>
      <c r="L595" t="s">
        <v>711</v>
      </c>
      <c r="M595" t="s">
        <v>716</v>
      </c>
      <c r="N595" t="s">
        <v>730</v>
      </c>
      <c r="O595" t="s">
        <v>834</v>
      </c>
      <c r="P595" s="6">
        <v>1253.22</v>
      </c>
      <c r="Q595" s="6">
        <v>3104.71</v>
      </c>
      <c r="R595" s="10">
        <v>0</v>
      </c>
      <c r="S595" s="10" t="b">
        <f t="shared" si="130"/>
        <v>0</v>
      </c>
      <c r="T595" s="8">
        <v>17</v>
      </c>
      <c r="U595">
        <f t="shared" si="131"/>
        <v>52780.07</v>
      </c>
      <c r="V595">
        <f t="shared" si="132"/>
        <v>21304.74</v>
      </c>
      <c r="W595">
        <f t="shared" si="133"/>
        <v>31475.329999999998</v>
      </c>
      <c r="X595" s="10">
        <f t="shared" si="134"/>
        <v>0.59634877331538205</v>
      </c>
      <c r="Y595" t="str">
        <f t="shared" si="135"/>
        <v>High</v>
      </c>
      <c r="Z595" t="str">
        <f t="shared" si="136"/>
        <v>Not Met</v>
      </c>
      <c r="AA595" t="str">
        <f t="shared" si="137"/>
        <v>Low Discount</v>
      </c>
      <c r="AB595" s="10">
        <f>MIN(R595,ControlPanel!$B$5)</f>
        <v>0</v>
      </c>
      <c r="AC595">
        <f>P595*(1+ControlPanel!$B$6)</f>
        <v>1315.8810000000001</v>
      </c>
      <c r="AD595">
        <f>T595*(1+ControlPanel!$B$7)</f>
        <v>18.700000000000003</v>
      </c>
      <c r="AE595" s="6">
        <f t="shared" si="138"/>
        <v>58058.077000000012</v>
      </c>
      <c r="AF595">
        <f t="shared" si="139"/>
        <v>33451.102300000006</v>
      </c>
    </row>
    <row r="596" spans="1:32" x14ac:dyDescent="0.3">
      <c r="A596" t="s">
        <v>410</v>
      </c>
      <c r="B596" s="4">
        <v>45890</v>
      </c>
      <c r="C596" s="4" t="str">
        <f t="shared" si="128"/>
        <v>Aug-2025</v>
      </c>
      <c r="D596" t="str">
        <f t="shared" si="129"/>
        <v>Q3-2025</v>
      </c>
      <c r="E596" s="4">
        <v>45914</v>
      </c>
      <c r="F596" s="12">
        <f t="shared" si="126"/>
        <v>45914</v>
      </c>
      <c r="G596" s="13">
        <f t="shared" si="127"/>
        <v>24</v>
      </c>
      <c r="H596" t="s">
        <v>649</v>
      </c>
      <c r="I596" t="s">
        <v>656</v>
      </c>
      <c r="J596" t="s">
        <v>671</v>
      </c>
      <c r="K596" t="s">
        <v>703</v>
      </c>
      <c r="L596" t="s">
        <v>708</v>
      </c>
      <c r="M596" t="s">
        <v>720</v>
      </c>
      <c r="N596" t="s">
        <v>732</v>
      </c>
      <c r="O596" t="s">
        <v>1129</v>
      </c>
      <c r="P596" s="6">
        <v>1397.67</v>
      </c>
      <c r="Q596" s="6">
        <v>3131.37</v>
      </c>
      <c r="R596" s="10">
        <v>0.10299999999999999</v>
      </c>
      <c r="S596" s="10" t="b">
        <f t="shared" si="130"/>
        <v>0</v>
      </c>
      <c r="T596" s="8">
        <v>20</v>
      </c>
      <c r="U596">
        <f t="shared" si="131"/>
        <v>56176.777799999996</v>
      </c>
      <c r="V596">
        <f t="shared" si="132"/>
        <v>27953.4</v>
      </c>
      <c r="W596">
        <f t="shared" si="133"/>
        <v>28223.377799999995</v>
      </c>
      <c r="X596" s="10">
        <f t="shared" si="134"/>
        <v>0.50240293062874808</v>
      </c>
      <c r="Y596" t="str">
        <f t="shared" si="135"/>
        <v>High</v>
      </c>
      <c r="Z596" t="str">
        <f t="shared" si="136"/>
        <v>Not Met</v>
      </c>
      <c r="AA596" t="str">
        <f t="shared" si="137"/>
        <v>Low Discount</v>
      </c>
      <c r="AB596" s="10">
        <f>MIN(R596,ControlPanel!$B$5)</f>
        <v>0.10299999999999999</v>
      </c>
      <c r="AC596">
        <f>P596*(1+ControlPanel!$B$6)</f>
        <v>1467.5535000000002</v>
      </c>
      <c r="AD596">
        <f>T596*(1+ControlPanel!$B$7)</f>
        <v>22</v>
      </c>
      <c r="AE596" s="6">
        <f t="shared" si="138"/>
        <v>61794.455580000002</v>
      </c>
      <c r="AF596">
        <f t="shared" si="139"/>
        <v>29508.278579999998</v>
      </c>
    </row>
    <row r="597" spans="1:32" x14ac:dyDescent="0.3">
      <c r="A597" t="s">
        <v>336</v>
      </c>
      <c r="B597" s="4">
        <v>44985</v>
      </c>
      <c r="C597" s="4" t="str">
        <f t="shared" si="128"/>
        <v>Feb-2023</v>
      </c>
      <c r="D597" t="str">
        <f t="shared" si="129"/>
        <v>Q1-2023</v>
      </c>
      <c r="E597" s="4">
        <v>44984</v>
      </c>
      <c r="F597" s="12">
        <f t="shared" si="126"/>
        <v>44999</v>
      </c>
      <c r="G597" s="13">
        <f t="shared" si="127"/>
        <v>14</v>
      </c>
      <c r="H597" t="s">
        <v>649</v>
      </c>
      <c r="I597" t="s">
        <v>657</v>
      </c>
      <c r="J597" t="s">
        <v>673</v>
      </c>
      <c r="K597" t="s">
        <v>701</v>
      </c>
      <c r="L597" t="s">
        <v>707</v>
      </c>
      <c r="M597" t="s">
        <v>723</v>
      </c>
      <c r="N597" t="s">
        <v>729</v>
      </c>
      <c r="O597" t="s">
        <v>1056</v>
      </c>
      <c r="P597" s="6">
        <v>1299.81</v>
      </c>
      <c r="Q597" s="6">
        <v>3149.13</v>
      </c>
      <c r="R597" s="10">
        <v>0.10299999999999999</v>
      </c>
      <c r="S597" s="10" t="b">
        <f t="shared" si="130"/>
        <v>0</v>
      </c>
      <c r="T597" s="8">
        <v>14</v>
      </c>
      <c r="U597">
        <f t="shared" si="131"/>
        <v>39546.774540000006</v>
      </c>
      <c r="V597">
        <f t="shared" si="132"/>
        <v>18197.34</v>
      </c>
      <c r="W597">
        <f t="shared" si="133"/>
        <v>21349.434540000006</v>
      </c>
      <c r="X597" s="10">
        <f t="shared" si="134"/>
        <v>0.5398527386451174</v>
      </c>
      <c r="Y597" t="str">
        <f t="shared" si="135"/>
        <v>High</v>
      </c>
      <c r="Z597" t="str">
        <f t="shared" si="136"/>
        <v>Not Met</v>
      </c>
      <c r="AA597" t="str">
        <f t="shared" si="137"/>
        <v>Low Discount</v>
      </c>
      <c r="AB597" s="10">
        <f>MIN(R597,ControlPanel!$B$5)</f>
        <v>0.10299999999999999</v>
      </c>
      <c r="AC597">
        <f>P597*(1+ControlPanel!$B$6)</f>
        <v>1364.8005000000001</v>
      </c>
      <c r="AD597">
        <f>T597*(1+ControlPanel!$B$7)</f>
        <v>15.400000000000002</v>
      </c>
      <c r="AE597" s="6">
        <f t="shared" si="138"/>
        <v>43501.45199400001</v>
      </c>
      <c r="AF597">
        <f t="shared" si="139"/>
        <v>22483.524294000006</v>
      </c>
    </row>
    <row r="598" spans="1:32" x14ac:dyDescent="0.3">
      <c r="A598" t="s">
        <v>324</v>
      </c>
      <c r="B598" s="4">
        <v>45655</v>
      </c>
      <c r="C598" s="4" t="str">
        <f t="shared" si="128"/>
        <v>Dec-2024</v>
      </c>
      <c r="D598" t="str">
        <f t="shared" si="129"/>
        <v>Q4-2024</v>
      </c>
      <c r="E598" s="4">
        <v>45669</v>
      </c>
      <c r="F598" s="12">
        <f t="shared" si="126"/>
        <v>45669</v>
      </c>
      <c r="G598" s="13">
        <f t="shared" si="127"/>
        <v>14</v>
      </c>
      <c r="H598" t="s">
        <v>649</v>
      </c>
      <c r="I598" t="s">
        <v>658</v>
      </c>
      <c r="J598" t="s">
        <v>693</v>
      </c>
      <c r="K598" t="s">
        <v>701</v>
      </c>
      <c r="L598" t="s">
        <v>711</v>
      </c>
      <c r="M598" t="s">
        <v>717</v>
      </c>
      <c r="N598" t="s">
        <v>732</v>
      </c>
      <c r="O598" t="s">
        <v>1044</v>
      </c>
      <c r="P598" s="6">
        <v>1399.72</v>
      </c>
      <c r="Q598" s="6">
        <v>3149.21</v>
      </c>
      <c r="R598" s="10">
        <v>0.185</v>
      </c>
      <c r="S598" s="10" t="b">
        <f t="shared" si="130"/>
        <v>0</v>
      </c>
      <c r="T598" s="8">
        <v>12</v>
      </c>
      <c r="U598">
        <f t="shared" si="131"/>
        <v>30799.273800000003</v>
      </c>
      <c r="V598">
        <f t="shared" si="132"/>
        <v>16796.64</v>
      </c>
      <c r="W598">
        <f t="shared" si="133"/>
        <v>14002.633800000003</v>
      </c>
      <c r="X598" s="10">
        <f t="shared" si="134"/>
        <v>0.45464168703873797</v>
      </c>
      <c r="Y598" t="str">
        <f t="shared" si="135"/>
        <v>High</v>
      </c>
      <c r="Z598" t="str">
        <f t="shared" si="136"/>
        <v>Not Met</v>
      </c>
      <c r="AA598" t="str">
        <f t="shared" si="137"/>
        <v>Low Discount</v>
      </c>
      <c r="AB598" s="10">
        <f>MIN(R598,ControlPanel!$B$5)</f>
        <v>0.185</v>
      </c>
      <c r="AC598">
        <f>P598*(1+ControlPanel!$B$6)</f>
        <v>1469.7060000000001</v>
      </c>
      <c r="AD598">
        <f>T598*(1+ControlPanel!$B$7)</f>
        <v>13.200000000000001</v>
      </c>
      <c r="AE598" s="6">
        <f t="shared" si="138"/>
        <v>33879.201180000004</v>
      </c>
      <c r="AF598">
        <f t="shared" si="139"/>
        <v>14479.081979999999</v>
      </c>
    </row>
    <row r="599" spans="1:32" x14ac:dyDescent="0.3">
      <c r="A599" t="s">
        <v>343</v>
      </c>
      <c r="B599" s="4">
        <v>45221</v>
      </c>
      <c r="C599" s="4" t="str">
        <f t="shared" si="128"/>
        <v>Oct-2023</v>
      </c>
      <c r="D599" t="str">
        <f t="shared" si="129"/>
        <v>Q4-2023</v>
      </c>
      <c r="E599" s="4">
        <v>45246</v>
      </c>
      <c r="F599" s="12">
        <f t="shared" si="126"/>
        <v>45246</v>
      </c>
      <c r="G599" s="13">
        <f t="shared" si="127"/>
        <v>25</v>
      </c>
      <c r="H599" t="s">
        <v>648</v>
      </c>
      <c r="I599" t="s">
        <v>653</v>
      </c>
      <c r="J599" t="s">
        <v>667</v>
      </c>
      <c r="K599" t="s">
        <v>705</v>
      </c>
      <c r="L599" t="s">
        <v>709</v>
      </c>
      <c r="M599" t="s">
        <v>714</v>
      </c>
      <c r="N599" t="s">
        <v>731</v>
      </c>
      <c r="O599" t="s">
        <v>1063</v>
      </c>
      <c r="P599" s="6">
        <v>1373.31</v>
      </c>
      <c r="Q599" s="6">
        <v>3154.14</v>
      </c>
      <c r="R599" s="10">
        <v>0.2</v>
      </c>
      <c r="S599" s="10" t="b">
        <f t="shared" si="130"/>
        <v>0</v>
      </c>
      <c r="T599" s="8">
        <v>11</v>
      </c>
      <c r="U599">
        <f t="shared" si="131"/>
        <v>27756.432000000001</v>
      </c>
      <c r="V599">
        <f t="shared" si="132"/>
        <v>15106.41</v>
      </c>
      <c r="W599">
        <f t="shared" si="133"/>
        <v>12650.022000000001</v>
      </c>
      <c r="X599" s="10">
        <f t="shared" si="134"/>
        <v>0.45575101295440279</v>
      </c>
      <c r="Y599" t="str">
        <f t="shared" si="135"/>
        <v>High</v>
      </c>
      <c r="Z599" t="str">
        <f t="shared" si="136"/>
        <v>Not Met</v>
      </c>
      <c r="AA599" t="str">
        <f t="shared" si="137"/>
        <v>Low Discount</v>
      </c>
      <c r="AB599" s="10">
        <f>MIN(R599,ControlPanel!$B$5)</f>
        <v>0.2</v>
      </c>
      <c r="AC599">
        <f>P599*(1+ControlPanel!$B$6)</f>
        <v>1441.9755</v>
      </c>
      <c r="AD599">
        <f>T599*(1+ControlPanel!$B$7)</f>
        <v>12.100000000000001</v>
      </c>
      <c r="AE599" s="6">
        <f t="shared" si="138"/>
        <v>30532.075200000003</v>
      </c>
      <c r="AF599">
        <f t="shared" si="139"/>
        <v>13084.17165</v>
      </c>
    </row>
    <row r="600" spans="1:32" x14ac:dyDescent="0.3">
      <c r="A600" t="s">
        <v>438</v>
      </c>
      <c r="B600" s="4">
        <v>45341</v>
      </c>
      <c r="C600" s="4" t="str">
        <f t="shared" si="128"/>
        <v>Feb-2024</v>
      </c>
      <c r="D600" t="str">
        <f t="shared" si="129"/>
        <v>Q1-2024</v>
      </c>
      <c r="E600" s="4">
        <v>45357</v>
      </c>
      <c r="F600" s="12">
        <f t="shared" si="126"/>
        <v>45357</v>
      </c>
      <c r="G600" s="13">
        <f t="shared" si="127"/>
        <v>16</v>
      </c>
      <c r="H600" t="s">
        <v>647</v>
      </c>
      <c r="I600" t="s">
        <v>659</v>
      </c>
      <c r="J600" t="s">
        <v>699</v>
      </c>
      <c r="K600" t="s">
        <v>702</v>
      </c>
      <c r="L600" t="s">
        <v>709</v>
      </c>
      <c r="M600" t="s">
        <v>719</v>
      </c>
      <c r="N600" t="s">
        <v>728</v>
      </c>
      <c r="O600" t="s">
        <v>1157</v>
      </c>
      <c r="P600" s="6">
        <v>1477.84</v>
      </c>
      <c r="Q600" s="6">
        <v>3197.47</v>
      </c>
      <c r="R600" s="10">
        <v>0.24299999999999999</v>
      </c>
      <c r="S600" s="10" t="b">
        <f t="shared" si="130"/>
        <v>0</v>
      </c>
      <c r="T600" s="8">
        <v>24</v>
      </c>
      <c r="U600">
        <f t="shared" si="131"/>
        <v>58091.634959999996</v>
      </c>
      <c r="V600">
        <f t="shared" si="132"/>
        <v>35468.159999999996</v>
      </c>
      <c r="W600">
        <f t="shared" si="133"/>
        <v>22623.47496</v>
      </c>
      <c r="X600" s="10">
        <f t="shared" si="134"/>
        <v>0.38944462443823086</v>
      </c>
      <c r="Y600" t="str">
        <f t="shared" si="135"/>
        <v>High</v>
      </c>
      <c r="Z600" t="str">
        <f t="shared" si="136"/>
        <v>Not Met</v>
      </c>
      <c r="AA600" t="str">
        <f t="shared" si="137"/>
        <v>High Discount</v>
      </c>
      <c r="AB600" s="10">
        <f>MIN(R600,ControlPanel!$B$5)</f>
        <v>0.2</v>
      </c>
      <c r="AC600">
        <f>P600*(1+ControlPanel!$B$6)</f>
        <v>1551.732</v>
      </c>
      <c r="AD600">
        <f>T600*(1+ControlPanel!$B$7)</f>
        <v>26.400000000000002</v>
      </c>
      <c r="AE600" s="6">
        <f t="shared" si="138"/>
        <v>67530.566400000011</v>
      </c>
      <c r="AF600">
        <f t="shared" si="139"/>
        <v>26564.841600000007</v>
      </c>
    </row>
    <row r="601" spans="1:32" x14ac:dyDescent="0.3">
      <c r="A601" t="s">
        <v>57</v>
      </c>
      <c r="B601" s="4">
        <v>45590</v>
      </c>
      <c r="C601" s="4" t="str">
        <f t="shared" si="128"/>
        <v>Oct-2024</v>
      </c>
      <c r="D601" t="str">
        <f t="shared" si="129"/>
        <v>Q4-2024</v>
      </c>
      <c r="E601" s="4">
        <v>45610</v>
      </c>
      <c r="F601" s="12">
        <f t="shared" si="126"/>
        <v>45610</v>
      </c>
      <c r="G601" s="13">
        <f t="shared" si="127"/>
        <v>20</v>
      </c>
      <c r="H601" t="s">
        <v>646</v>
      </c>
      <c r="I601" t="s">
        <v>650</v>
      </c>
      <c r="J601" t="s">
        <v>675</v>
      </c>
      <c r="K601" t="s">
        <v>701</v>
      </c>
      <c r="L601" t="s">
        <v>711</v>
      </c>
      <c r="M601" t="s">
        <v>722</v>
      </c>
      <c r="N601" t="s">
        <v>728</v>
      </c>
      <c r="O601" t="s">
        <v>776</v>
      </c>
      <c r="P601" s="6">
        <v>1396.48</v>
      </c>
      <c r="Q601" s="6">
        <v>3204.5</v>
      </c>
      <c r="R601" s="10">
        <v>0</v>
      </c>
      <c r="S601" s="10" t="b">
        <f t="shared" si="130"/>
        <v>0</v>
      </c>
      <c r="T601" s="8">
        <v>14</v>
      </c>
      <c r="U601">
        <f t="shared" si="131"/>
        <v>44863</v>
      </c>
      <c r="V601">
        <f t="shared" si="132"/>
        <v>19550.72</v>
      </c>
      <c r="W601">
        <f t="shared" si="133"/>
        <v>25312.28</v>
      </c>
      <c r="X601" s="10">
        <f t="shared" si="134"/>
        <v>0.56421282571383991</v>
      </c>
      <c r="Y601" t="str">
        <f t="shared" si="135"/>
        <v>High</v>
      </c>
      <c r="Z601" t="str">
        <f t="shared" si="136"/>
        <v>Not Met</v>
      </c>
      <c r="AA601" t="str">
        <f t="shared" si="137"/>
        <v>Low Discount</v>
      </c>
      <c r="AB601" s="10">
        <f>MIN(R601,ControlPanel!$B$5)</f>
        <v>0</v>
      </c>
      <c r="AC601">
        <f>P601*(1+ControlPanel!$B$6)</f>
        <v>1466.3040000000001</v>
      </c>
      <c r="AD601">
        <f>T601*(1+ControlPanel!$B$7)</f>
        <v>15.400000000000002</v>
      </c>
      <c r="AE601" s="6">
        <f t="shared" si="138"/>
        <v>49349.30000000001</v>
      </c>
      <c r="AF601">
        <f t="shared" si="139"/>
        <v>26768.218400000005</v>
      </c>
    </row>
    <row r="602" spans="1:32" x14ac:dyDescent="0.3">
      <c r="A602" t="s">
        <v>627</v>
      </c>
      <c r="B602" s="4">
        <v>45468</v>
      </c>
      <c r="C602" s="4" t="str">
        <f t="shared" si="128"/>
        <v>Jun-2024</v>
      </c>
      <c r="D602" t="str">
        <f t="shared" si="129"/>
        <v>Q2-2024</v>
      </c>
      <c r="E602" s="4">
        <v>45473</v>
      </c>
      <c r="F602" s="12">
        <f t="shared" si="126"/>
        <v>45473</v>
      </c>
      <c r="G602" s="13">
        <f t="shared" si="127"/>
        <v>5</v>
      </c>
      <c r="H602" t="s">
        <v>646</v>
      </c>
      <c r="I602" t="s">
        <v>650</v>
      </c>
      <c r="J602" t="s">
        <v>662</v>
      </c>
      <c r="K602" t="s">
        <v>702</v>
      </c>
      <c r="L602" t="s">
        <v>711</v>
      </c>
      <c r="M602" t="s">
        <v>724</v>
      </c>
      <c r="N602" t="s">
        <v>729</v>
      </c>
      <c r="O602" t="s">
        <v>1345</v>
      </c>
      <c r="P602" s="6">
        <v>1323.55</v>
      </c>
      <c r="Q602" s="6">
        <v>3230.35</v>
      </c>
      <c r="R602" s="10">
        <v>2.1999999999999999E-2</v>
      </c>
      <c r="S602" s="10" t="b">
        <f t="shared" si="130"/>
        <v>0</v>
      </c>
      <c r="T602" s="8">
        <v>26</v>
      </c>
      <c r="U602">
        <f t="shared" si="131"/>
        <v>82141.339800000002</v>
      </c>
      <c r="V602">
        <f t="shared" si="132"/>
        <v>34412.299999999996</v>
      </c>
      <c r="W602">
        <f t="shared" si="133"/>
        <v>47729.039800000006</v>
      </c>
      <c r="X602" s="10">
        <f t="shared" si="134"/>
        <v>0.58105991351263553</v>
      </c>
      <c r="Y602" t="str">
        <f t="shared" si="135"/>
        <v>High</v>
      </c>
      <c r="Z602" t="str">
        <f t="shared" si="136"/>
        <v>Met</v>
      </c>
      <c r="AA602" t="str">
        <f t="shared" si="137"/>
        <v>Low Discount</v>
      </c>
      <c r="AB602" s="10">
        <f>MIN(R602,ControlPanel!$B$5)</f>
        <v>2.1999999999999999E-2</v>
      </c>
      <c r="AC602">
        <f>P602*(1+ControlPanel!$B$6)</f>
        <v>1389.7275</v>
      </c>
      <c r="AD602">
        <f>T602*(1+ControlPanel!$B$7)</f>
        <v>28.6</v>
      </c>
      <c r="AE602" s="6">
        <f t="shared" si="138"/>
        <v>90355.47378</v>
      </c>
      <c r="AF602">
        <f t="shared" si="139"/>
        <v>50609.26728</v>
      </c>
    </row>
    <row r="603" spans="1:32" x14ac:dyDescent="0.3">
      <c r="A603" t="s">
        <v>190</v>
      </c>
      <c r="B603" s="4">
        <v>45761</v>
      </c>
      <c r="C603" s="4" t="str">
        <f t="shared" si="128"/>
        <v>Apr-2025</v>
      </c>
      <c r="D603" t="str">
        <f t="shared" si="129"/>
        <v>Q2-2025</v>
      </c>
      <c r="E603" s="4">
        <v>45781</v>
      </c>
      <c r="F603" s="12">
        <f t="shared" si="126"/>
        <v>45781</v>
      </c>
      <c r="G603" s="13">
        <f t="shared" si="127"/>
        <v>20</v>
      </c>
      <c r="H603" t="s">
        <v>649</v>
      </c>
      <c r="I603" t="s">
        <v>658</v>
      </c>
      <c r="J603" t="s">
        <v>674</v>
      </c>
      <c r="K603" t="s">
        <v>706</v>
      </c>
      <c r="L603" t="s">
        <v>709</v>
      </c>
      <c r="M603" t="s">
        <v>723</v>
      </c>
      <c r="N603" t="s">
        <v>732</v>
      </c>
      <c r="O603" t="s">
        <v>909</v>
      </c>
      <c r="P603" s="6">
        <v>1413.87</v>
      </c>
      <c r="Q603" s="6">
        <v>3275</v>
      </c>
      <c r="R603" s="10">
        <v>0.255</v>
      </c>
      <c r="S603" s="10" t="b">
        <f t="shared" si="130"/>
        <v>0</v>
      </c>
      <c r="T603" s="8">
        <v>38</v>
      </c>
      <c r="U603">
        <f t="shared" si="131"/>
        <v>92715.25</v>
      </c>
      <c r="V603">
        <f t="shared" si="132"/>
        <v>53727.06</v>
      </c>
      <c r="W603">
        <f t="shared" si="133"/>
        <v>38988.19</v>
      </c>
      <c r="X603" s="10">
        <f t="shared" si="134"/>
        <v>0.42051539525590453</v>
      </c>
      <c r="Y603" t="str">
        <f t="shared" si="135"/>
        <v>High</v>
      </c>
      <c r="Z603" t="str">
        <f t="shared" si="136"/>
        <v>Not Met</v>
      </c>
      <c r="AA603" t="str">
        <f t="shared" si="137"/>
        <v>High Discount</v>
      </c>
      <c r="AB603" s="10">
        <f>MIN(R603,ControlPanel!$B$5)</f>
        <v>0.2</v>
      </c>
      <c r="AC603">
        <f>P603*(1+ControlPanel!$B$6)</f>
        <v>1484.5635</v>
      </c>
      <c r="AD603">
        <f>T603*(1+ControlPanel!$B$7)</f>
        <v>41.800000000000004</v>
      </c>
      <c r="AE603" s="6">
        <f t="shared" si="138"/>
        <v>109516.00000000001</v>
      </c>
      <c r="AF603">
        <f t="shared" si="139"/>
        <v>47461.245700000007</v>
      </c>
    </row>
    <row r="604" spans="1:32" x14ac:dyDescent="0.3">
      <c r="A604" t="s">
        <v>309</v>
      </c>
      <c r="B604" s="4">
        <v>45809</v>
      </c>
      <c r="C604" s="4" t="str">
        <f t="shared" si="128"/>
        <v>Jun-2025</v>
      </c>
      <c r="D604" t="str">
        <f t="shared" si="129"/>
        <v>Q2-2025</v>
      </c>
      <c r="E604" s="4">
        <v>45835</v>
      </c>
      <c r="F604" s="12">
        <f t="shared" si="126"/>
        <v>45835</v>
      </c>
      <c r="G604" s="13">
        <f t="shared" si="127"/>
        <v>26</v>
      </c>
      <c r="H604" t="s">
        <v>649</v>
      </c>
      <c r="I604" t="s">
        <v>656</v>
      </c>
      <c r="J604" t="s">
        <v>684</v>
      </c>
      <c r="K604" t="s">
        <v>704</v>
      </c>
      <c r="L604" t="s">
        <v>710</v>
      </c>
      <c r="M604" t="s">
        <v>718</v>
      </c>
      <c r="N604" t="s">
        <v>731</v>
      </c>
      <c r="O604" t="s">
        <v>1029</v>
      </c>
      <c r="P604" s="6">
        <v>1362.31</v>
      </c>
      <c r="Q604" s="6">
        <v>3294.57</v>
      </c>
      <c r="R604" s="10">
        <v>0.113</v>
      </c>
      <c r="S604" s="10" t="b">
        <f t="shared" si="130"/>
        <v>0</v>
      </c>
      <c r="T604" s="8">
        <v>7</v>
      </c>
      <c r="U604">
        <f t="shared" si="131"/>
        <v>20455.985130000001</v>
      </c>
      <c r="V604">
        <f t="shared" si="132"/>
        <v>9536.17</v>
      </c>
      <c r="W604">
        <f t="shared" si="133"/>
        <v>10919.815130000001</v>
      </c>
      <c r="X604" s="10">
        <f t="shared" si="134"/>
        <v>0.5338200561157721</v>
      </c>
      <c r="Y604" t="str">
        <f t="shared" si="135"/>
        <v>High</v>
      </c>
      <c r="Z604" t="str">
        <f t="shared" si="136"/>
        <v>Not Met</v>
      </c>
      <c r="AA604" t="str">
        <f t="shared" si="137"/>
        <v>Low Discount</v>
      </c>
      <c r="AB604" s="10">
        <f>MIN(R604,ControlPanel!$B$5)</f>
        <v>0.113</v>
      </c>
      <c r="AC604">
        <f>P604*(1+ControlPanel!$B$6)</f>
        <v>1430.4255000000001</v>
      </c>
      <c r="AD604">
        <f>T604*(1+ControlPanel!$B$7)</f>
        <v>7.7000000000000011</v>
      </c>
      <c r="AE604" s="6">
        <f t="shared" si="138"/>
        <v>22501.583643000002</v>
      </c>
      <c r="AF604">
        <f t="shared" si="139"/>
        <v>11487.307293</v>
      </c>
    </row>
    <row r="605" spans="1:32" x14ac:dyDescent="0.3">
      <c r="A605" t="s">
        <v>543</v>
      </c>
      <c r="B605" s="4">
        <v>45162</v>
      </c>
      <c r="C605" s="4" t="str">
        <f t="shared" si="128"/>
        <v>Aug-2023</v>
      </c>
      <c r="D605" t="str">
        <f t="shared" si="129"/>
        <v>Q3-2023</v>
      </c>
      <c r="E605" s="4">
        <v>45189</v>
      </c>
      <c r="F605" s="12">
        <f t="shared" si="126"/>
        <v>45189</v>
      </c>
      <c r="G605" s="13">
        <f t="shared" si="127"/>
        <v>27</v>
      </c>
      <c r="H605" t="s">
        <v>646</v>
      </c>
      <c r="I605" t="s">
        <v>661</v>
      </c>
      <c r="J605" t="s">
        <v>687</v>
      </c>
      <c r="K605" t="s">
        <v>705</v>
      </c>
      <c r="L605" t="s">
        <v>709</v>
      </c>
      <c r="M605" t="s">
        <v>724</v>
      </c>
      <c r="N605" t="s">
        <v>728</v>
      </c>
      <c r="O605" t="s">
        <v>1262</v>
      </c>
      <c r="P605" s="6">
        <v>1399.64</v>
      </c>
      <c r="Q605" s="6">
        <v>3342.11</v>
      </c>
      <c r="R605" s="10">
        <v>0</v>
      </c>
      <c r="S605" s="10" t="b">
        <f t="shared" si="130"/>
        <v>0</v>
      </c>
      <c r="T605" s="8">
        <v>10</v>
      </c>
      <c r="U605">
        <f t="shared" si="131"/>
        <v>33421.1</v>
      </c>
      <c r="V605">
        <f t="shared" si="132"/>
        <v>13996.400000000001</v>
      </c>
      <c r="W605">
        <f t="shared" si="133"/>
        <v>19424.699999999997</v>
      </c>
      <c r="X605" s="10">
        <f t="shared" si="134"/>
        <v>0.58121067229983447</v>
      </c>
      <c r="Y605" t="str">
        <f t="shared" si="135"/>
        <v>High</v>
      </c>
      <c r="Z605" t="str">
        <f t="shared" si="136"/>
        <v>Not Met</v>
      </c>
      <c r="AA605" t="str">
        <f t="shared" si="137"/>
        <v>Low Discount</v>
      </c>
      <c r="AB605" s="10">
        <f>MIN(R605,ControlPanel!$B$5)</f>
        <v>0</v>
      </c>
      <c r="AC605">
        <f>P605*(1+ControlPanel!$B$6)</f>
        <v>1469.6220000000001</v>
      </c>
      <c r="AD605">
        <f>T605*(1+ControlPanel!$B$7)</f>
        <v>11</v>
      </c>
      <c r="AE605" s="6">
        <f t="shared" si="138"/>
        <v>36763.21</v>
      </c>
      <c r="AF605">
        <f t="shared" si="139"/>
        <v>20597.367999999999</v>
      </c>
    </row>
    <row r="606" spans="1:32" x14ac:dyDescent="0.3">
      <c r="A606" t="s">
        <v>130</v>
      </c>
      <c r="B606" s="4">
        <v>44987</v>
      </c>
      <c r="C606" s="4" t="str">
        <f t="shared" si="128"/>
        <v>Mar-2023</v>
      </c>
      <c r="D606" t="str">
        <f t="shared" si="129"/>
        <v>Q1-2023</v>
      </c>
      <c r="E606" s="4">
        <v>44990</v>
      </c>
      <c r="F606" s="12">
        <f t="shared" si="126"/>
        <v>44990</v>
      </c>
      <c r="G606" s="13">
        <f t="shared" si="127"/>
        <v>3</v>
      </c>
      <c r="H606" t="s">
        <v>648</v>
      </c>
      <c r="I606" t="s">
        <v>655</v>
      </c>
      <c r="J606" t="s">
        <v>672</v>
      </c>
      <c r="K606" t="s">
        <v>706</v>
      </c>
      <c r="L606" t="s">
        <v>711</v>
      </c>
      <c r="M606" t="s">
        <v>715</v>
      </c>
      <c r="N606" t="s">
        <v>732</v>
      </c>
      <c r="O606" t="s">
        <v>849</v>
      </c>
      <c r="P606" s="6">
        <v>1473.58</v>
      </c>
      <c r="Q606" s="6">
        <v>3436.52</v>
      </c>
      <c r="R606" s="10">
        <v>0.108</v>
      </c>
      <c r="S606" s="10" t="b">
        <f t="shared" si="130"/>
        <v>0</v>
      </c>
      <c r="T606" s="8">
        <v>8</v>
      </c>
      <c r="U606">
        <f t="shared" si="131"/>
        <v>24523.006720000001</v>
      </c>
      <c r="V606">
        <f t="shared" si="132"/>
        <v>11788.64</v>
      </c>
      <c r="W606">
        <f t="shared" si="133"/>
        <v>12734.366720000002</v>
      </c>
      <c r="X606" s="10">
        <f t="shared" si="134"/>
        <v>0.51928243813652564</v>
      </c>
      <c r="Y606" t="str">
        <f t="shared" si="135"/>
        <v>High</v>
      </c>
      <c r="Z606" t="str">
        <f t="shared" si="136"/>
        <v>Met</v>
      </c>
      <c r="AA606" t="str">
        <f t="shared" si="137"/>
        <v>Low Discount</v>
      </c>
      <c r="AB606" s="10">
        <f>MIN(R606,ControlPanel!$B$5)</f>
        <v>0.108</v>
      </c>
      <c r="AC606">
        <f>P606*(1+ControlPanel!$B$6)</f>
        <v>1547.259</v>
      </c>
      <c r="AD606">
        <f>T606*(1+ControlPanel!$B$7)</f>
        <v>8.8000000000000007</v>
      </c>
      <c r="AE606" s="6">
        <f t="shared" si="138"/>
        <v>26975.307392000002</v>
      </c>
      <c r="AF606">
        <f t="shared" si="139"/>
        <v>13359.428192000001</v>
      </c>
    </row>
    <row r="607" spans="1:32" x14ac:dyDescent="0.3">
      <c r="A607" t="s">
        <v>132</v>
      </c>
      <c r="B607" s="4">
        <v>45653</v>
      </c>
      <c r="C607" s="4" t="str">
        <f t="shared" si="128"/>
        <v>Dec-2024</v>
      </c>
      <c r="D607" t="str">
        <f t="shared" si="129"/>
        <v>Q4-2024</v>
      </c>
      <c r="E607" s="4">
        <v>45659</v>
      </c>
      <c r="F607" s="12">
        <f t="shared" si="126"/>
        <v>45659</v>
      </c>
      <c r="G607" s="13">
        <f t="shared" si="127"/>
        <v>6</v>
      </c>
      <c r="H607" t="s">
        <v>649</v>
      </c>
      <c r="I607" t="s">
        <v>656</v>
      </c>
      <c r="J607" t="s">
        <v>698</v>
      </c>
      <c r="K607" t="s">
        <v>702</v>
      </c>
      <c r="L607" t="s">
        <v>711</v>
      </c>
      <c r="M607" t="s">
        <v>721</v>
      </c>
      <c r="N607" t="s">
        <v>731</v>
      </c>
      <c r="O607" t="s">
        <v>851</v>
      </c>
      <c r="P607" s="6">
        <v>1391.99</v>
      </c>
      <c r="Q607" s="6">
        <v>3469.7</v>
      </c>
      <c r="R607" s="10">
        <v>0.184</v>
      </c>
      <c r="S607" s="10" t="b">
        <f t="shared" si="130"/>
        <v>0</v>
      </c>
      <c r="T607" s="8">
        <v>23</v>
      </c>
      <c r="U607">
        <f t="shared" si="131"/>
        <v>65119.329599999997</v>
      </c>
      <c r="V607">
        <f t="shared" si="132"/>
        <v>32015.77</v>
      </c>
      <c r="W607">
        <f t="shared" si="133"/>
        <v>33103.559599999993</v>
      </c>
      <c r="X607" s="10">
        <f t="shared" si="134"/>
        <v>0.50835227886006973</v>
      </c>
      <c r="Y607" t="str">
        <f t="shared" si="135"/>
        <v>High</v>
      </c>
      <c r="Z607" t="str">
        <f t="shared" si="136"/>
        <v>Met</v>
      </c>
      <c r="AA607" t="str">
        <f t="shared" si="137"/>
        <v>Low Discount</v>
      </c>
      <c r="AB607" s="10">
        <f>MIN(R607,ControlPanel!$B$5)</f>
        <v>0.184</v>
      </c>
      <c r="AC607">
        <f>P607*(1+ControlPanel!$B$6)</f>
        <v>1461.5895</v>
      </c>
      <c r="AD607">
        <f>T607*(1+ControlPanel!$B$7)</f>
        <v>25.3</v>
      </c>
      <c r="AE607" s="6">
        <f t="shared" si="138"/>
        <v>71631.262560000003</v>
      </c>
      <c r="AF607">
        <f t="shared" si="139"/>
        <v>34653.048210000001</v>
      </c>
    </row>
    <row r="608" spans="1:32" x14ac:dyDescent="0.3">
      <c r="A608" t="s">
        <v>388</v>
      </c>
      <c r="B608" s="4">
        <v>45429</v>
      </c>
      <c r="C608" s="4" t="str">
        <f t="shared" si="128"/>
        <v>May-2024</v>
      </c>
      <c r="D608" t="str">
        <f t="shared" si="129"/>
        <v>Q2-2024</v>
      </c>
      <c r="E608" s="4">
        <v>45439</v>
      </c>
      <c r="F608" s="12">
        <f t="shared" si="126"/>
        <v>45439</v>
      </c>
      <c r="G608" s="13">
        <f t="shared" si="127"/>
        <v>10</v>
      </c>
      <c r="H608" t="s">
        <v>648</v>
      </c>
      <c r="I608" t="s">
        <v>660</v>
      </c>
      <c r="J608" t="s">
        <v>697</v>
      </c>
      <c r="K608" t="s">
        <v>703</v>
      </c>
      <c r="L608" t="s">
        <v>708</v>
      </c>
      <c r="M608" t="s">
        <v>712</v>
      </c>
      <c r="N608" t="s">
        <v>730</v>
      </c>
      <c r="O608" t="s">
        <v>1108</v>
      </c>
      <c r="P608" s="6">
        <v>1484.23</v>
      </c>
      <c r="Q608" s="6">
        <v>3472.81</v>
      </c>
      <c r="R608" s="10">
        <v>0.25600000000000001</v>
      </c>
      <c r="S608" s="10" t="b">
        <f t="shared" si="130"/>
        <v>0</v>
      </c>
      <c r="T608" s="8">
        <v>12</v>
      </c>
      <c r="U608">
        <f t="shared" si="131"/>
        <v>31005.247679999997</v>
      </c>
      <c r="V608">
        <f t="shared" si="132"/>
        <v>17810.760000000002</v>
      </c>
      <c r="W608">
        <f t="shared" si="133"/>
        <v>13194.487679999995</v>
      </c>
      <c r="X608" s="10">
        <f t="shared" si="134"/>
        <v>0.42555659661803408</v>
      </c>
      <c r="Y608" t="str">
        <f t="shared" si="135"/>
        <v>High</v>
      </c>
      <c r="Z608" t="str">
        <f t="shared" si="136"/>
        <v>Not Met</v>
      </c>
      <c r="AA608" t="str">
        <f t="shared" si="137"/>
        <v>High Discount</v>
      </c>
      <c r="AB608" s="10">
        <f>MIN(R608,ControlPanel!$B$5)</f>
        <v>0.2</v>
      </c>
      <c r="AC608">
        <f>P608*(1+ControlPanel!$B$6)</f>
        <v>1558.4415000000001</v>
      </c>
      <c r="AD608">
        <f>T608*(1+ControlPanel!$B$7)</f>
        <v>13.200000000000001</v>
      </c>
      <c r="AE608" s="6">
        <f t="shared" si="138"/>
        <v>36672.873600000006</v>
      </c>
      <c r="AF608">
        <f t="shared" si="139"/>
        <v>16101.445800000001</v>
      </c>
    </row>
    <row r="609" spans="1:32" x14ac:dyDescent="0.3">
      <c r="A609" t="s">
        <v>62</v>
      </c>
      <c r="B609" s="4">
        <v>45426</v>
      </c>
      <c r="C609" s="4" t="str">
        <f t="shared" si="128"/>
        <v>May-2024</v>
      </c>
      <c r="D609" t="str">
        <f t="shared" si="129"/>
        <v>Q2-2024</v>
      </c>
      <c r="E609" s="4">
        <v>45440</v>
      </c>
      <c r="F609" s="12">
        <f t="shared" si="126"/>
        <v>45440</v>
      </c>
      <c r="G609" s="13">
        <f t="shared" si="127"/>
        <v>14</v>
      </c>
      <c r="H609" t="s">
        <v>649</v>
      </c>
      <c r="I609" t="s">
        <v>658</v>
      </c>
      <c r="J609" t="s">
        <v>674</v>
      </c>
      <c r="K609" t="s">
        <v>704</v>
      </c>
      <c r="L609" t="s">
        <v>707</v>
      </c>
      <c r="M609" t="s">
        <v>717</v>
      </c>
      <c r="N609" t="s">
        <v>729</v>
      </c>
      <c r="O609" t="s">
        <v>781</v>
      </c>
      <c r="P609" s="6">
        <v>1421.14</v>
      </c>
      <c r="Q609" s="6">
        <v>3524</v>
      </c>
      <c r="R609" s="10">
        <v>0</v>
      </c>
      <c r="S609" s="10" t="b">
        <f t="shared" si="130"/>
        <v>0</v>
      </c>
      <c r="T609" s="8">
        <v>31</v>
      </c>
      <c r="U609">
        <f t="shared" si="131"/>
        <v>109244</v>
      </c>
      <c r="V609">
        <f t="shared" si="132"/>
        <v>44055.340000000004</v>
      </c>
      <c r="W609">
        <f t="shared" si="133"/>
        <v>65188.659999999996</v>
      </c>
      <c r="X609" s="10">
        <f t="shared" si="134"/>
        <v>0.59672531214528945</v>
      </c>
      <c r="Y609" t="str">
        <f t="shared" si="135"/>
        <v>High</v>
      </c>
      <c r="Z609" t="str">
        <f t="shared" si="136"/>
        <v>Not Met</v>
      </c>
      <c r="AA609" t="str">
        <f t="shared" si="137"/>
        <v>Low Discount</v>
      </c>
      <c r="AB609" s="10">
        <f>MIN(R609,ControlPanel!$B$5)</f>
        <v>0</v>
      </c>
      <c r="AC609">
        <f>P609*(1+ControlPanel!$B$6)</f>
        <v>1492.1970000000001</v>
      </c>
      <c r="AD609">
        <f>T609*(1+ControlPanel!$B$7)</f>
        <v>34.1</v>
      </c>
      <c r="AE609" s="6">
        <f t="shared" si="138"/>
        <v>120168.40000000001</v>
      </c>
      <c r="AF609">
        <f t="shared" si="139"/>
        <v>69284.482300000003</v>
      </c>
    </row>
    <row r="610" spans="1:32" x14ac:dyDescent="0.3">
      <c r="A610" t="s">
        <v>35</v>
      </c>
      <c r="B610" s="4">
        <v>45498</v>
      </c>
      <c r="C610" s="4" t="str">
        <f t="shared" si="128"/>
        <v>Jul-2024</v>
      </c>
      <c r="D610" t="str">
        <f t="shared" si="129"/>
        <v>Q3-2024</v>
      </c>
      <c r="E610" s="4">
        <v>45497</v>
      </c>
      <c r="F610" s="12">
        <f t="shared" si="126"/>
        <v>45512</v>
      </c>
      <c r="G610" s="13">
        <f t="shared" si="127"/>
        <v>14</v>
      </c>
      <c r="H610" t="s">
        <v>646</v>
      </c>
      <c r="I610" t="s">
        <v>650</v>
      </c>
      <c r="J610" t="s">
        <v>675</v>
      </c>
      <c r="K610" t="s">
        <v>703</v>
      </c>
      <c r="L610" t="s">
        <v>711</v>
      </c>
      <c r="M610" t="s">
        <v>713</v>
      </c>
      <c r="N610" t="s">
        <v>731</v>
      </c>
      <c r="O610" t="s">
        <v>754</v>
      </c>
      <c r="P610" s="6">
        <v>1494.4</v>
      </c>
      <c r="Q610" s="6">
        <v>3661.07</v>
      </c>
      <c r="R610" s="10">
        <v>7.1999999999999995E-2</v>
      </c>
      <c r="S610" s="10" t="b">
        <f t="shared" si="130"/>
        <v>0</v>
      </c>
      <c r="T610" s="8">
        <v>7</v>
      </c>
      <c r="U610">
        <f t="shared" si="131"/>
        <v>23782.310720000005</v>
      </c>
      <c r="V610">
        <f t="shared" si="132"/>
        <v>10460.800000000001</v>
      </c>
      <c r="W610">
        <f t="shared" si="133"/>
        <v>13321.510720000004</v>
      </c>
      <c r="X610" s="10">
        <f t="shared" si="134"/>
        <v>0.56014366630897339</v>
      </c>
      <c r="Y610" t="str">
        <f t="shared" si="135"/>
        <v>High</v>
      </c>
      <c r="Z610" t="str">
        <f t="shared" si="136"/>
        <v>Not Met</v>
      </c>
      <c r="AA610" t="str">
        <f t="shared" si="137"/>
        <v>Low Discount</v>
      </c>
      <c r="AB610" s="10">
        <f>MIN(R610,ControlPanel!$B$5)</f>
        <v>7.1999999999999995E-2</v>
      </c>
      <c r="AC610">
        <f>P610*(1+ControlPanel!$B$6)</f>
        <v>1569.1200000000001</v>
      </c>
      <c r="AD610">
        <f>T610*(1+ControlPanel!$B$7)</f>
        <v>7.7000000000000011</v>
      </c>
      <c r="AE610" s="6">
        <f t="shared" si="138"/>
        <v>26160.541792000007</v>
      </c>
      <c r="AF610">
        <f t="shared" si="139"/>
        <v>14078.317792000005</v>
      </c>
    </row>
    <row r="613" spans="1:32" x14ac:dyDescent="0.3">
      <c r="A613" s="14" t="s">
        <v>1488</v>
      </c>
      <c r="B613" s="14">
        <f>SUM(U2:U610)/COUNTA(A2:A610)</f>
        <v>17441.685936344435</v>
      </c>
    </row>
    <row r="616" spans="1:32" x14ac:dyDescent="0.3">
      <c r="B616"/>
    </row>
  </sheetData>
  <sortState xmlns:xlrd2="http://schemas.microsoft.com/office/spreadsheetml/2017/richdata2" ref="A2:T634">
    <sortCondition ref="Q1:Q634"/>
  </sortState>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7"/>
  <sheetViews>
    <sheetView topLeftCell="A10" workbookViewId="0">
      <selection activeCell="M4" sqref="M4"/>
    </sheetView>
  </sheetViews>
  <sheetFormatPr defaultRowHeight="14.4" x14ac:dyDescent="0.3"/>
  <sheetData>
    <row r="1" spans="1:1" x14ac:dyDescent="0.3">
      <c r="A1" s="1"/>
    </row>
    <row r="2" spans="1:1" x14ac:dyDescent="0.3">
      <c r="A2" t="s">
        <v>1364</v>
      </c>
    </row>
    <row r="4" spans="1:1" x14ac:dyDescent="0.3">
      <c r="A4" t="s">
        <v>1365</v>
      </c>
    </row>
    <row r="5" spans="1:1" x14ac:dyDescent="0.3">
      <c r="A5" t="s">
        <v>1366</v>
      </c>
    </row>
    <row r="6" spans="1:1" x14ac:dyDescent="0.3">
      <c r="A6" t="s">
        <v>1367</v>
      </c>
    </row>
    <row r="8" spans="1:1" x14ac:dyDescent="0.3">
      <c r="A8" t="s">
        <v>1368</v>
      </c>
    </row>
    <row r="9" spans="1:1" x14ac:dyDescent="0.3">
      <c r="A9" t="s">
        <v>1369</v>
      </c>
    </row>
    <row r="10" spans="1:1" x14ac:dyDescent="0.3">
      <c r="A10" t="s">
        <v>1370</v>
      </c>
    </row>
    <row r="11" spans="1:1" x14ac:dyDescent="0.3">
      <c r="A11" t="s">
        <v>1371</v>
      </c>
    </row>
    <row r="12" spans="1:1" x14ac:dyDescent="0.3">
      <c r="A12" t="s">
        <v>1372</v>
      </c>
    </row>
    <row r="13" spans="1:1" x14ac:dyDescent="0.3">
      <c r="A13" t="s">
        <v>1373</v>
      </c>
    </row>
    <row r="14" spans="1:1" x14ac:dyDescent="0.3">
      <c r="A14" t="s">
        <v>1374</v>
      </c>
    </row>
    <row r="15" spans="1:1" x14ac:dyDescent="0.3">
      <c r="A15" t="s">
        <v>1375</v>
      </c>
    </row>
    <row r="17" spans="1:1" x14ac:dyDescent="0.3">
      <c r="A17" t="s">
        <v>1376</v>
      </c>
    </row>
    <row r="18" spans="1:1" x14ac:dyDescent="0.3">
      <c r="A18" t="s">
        <v>1377</v>
      </c>
    </row>
    <row r="19" spans="1:1" x14ac:dyDescent="0.3">
      <c r="A19" t="s">
        <v>1378</v>
      </c>
    </row>
    <row r="20" spans="1:1" x14ac:dyDescent="0.3">
      <c r="A20" t="s">
        <v>1379</v>
      </c>
    </row>
    <row r="21" spans="1:1" x14ac:dyDescent="0.3">
      <c r="A21" t="s">
        <v>1380</v>
      </c>
    </row>
    <row r="23" spans="1:1" x14ac:dyDescent="0.3">
      <c r="A23" t="s">
        <v>1381</v>
      </c>
    </row>
    <row r="24" spans="1:1" x14ac:dyDescent="0.3">
      <c r="A24" t="s">
        <v>1382</v>
      </c>
    </row>
    <row r="25" spans="1:1" x14ac:dyDescent="0.3">
      <c r="A25" t="s">
        <v>1383</v>
      </c>
    </row>
    <row r="26" spans="1:1" x14ac:dyDescent="0.3">
      <c r="A26" t="s">
        <v>1384</v>
      </c>
    </row>
    <row r="27" spans="1:1" x14ac:dyDescent="0.3">
      <c r="A27" t="s">
        <v>1385</v>
      </c>
    </row>
    <row r="29" spans="1:1" x14ac:dyDescent="0.3">
      <c r="A29" t="s">
        <v>1386</v>
      </c>
    </row>
    <row r="30" spans="1:1" x14ac:dyDescent="0.3">
      <c r="A30" t="s">
        <v>1387</v>
      </c>
    </row>
    <row r="31" spans="1:1" x14ac:dyDescent="0.3">
      <c r="A31" t="s">
        <v>1388</v>
      </c>
    </row>
    <row r="32" spans="1:1" x14ac:dyDescent="0.3">
      <c r="A32" t="s">
        <v>1389</v>
      </c>
    </row>
    <row r="33" spans="1:1" x14ac:dyDescent="0.3">
      <c r="A33" t="s">
        <v>1390</v>
      </c>
    </row>
    <row r="34" spans="1:1" x14ac:dyDescent="0.3">
      <c r="A34" t="s">
        <v>1391</v>
      </c>
    </row>
    <row r="35" spans="1:1" x14ac:dyDescent="0.3">
      <c r="A35" t="s">
        <v>1392</v>
      </c>
    </row>
    <row r="36" spans="1:1" x14ac:dyDescent="0.3">
      <c r="A36" t="s">
        <v>1393</v>
      </c>
    </row>
    <row r="37" spans="1:1" x14ac:dyDescent="0.3">
      <c r="A37" t="s">
        <v>1394</v>
      </c>
    </row>
    <row r="38" spans="1:1" x14ac:dyDescent="0.3">
      <c r="A38" t="s">
        <v>1395</v>
      </c>
    </row>
    <row r="39" spans="1:1" x14ac:dyDescent="0.3">
      <c r="A39" t="s">
        <v>1396</v>
      </c>
    </row>
    <row r="40" spans="1:1" x14ac:dyDescent="0.3">
      <c r="A40" t="s">
        <v>1397</v>
      </c>
    </row>
    <row r="41" spans="1:1" x14ac:dyDescent="0.3">
      <c r="A41" t="s">
        <v>1398</v>
      </c>
    </row>
    <row r="43" spans="1:1" x14ac:dyDescent="0.3">
      <c r="A43" t="s">
        <v>1399</v>
      </c>
    </row>
    <row r="44" spans="1:1" x14ac:dyDescent="0.3">
      <c r="A44" t="s">
        <v>1400</v>
      </c>
    </row>
    <row r="45" spans="1:1" x14ac:dyDescent="0.3">
      <c r="A45" t="s">
        <v>1401</v>
      </c>
    </row>
    <row r="46" spans="1:1" x14ac:dyDescent="0.3">
      <c r="A46" t="s">
        <v>1402</v>
      </c>
    </row>
    <row r="47" spans="1:1" x14ac:dyDescent="0.3">
      <c r="A47" t="s">
        <v>1403</v>
      </c>
    </row>
    <row r="48" spans="1:1" x14ac:dyDescent="0.3">
      <c r="A48" t="s">
        <v>1404</v>
      </c>
    </row>
    <row r="50" spans="1:6" x14ac:dyDescent="0.3">
      <c r="A50" t="s">
        <v>1405</v>
      </c>
    </row>
    <row r="51" spans="1:6" x14ac:dyDescent="0.3">
      <c r="A51" t="s">
        <v>1406</v>
      </c>
    </row>
    <row r="52" spans="1:6" x14ac:dyDescent="0.3">
      <c r="A52" t="s">
        <v>1407</v>
      </c>
    </row>
    <row r="53" spans="1:6" x14ac:dyDescent="0.3">
      <c r="A53" t="s">
        <v>1408</v>
      </c>
    </row>
    <row r="54" spans="1:6" x14ac:dyDescent="0.3">
      <c r="A54" t="s">
        <v>1409</v>
      </c>
    </row>
    <row r="55" spans="1:6" x14ac:dyDescent="0.3">
      <c r="A55" t="s">
        <v>1410</v>
      </c>
    </row>
    <row r="56" spans="1:6" x14ac:dyDescent="0.3">
      <c r="A56" t="s">
        <v>1411</v>
      </c>
      <c r="F56" s="41"/>
    </row>
    <row r="57" spans="1:6" x14ac:dyDescent="0.3">
      <c r="A57" t="s">
        <v>1412</v>
      </c>
    </row>
    <row r="58" spans="1:6" x14ac:dyDescent="0.3">
      <c r="A58" t="s">
        <v>1413</v>
      </c>
    </row>
    <row r="59" spans="1:6" x14ac:dyDescent="0.3">
      <c r="A59" t="s">
        <v>1414</v>
      </c>
    </row>
    <row r="61" spans="1:6" x14ac:dyDescent="0.3">
      <c r="A61" t="s">
        <v>1415</v>
      </c>
    </row>
    <row r="62" spans="1:6" x14ac:dyDescent="0.3">
      <c r="A62" t="s">
        <v>1416</v>
      </c>
    </row>
    <row r="64" spans="1:6" x14ac:dyDescent="0.3">
      <c r="A64" t="s">
        <v>1417</v>
      </c>
    </row>
    <row r="65" spans="1:1" x14ac:dyDescent="0.3">
      <c r="A65" t="s">
        <v>1418</v>
      </c>
    </row>
    <row r="66" spans="1:1" x14ac:dyDescent="0.3">
      <c r="A66" t="s">
        <v>1419</v>
      </c>
    </row>
    <row r="67" spans="1:1" x14ac:dyDescent="0.3">
      <c r="A67" t="s">
        <v>1420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34141-6E9E-4A9E-8C20-290214CD2F89}">
  <dimension ref="G9"/>
  <sheetViews>
    <sheetView zoomScale="50" zoomScaleNormal="50" workbookViewId="0">
      <selection activeCell="Y28" sqref="Y28"/>
    </sheetView>
  </sheetViews>
  <sheetFormatPr defaultRowHeight="14.4" x14ac:dyDescent="0.3"/>
  <cols>
    <col min="1" max="16384" width="8.88671875" style="39"/>
  </cols>
  <sheetData>
    <row r="9" spans="7:7" x14ac:dyDescent="0.3">
      <c r="G9" s="4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E804E-89C5-4D72-9AFA-ADB9EF6AB16A}">
  <dimension ref="A1:A9"/>
  <sheetViews>
    <sheetView workbookViewId="0">
      <selection activeCell="G10" sqref="G10"/>
    </sheetView>
  </sheetViews>
  <sheetFormatPr defaultRowHeight="14.4" x14ac:dyDescent="0.3"/>
  <cols>
    <col min="30" max="30" width="10.5546875" customWidth="1"/>
  </cols>
  <sheetData>
    <row r="1" spans="1:1" x14ac:dyDescent="0.3">
      <c r="A1" s="14" t="s">
        <v>1525</v>
      </c>
    </row>
    <row r="2" spans="1:1" x14ac:dyDescent="0.3">
      <c r="A2" s="14" t="s">
        <v>1517</v>
      </c>
    </row>
    <row r="3" spans="1:1" x14ac:dyDescent="0.3">
      <c r="A3" s="14" t="s">
        <v>1518</v>
      </c>
    </row>
    <row r="4" spans="1:1" x14ac:dyDescent="0.3">
      <c r="A4" s="14" t="s">
        <v>1519</v>
      </c>
    </row>
    <row r="5" spans="1:1" x14ac:dyDescent="0.3">
      <c r="A5" s="14" t="s">
        <v>1520</v>
      </c>
    </row>
    <row r="6" spans="1:1" x14ac:dyDescent="0.3">
      <c r="A6" s="14" t="s">
        <v>1521</v>
      </c>
    </row>
    <row r="7" spans="1:1" x14ac:dyDescent="0.3">
      <c r="A7" s="14" t="s">
        <v>1522</v>
      </c>
    </row>
    <row r="8" spans="1:1" x14ac:dyDescent="0.3">
      <c r="A8" s="14" t="s">
        <v>1523</v>
      </c>
    </row>
    <row r="9" spans="1:1" x14ac:dyDescent="0.3">
      <c r="A9" s="14" t="s">
        <v>1524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9E236-01FF-4209-8AB6-033F448E177F}">
  <dimension ref="A1:O28"/>
  <sheetViews>
    <sheetView tabSelected="1" topLeftCell="A13" workbookViewId="0">
      <selection activeCell="Q22" sqref="Q22"/>
    </sheetView>
  </sheetViews>
  <sheetFormatPr defaultRowHeight="14.4" x14ac:dyDescent="0.3"/>
  <cols>
    <col min="1" max="1" width="3.33203125" customWidth="1"/>
  </cols>
  <sheetData>
    <row r="1" spans="1:15" x14ac:dyDescent="0.3">
      <c r="A1">
        <v>1</v>
      </c>
      <c r="B1" s="14" t="s">
        <v>1510</v>
      </c>
      <c r="C1" s="14"/>
      <c r="D1" s="14"/>
    </row>
    <row r="2" spans="1:15" x14ac:dyDescent="0.3">
      <c r="B2" s="51" t="s">
        <v>1489</v>
      </c>
      <c r="C2" s="51"/>
      <c r="D2" s="51"/>
      <c r="E2" s="51"/>
      <c r="F2" s="51"/>
      <c r="G2" s="51"/>
      <c r="H2" s="51"/>
      <c r="I2" s="51"/>
      <c r="J2" s="51"/>
      <c r="K2" s="51"/>
      <c r="L2" s="51"/>
      <c r="M2" s="51"/>
      <c r="N2" s="51"/>
      <c r="O2" s="51"/>
    </row>
    <row r="3" spans="1:15" x14ac:dyDescent="0.3">
      <c r="B3" s="51" t="s">
        <v>1490</v>
      </c>
      <c r="C3" s="51"/>
      <c r="D3" s="51"/>
      <c r="E3" s="51"/>
      <c r="F3" s="51"/>
      <c r="G3" s="51"/>
      <c r="H3" s="51"/>
    </row>
    <row r="4" spans="1:15" x14ac:dyDescent="0.3">
      <c r="B4" s="51" t="s">
        <v>1491</v>
      </c>
      <c r="C4" s="51"/>
      <c r="D4" s="51"/>
      <c r="E4" s="51"/>
      <c r="F4" s="51"/>
      <c r="G4" s="51"/>
      <c r="H4" s="51"/>
      <c r="I4" s="51"/>
      <c r="J4" s="51"/>
      <c r="K4" s="51"/>
      <c r="L4" s="51"/>
      <c r="M4" s="51"/>
      <c r="N4" s="51"/>
    </row>
    <row r="5" spans="1:15" x14ac:dyDescent="0.3">
      <c r="B5" s="51" t="s">
        <v>1492</v>
      </c>
      <c r="C5" s="51"/>
      <c r="D5" s="51"/>
      <c r="E5" s="51"/>
      <c r="F5" s="51"/>
      <c r="G5" s="51"/>
      <c r="H5" s="51"/>
    </row>
    <row r="6" spans="1:15" x14ac:dyDescent="0.3">
      <c r="B6" s="51" t="s">
        <v>1493</v>
      </c>
      <c r="C6" s="51"/>
      <c r="D6" s="51"/>
      <c r="E6" s="51"/>
      <c r="F6" s="51"/>
      <c r="G6" s="51"/>
      <c r="H6" s="51"/>
    </row>
    <row r="7" spans="1:15" x14ac:dyDescent="0.3">
      <c r="B7" t="s">
        <v>1494</v>
      </c>
    </row>
    <row r="8" spans="1:15" x14ac:dyDescent="0.3">
      <c r="A8">
        <v>2</v>
      </c>
      <c r="B8" s="14" t="s">
        <v>1511</v>
      </c>
    </row>
    <row r="9" spans="1:15" x14ac:dyDescent="0.3">
      <c r="B9" s="51" t="s">
        <v>1495</v>
      </c>
      <c r="C9" s="51"/>
      <c r="D9" s="51"/>
      <c r="E9" s="51"/>
      <c r="F9" s="51"/>
      <c r="G9" s="51"/>
      <c r="H9" s="51"/>
      <c r="I9" s="51"/>
      <c r="J9" s="51"/>
      <c r="K9" s="51"/>
      <c r="L9" s="51"/>
    </row>
    <row r="10" spans="1:15" x14ac:dyDescent="0.3">
      <c r="B10" s="51" t="s">
        <v>1496</v>
      </c>
      <c r="C10" s="51"/>
      <c r="D10" s="51"/>
      <c r="E10" s="51"/>
      <c r="F10" s="51"/>
      <c r="G10" s="51"/>
      <c r="H10" s="51"/>
      <c r="I10" s="51"/>
    </row>
    <row r="11" spans="1:15" x14ac:dyDescent="0.3">
      <c r="B11" s="52" t="s">
        <v>1497</v>
      </c>
      <c r="C11" s="52"/>
      <c r="D11" s="52"/>
      <c r="E11" s="52"/>
      <c r="F11" s="52"/>
      <c r="G11" s="52"/>
    </row>
    <row r="12" spans="1:15" x14ac:dyDescent="0.3">
      <c r="B12" s="51" t="s">
        <v>1498</v>
      </c>
      <c r="C12" s="51"/>
      <c r="D12" s="51"/>
      <c r="E12" s="51"/>
      <c r="F12" s="51"/>
      <c r="G12" s="51"/>
      <c r="H12" s="51"/>
      <c r="I12" s="51"/>
    </row>
    <row r="13" spans="1:15" x14ac:dyDescent="0.3">
      <c r="B13" s="53" t="s">
        <v>1499</v>
      </c>
      <c r="C13" s="53"/>
      <c r="D13" s="53"/>
      <c r="E13" s="53"/>
      <c r="F13" s="53"/>
      <c r="G13" s="53"/>
      <c r="H13" s="53"/>
    </row>
    <row r="14" spans="1:15" x14ac:dyDescent="0.3">
      <c r="B14" s="53" t="s">
        <v>1500</v>
      </c>
      <c r="C14" s="53"/>
      <c r="D14" s="53"/>
      <c r="E14" s="53"/>
      <c r="F14" s="53"/>
      <c r="G14" s="53"/>
      <c r="H14" s="53"/>
      <c r="I14" s="53"/>
      <c r="J14" s="53"/>
      <c r="K14" s="53"/>
      <c r="L14" s="53"/>
      <c r="M14" s="53"/>
    </row>
    <row r="15" spans="1:15" x14ac:dyDescent="0.3">
      <c r="B15" s="53" t="s">
        <v>1501</v>
      </c>
      <c r="C15" s="53"/>
      <c r="D15" s="53"/>
      <c r="E15" s="53"/>
      <c r="F15" s="53"/>
      <c r="G15" s="53"/>
      <c r="H15" s="53"/>
      <c r="I15" s="53"/>
      <c r="J15" s="53"/>
      <c r="K15" s="53"/>
      <c r="L15" s="53"/>
      <c r="M15" s="53"/>
      <c r="N15" s="53"/>
      <c r="O15" s="53"/>
    </row>
    <row r="16" spans="1:15" x14ac:dyDescent="0.3">
      <c r="A16">
        <v>3</v>
      </c>
      <c r="B16" s="54" t="s">
        <v>1512</v>
      </c>
      <c r="C16" s="54"/>
      <c r="D16" s="49"/>
      <c r="E16" s="49"/>
      <c r="F16" s="49"/>
      <c r="G16" s="49"/>
      <c r="H16" s="49"/>
      <c r="I16" s="49"/>
      <c r="J16" s="49"/>
      <c r="K16" s="49"/>
      <c r="L16" s="49"/>
      <c r="M16" s="49"/>
      <c r="N16" s="49"/>
      <c r="O16" s="49"/>
    </row>
    <row r="17" spans="1:2" x14ac:dyDescent="0.3">
      <c r="B17" s="49" t="s">
        <v>1502</v>
      </c>
    </row>
    <row r="18" spans="1:2" x14ac:dyDescent="0.3">
      <c r="B18" s="49" t="s">
        <v>1503</v>
      </c>
    </row>
    <row r="19" spans="1:2" x14ac:dyDescent="0.3">
      <c r="B19" s="50" t="s">
        <v>1504</v>
      </c>
    </row>
    <row r="20" spans="1:2" x14ac:dyDescent="0.3">
      <c r="B20" s="50" t="s">
        <v>1505</v>
      </c>
    </row>
    <row r="21" spans="1:2" x14ac:dyDescent="0.3">
      <c r="B21" s="50" t="s">
        <v>1506</v>
      </c>
    </row>
    <row r="22" spans="1:2" x14ac:dyDescent="0.3">
      <c r="B22" s="50" t="s">
        <v>1507</v>
      </c>
    </row>
    <row r="23" spans="1:2" x14ac:dyDescent="0.3">
      <c r="A23">
        <v>4</v>
      </c>
      <c r="B23" s="50" t="s">
        <v>1513</v>
      </c>
    </row>
    <row r="24" spans="1:2" x14ac:dyDescent="0.3">
      <c r="B24" t="s">
        <v>1515</v>
      </c>
    </row>
    <row r="25" spans="1:2" x14ac:dyDescent="0.3">
      <c r="B25" t="s">
        <v>1516</v>
      </c>
    </row>
    <row r="26" spans="1:2" x14ac:dyDescent="0.3">
      <c r="A26">
        <v>5</v>
      </c>
      <c r="B26" s="50" t="s">
        <v>1514</v>
      </c>
    </row>
    <row r="27" spans="1:2" x14ac:dyDescent="0.3">
      <c r="B27" t="s">
        <v>1508</v>
      </c>
    </row>
    <row r="28" spans="1:2" x14ac:dyDescent="0.3">
      <c r="B28" t="s">
        <v>1509</v>
      </c>
    </row>
  </sheetData>
  <mergeCells count="12">
    <mergeCell ref="B15:O15"/>
    <mergeCell ref="B9:L9"/>
    <mergeCell ref="B10:I10"/>
    <mergeCell ref="B11:G11"/>
    <mergeCell ref="B12:I12"/>
    <mergeCell ref="B14:M14"/>
    <mergeCell ref="B13:H13"/>
    <mergeCell ref="B2:O2"/>
    <mergeCell ref="B3:H3"/>
    <mergeCell ref="B4:N4"/>
    <mergeCell ref="B5:H5"/>
    <mergeCell ref="B6:H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C3F78-3C4F-4DFA-B651-0874C7A9AB48}">
  <dimension ref="A3:C19"/>
  <sheetViews>
    <sheetView workbookViewId="0">
      <selection activeCell="F21" sqref="F21"/>
    </sheetView>
  </sheetViews>
  <sheetFormatPr defaultRowHeight="14.4" x14ac:dyDescent="0.3"/>
  <cols>
    <col min="1" max="1" width="12.5546875" bestFit="1" customWidth="1"/>
    <col min="2" max="2" width="19.5546875" bestFit="1" customWidth="1"/>
    <col min="3" max="3" width="17.33203125" bestFit="1" customWidth="1"/>
  </cols>
  <sheetData>
    <row r="3" spans="1:3" x14ac:dyDescent="0.3">
      <c r="A3" s="17" t="s">
        <v>1431</v>
      </c>
      <c r="B3" t="s">
        <v>1434</v>
      </c>
      <c r="C3" t="s">
        <v>1441</v>
      </c>
    </row>
    <row r="4" spans="1:3" x14ac:dyDescent="0.3">
      <c r="A4" s="42" t="s">
        <v>724</v>
      </c>
      <c r="B4" s="46">
        <v>986812.79254999978</v>
      </c>
      <c r="C4" s="46">
        <v>324975.39254999999</v>
      </c>
    </row>
    <row r="5" spans="1:3" x14ac:dyDescent="0.3">
      <c r="A5" s="42" t="s">
        <v>717</v>
      </c>
      <c r="B5" s="46">
        <v>835463.28808999993</v>
      </c>
      <c r="C5" s="46">
        <v>304232.75808999996</v>
      </c>
    </row>
    <row r="6" spans="1:3" x14ac:dyDescent="0.3">
      <c r="A6" s="42" t="s">
        <v>716</v>
      </c>
      <c r="B6" s="46">
        <v>856334.38104999997</v>
      </c>
      <c r="C6" s="46">
        <v>273012.41104999994</v>
      </c>
    </row>
    <row r="7" spans="1:3" x14ac:dyDescent="0.3">
      <c r="A7" s="43" t="s">
        <v>713</v>
      </c>
      <c r="B7" s="47">
        <v>792518.35179999983</v>
      </c>
      <c r="C7" s="47">
        <v>269095.99179999996</v>
      </c>
    </row>
    <row r="8" spans="1:3" x14ac:dyDescent="0.3">
      <c r="A8" s="43" t="s">
        <v>723</v>
      </c>
      <c r="B8" s="47">
        <v>856189.23528000014</v>
      </c>
      <c r="C8" s="47">
        <v>266525.13527999999</v>
      </c>
    </row>
    <row r="9" spans="1:3" x14ac:dyDescent="0.3">
      <c r="A9" s="43" t="s">
        <v>712</v>
      </c>
      <c r="B9" s="47">
        <v>711548.87359000009</v>
      </c>
      <c r="C9" s="47">
        <v>260610.21359</v>
      </c>
    </row>
    <row r="10" spans="1:3" x14ac:dyDescent="0.3">
      <c r="A10" s="43" t="s">
        <v>720</v>
      </c>
      <c r="B10" s="47">
        <v>812078.77363000019</v>
      </c>
      <c r="C10" s="47">
        <v>255082.63363</v>
      </c>
    </row>
    <row r="11" spans="1:3" x14ac:dyDescent="0.3">
      <c r="A11" s="43" t="s">
        <v>721</v>
      </c>
      <c r="B11" s="47">
        <v>812637.17232000013</v>
      </c>
      <c r="C11" s="47">
        <v>251733.01231999998</v>
      </c>
    </row>
    <row r="12" spans="1:3" x14ac:dyDescent="0.3">
      <c r="A12" s="43" t="s">
        <v>718</v>
      </c>
      <c r="B12" s="47">
        <v>539014.49407000002</v>
      </c>
      <c r="C12" s="47">
        <v>203717.83407000001</v>
      </c>
    </row>
    <row r="13" spans="1:3" x14ac:dyDescent="0.3">
      <c r="A13" s="43" t="s">
        <v>722</v>
      </c>
      <c r="B13" s="47">
        <v>742300.55553000025</v>
      </c>
      <c r="C13" s="47">
        <v>197356.09552999999</v>
      </c>
    </row>
    <row r="14" spans="1:3" x14ac:dyDescent="0.3">
      <c r="A14" s="43" t="s">
        <v>719</v>
      </c>
      <c r="B14" s="47">
        <v>647577.88937999983</v>
      </c>
      <c r="C14" s="47">
        <v>185219.06938000003</v>
      </c>
    </row>
    <row r="15" spans="1:3" x14ac:dyDescent="0.3">
      <c r="A15" s="43" t="s">
        <v>715</v>
      </c>
      <c r="B15" s="47">
        <v>508766.72145000013</v>
      </c>
      <c r="C15" s="47">
        <v>172033.50145000004</v>
      </c>
    </row>
    <row r="16" spans="1:3" x14ac:dyDescent="0.3">
      <c r="A16" s="44" t="s">
        <v>726</v>
      </c>
      <c r="B16" s="48">
        <v>578335.81277544005</v>
      </c>
      <c r="C16" s="48">
        <v>159529.39277544001</v>
      </c>
    </row>
    <row r="17" spans="1:3" x14ac:dyDescent="0.3">
      <c r="A17" s="44" t="s">
        <v>714</v>
      </c>
      <c r="B17" s="48">
        <v>554083.25712832005</v>
      </c>
      <c r="C17" s="48">
        <v>152939.27712831998</v>
      </c>
    </row>
    <row r="18" spans="1:3" x14ac:dyDescent="0.3">
      <c r="A18" s="44" t="s">
        <v>725</v>
      </c>
      <c r="B18" s="48">
        <v>388325.13658999995</v>
      </c>
      <c r="C18" s="48">
        <v>110646.45659000002</v>
      </c>
    </row>
    <row r="19" spans="1:3" x14ac:dyDescent="0.3">
      <c r="A19" s="18" t="s">
        <v>1432</v>
      </c>
      <c r="B19" s="45">
        <v>10621986.73523376</v>
      </c>
      <c r="C19" s="45">
        <v>3386709.1752337599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E4521-AC19-4396-8566-842297D2DF96}">
  <dimension ref="A3:B615"/>
  <sheetViews>
    <sheetView topLeftCell="A589" workbookViewId="0">
      <selection activeCell="B615" sqref="B615"/>
    </sheetView>
  </sheetViews>
  <sheetFormatPr defaultRowHeight="14.4" x14ac:dyDescent="0.3"/>
  <cols>
    <col min="1" max="1" width="16.109375" bestFit="1" customWidth="1"/>
    <col min="2" max="2" width="19.5546875" bestFit="1" customWidth="1"/>
  </cols>
  <sheetData>
    <row r="3" spans="1:2" x14ac:dyDescent="0.3">
      <c r="A3" s="17" t="s">
        <v>1431</v>
      </c>
      <c r="B3" t="s">
        <v>1434</v>
      </c>
    </row>
    <row r="4" spans="1:2" x14ac:dyDescent="0.3">
      <c r="A4" s="18" t="s">
        <v>620</v>
      </c>
      <c r="B4" s="45">
        <v>13856.524109999998</v>
      </c>
    </row>
    <row r="5" spans="1:2" x14ac:dyDescent="0.3">
      <c r="A5" s="18" t="s">
        <v>464</v>
      </c>
      <c r="B5" s="45">
        <v>12462.650549999998</v>
      </c>
    </row>
    <row r="6" spans="1:2" x14ac:dyDescent="0.3">
      <c r="A6" s="18" t="s">
        <v>22</v>
      </c>
      <c r="B6" s="45">
        <v>685.06776000000002</v>
      </c>
    </row>
    <row r="7" spans="1:2" x14ac:dyDescent="0.3">
      <c r="A7" s="18" t="s">
        <v>533</v>
      </c>
      <c r="B7" s="45">
        <v>855.72881999999993</v>
      </c>
    </row>
    <row r="8" spans="1:2" x14ac:dyDescent="0.3">
      <c r="A8" s="18" t="s">
        <v>588</v>
      </c>
      <c r="B8" s="45">
        <v>14466.95104</v>
      </c>
    </row>
    <row r="9" spans="1:2" x14ac:dyDescent="0.3">
      <c r="A9" s="18" t="s">
        <v>61</v>
      </c>
      <c r="B9" s="45">
        <v>7135.57</v>
      </c>
    </row>
    <row r="10" spans="1:2" x14ac:dyDescent="0.3">
      <c r="A10" s="18" t="s">
        <v>382</v>
      </c>
      <c r="B10" s="45">
        <v>13784.586000000001</v>
      </c>
    </row>
    <row r="11" spans="1:2" x14ac:dyDescent="0.3">
      <c r="A11" s="18" t="s">
        <v>216</v>
      </c>
      <c r="B11" s="45">
        <v>25299.040000000001</v>
      </c>
    </row>
    <row r="12" spans="1:2" x14ac:dyDescent="0.3">
      <c r="A12" s="18" t="s">
        <v>566</v>
      </c>
      <c r="B12" s="45">
        <v>18830.12472</v>
      </c>
    </row>
    <row r="13" spans="1:2" x14ac:dyDescent="0.3">
      <c r="A13" s="18" t="s">
        <v>339</v>
      </c>
      <c r="B13" s="45">
        <v>9829.0483199999999</v>
      </c>
    </row>
    <row r="14" spans="1:2" x14ac:dyDescent="0.3">
      <c r="A14" s="18" t="s">
        <v>453</v>
      </c>
      <c r="B14" s="45">
        <v>2795.6384399999997</v>
      </c>
    </row>
    <row r="15" spans="1:2" x14ac:dyDescent="0.3">
      <c r="A15" s="18" t="s">
        <v>181</v>
      </c>
      <c r="B15" s="45">
        <v>14448.298699999998</v>
      </c>
    </row>
    <row r="16" spans="1:2" x14ac:dyDescent="0.3">
      <c r="A16" s="18" t="s">
        <v>95</v>
      </c>
      <c r="B16" s="45">
        <v>60292.805299999993</v>
      </c>
    </row>
    <row r="17" spans="1:2" x14ac:dyDescent="0.3">
      <c r="A17" s="18" t="s">
        <v>376</v>
      </c>
      <c r="B17" s="45">
        <v>82514.711519999997</v>
      </c>
    </row>
    <row r="18" spans="1:2" x14ac:dyDescent="0.3">
      <c r="A18" s="18" t="s">
        <v>343</v>
      </c>
      <c r="B18" s="45">
        <v>27756.432000000001</v>
      </c>
    </row>
    <row r="19" spans="1:2" x14ac:dyDescent="0.3">
      <c r="A19" s="18" t="s">
        <v>468</v>
      </c>
      <c r="B19" s="45">
        <v>23132.398349999999</v>
      </c>
    </row>
    <row r="20" spans="1:2" x14ac:dyDescent="0.3">
      <c r="A20" s="18" t="s">
        <v>592</v>
      </c>
      <c r="B20" s="45">
        <v>6732.4334000000008</v>
      </c>
    </row>
    <row r="21" spans="1:2" x14ac:dyDescent="0.3">
      <c r="A21" s="18" t="s">
        <v>208</v>
      </c>
      <c r="B21" s="45">
        <v>3928.3797599999998</v>
      </c>
    </row>
    <row r="22" spans="1:2" x14ac:dyDescent="0.3">
      <c r="A22" s="18" t="s">
        <v>137</v>
      </c>
      <c r="B22" s="45">
        <v>16061.972880000001</v>
      </c>
    </row>
    <row r="23" spans="1:2" x14ac:dyDescent="0.3">
      <c r="A23" s="18" t="s">
        <v>347</v>
      </c>
      <c r="B23" s="45">
        <v>5610.0923999999995</v>
      </c>
    </row>
    <row r="24" spans="1:2" x14ac:dyDescent="0.3">
      <c r="A24" s="18" t="s">
        <v>454</v>
      </c>
      <c r="B24" s="45">
        <v>20672.289000000001</v>
      </c>
    </row>
    <row r="25" spans="1:2" x14ac:dyDescent="0.3">
      <c r="A25" s="18" t="s">
        <v>472</v>
      </c>
      <c r="B25" s="45">
        <v>7643.2649999999994</v>
      </c>
    </row>
    <row r="26" spans="1:2" x14ac:dyDescent="0.3">
      <c r="A26" s="18" t="s">
        <v>163</v>
      </c>
      <c r="B26" s="45">
        <v>14877.464</v>
      </c>
    </row>
    <row r="27" spans="1:2" x14ac:dyDescent="0.3">
      <c r="A27" s="18" t="s">
        <v>239</v>
      </c>
      <c r="B27" s="45">
        <v>21573.6495</v>
      </c>
    </row>
    <row r="28" spans="1:2" x14ac:dyDescent="0.3">
      <c r="A28" s="18" t="s">
        <v>205</v>
      </c>
      <c r="B28" s="45">
        <v>8763.2849999999999</v>
      </c>
    </row>
    <row r="29" spans="1:2" x14ac:dyDescent="0.3">
      <c r="A29" s="18" t="s">
        <v>293</v>
      </c>
      <c r="B29" s="45">
        <v>8907.6924999999992</v>
      </c>
    </row>
    <row r="30" spans="1:2" x14ac:dyDescent="0.3">
      <c r="A30" s="18" t="s">
        <v>365</v>
      </c>
      <c r="B30" s="45">
        <v>16487.22781</v>
      </c>
    </row>
    <row r="31" spans="1:2" x14ac:dyDescent="0.3">
      <c r="A31" s="18" t="s">
        <v>550</v>
      </c>
      <c r="B31" s="45">
        <v>7823.4472399999995</v>
      </c>
    </row>
    <row r="32" spans="1:2" x14ac:dyDescent="0.3">
      <c r="A32" s="18" t="s">
        <v>69</v>
      </c>
      <c r="B32" s="45">
        <v>215.19839999999999</v>
      </c>
    </row>
    <row r="33" spans="1:2" x14ac:dyDescent="0.3">
      <c r="A33" s="18" t="s">
        <v>80</v>
      </c>
      <c r="B33" s="45">
        <v>12153.267360000002</v>
      </c>
    </row>
    <row r="34" spans="1:2" x14ac:dyDescent="0.3">
      <c r="A34" s="18" t="s">
        <v>178</v>
      </c>
      <c r="B34" s="45">
        <v>12194.714</v>
      </c>
    </row>
    <row r="35" spans="1:2" x14ac:dyDescent="0.3">
      <c r="A35" s="18" t="s">
        <v>485</v>
      </c>
      <c r="B35" s="45">
        <v>36549.429260000004</v>
      </c>
    </row>
    <row r="36" spans="1:2" x14ac:dyDescent="0.3">
      <c r="A36" s="18" t="s">
        <v>595</v>
      </c>
      <c r="B36" s="45">
        <v>6137.8019999999997</v>
      </c>
    </row>
    <row r="37" spans="1:2" x14ac:dyDescent="0.3">
      <c r="A37" s="18" t="s">
        <v>640</v>
      </c>
      <c r="B37" s="45">
        <v>13983.752729999998</v>
      </c>
    </row>
    <row r="38" spans="1:2" x14ac:dyDescent="0.3">
      <c r="A38" s="18" t="s">
        <v>121</v>
      </c>
      <c r="B38" s="45">
        <v>518.65436999999997</v>
      </c>
    </row>
    <row r="39" spans="1:2" x14ac:dyDescent="0.3">
      <c r="A39" s="18" t="s">
        <v>284</v>
      </c>
      <c r="B39" s="45">
        <v>7235.2135000000007</v>
      </c>
    </row>
    <row r="40" spans="1:2" x14ac:dyDescent="0.3">
      <c r="A40" s="18" t="s">
        <v>271</v>
      </c>
      <c r="B40" s="45">
        <v>2394.1605599999998</v>
      </c>
    </row>
    <row r="41" spans="1:2" x14ac:dyDescent="0.3">
      <c r="A41" s="18" t="s">
        <v>104</v>
      </c>
      <c r="B41" s="45">
        <v>624.43503999999996</v>
      </c>
    </row>
    <row r="42" spans="1:2" x14ac:dyDescent="0.3">
      <c r="A42" s="18" t="s">
        <v>354</v>
      </c>
      <c r="B42" s="45">
        <v>39236.639999999999</v>
      </c>
    </row>
    <row r="43" spans="1:2" x14ac:dyDescent="0.3">
      <c r="A43" s="18" t="s">
        <v>39</v>
      </c>
      <c r="B43" s="45">
        <v>24894.430560000001</v>
      </c>
    </row>
    <row r="44" spans="1:2" x14ac:dyDescent="0.3">
      <c r="A44" s="18" t="s">
        <v>235</v>
      </c>
      <c r="B44" s="45">
        <v>908.03700000000003</v>
      </c>
    </row>
    <row r="45" spans="1:2" x14ac:dyDescent="0.3">
      <c r="A45" s="18" t="s">
        <v>296</v>
      </c>
      <c r="B45" s="45">
        <v>667.74</v>
      </c>
    </row>
    <row r="46" spans="1:2" x14ac:dyDescent="0.3">
      <c r="A46" s="18" t="s">
        <v>265</v>
      </c>
      <c r="B46" s="45">
        <v>17453.3436</v>
      </c>
    </row>
    <row r="47" spans="1:2" x14ac:dyDescent="0.3">
      <c r="A47" s="18" t="s">
        <v>391</v>
      </c>
      <c r="B47" s="45">
        <v>15348.702599999999</v>
      </c>
    </row>
    <row r="48" spans="1:2" x14ac:dyDescent="0.3">
      <c r="A48" s="18" t="s">
        <v>555</v>
      </c>
      <c r="B48" s="45">
        <v>19581.87</v>
      </c>
    </row>
    <row r="49" spans="1:2" x14ac:dyDescent="0.3">
      <c r="A49" s="18" t="s">
        <v>187</v>
      </c>
      <c r="B49" s="45">
        <v>97.0154</v>
      </c>
    </row>
    <row r="50" spans="1:2" x14ac:dyDescent="0.3">
      <c r="A50" s="18" t="s">
        <v>240</v>
      </c>
      <c r="B50" s="45">
        <v>30479.418969999999</v>
      </c>
    </row>
    <row r="51" spans="1:2" x14ac:dyDescent="0.3">
      <c r="A51" s="18" t="s">
        <v>93</v>
      </c>
      <c r="B51" s="45">
        <v>10455.7932</v>
      </c>
    </row>
    <row r="52" spans="1:2" x14ac:dyDescent="0.3">
      <c r="A52" s="18" t="s">
        <v>64</v>
      </c>
      <c r="B52" s="45">
        <v>34444.462359999998</v>
      </c>
    </row>
    <row r="53" spans="1:2" x14ac:dyDescent="0.3">
      <c r="A53" s="18" t="s">
        <v>618</v>
      </c>
      <c r="B53" s="45">
        <v>5457.4317000000001</v>
      </c>
    </row>
    <row r="54" spans="1:2" x14ac:dyDescent="0.3">
      <c r="A54" s="18" t="s">
        <v>241</v>
      </c>
      <c r="B54" s="45">
        <v>5533.6230000000005</v>
      </c>
    </row>
    <row r="55" spans="1:2" x14ac:dyDescent="0.3">
      <c r="A55" s="18" t="s">
        <v>183</v>
      </c>
      <c r="B55" s="45">
        <v>6824.2883999999995</v>
      </c>
    </row>
    <row r="56" spans="1:2" x14ac:dyDescent="0.3">
      <c r="A56" s="18" t="s">
        <v>60</v>
      </c>
      <c r="B56" s="45">
        <v>32506.559399999995</v>
      </c>
    </row>
    <row r="57" spans="1:2" x14ac:dyDescent="0.3">
      <c r="A57" s="18" t="s">
        <v>159</v>
      </c>
      <c r="B57" s="45">
        <v>25672.127039999999</v>
      </c>
    </row>
    <row r="58" spans="1:2" x14ac:dyDescent="0.3">
      <c r="A58" s="18" t="s">
        <v>198</v>
      </c>
      <c r="B58" s="45">
        <v>8698.8768299999992</v>
      </c>
    </row>
    <row r="59" spans="1:2" x14ac:dyDescent="0.3">
      <c r="A59" s="18" t="s">
        <v>589</v>
      </c>
      <c r="B59" s="45">
        <v>496.98659999999995</v>
      </c>
    </row>
    <row r="60" spans="1:2" x14ac:dyDescent="0.3">
      <c r="A60" s="18" t="s">
        <v>96</v>
      </c>
      <c r="B60" s="45">
        <v>18258.868320000001</v>
      </c>
    </row>
    <row r="61" spans="1:2" x14ac:dyDescent="0.3">
      <c r="A61" s="18" t="s">
        <v>527</v>
      </c>
      <c r="B61" s="45">
        <v>5189.8835999999992</v>
      </c>
    </row>
    <row r="62" spans="1:2" x14ac:dyDescent="0.3">
      <c r="A62" s="18" t="s">
        <v>577</v>
      </c>
      <c r="B62" s="45">
        <v>8520.2954399999999</v>
      </c>
    </row>
    <row r="63" spans="1:2" x14ac:dyDescent="0.3">
      <c r="A63" s="18" t="s">
        <v>330</v>
      </c>
      <c r="B63" s="45">
        <v>9062.34692</v>
      </c>
    </row>
    <row r="64" spans="1:2" x14ac:dyDescent="0.3">
      <c r="A64" s="18" t="s">
        <v>406</v>
      </c>
      <c r="B64" s="45">
        <v>74802.350000000006</v>
      </c>
    </row>
    <row r="65" spans="1:2" x14ac:dyDescent="0.3">
      <c r="A65" s="18" t="s">
        <v>303</v>
      </c>
      <c r="B65" s="45">
        <v>10456.416880000001</v>
      </c>
    </row>
    <row r="66" spans="1:2" x14ac:dyDescent="0.3">
      <c r="A66" s="18" t="s">
        <v>287</v>
      </c>
      <c r="B66" s="45">
        <v>29536.715999999997</v>
      </c>
    </row>
    <row r="67" spans="1:2" x14ac:dyDescent="0.3">
      <c r="A67" s="18" t="s">
        <v>17</v>
      </c>
      <c r="B67" s="45">
        <v>13237.307788319999</v>
      </c>
    </row>
    <row r="68" spans="1:2" x14ac:dyDescent="0.3">
      <c r="A68" s="18" t="s">
        <v>107</v>
      </c>
      <c r="B68" s="45">
        <v>10161.46624</v>
      </c>
    </row>
    <row r="69" spans="1:2" x14ac:dyDescent="0.3">
      <c r="A69" s="18" t="s">
        <v>307</v>
      </c>
      <c r="B69" s="45">
        <v>7382.1450000000004</v>
      </c>
    </row>
    <row r="70" spans="1:2" x14ac:dyDescent="0.3">
      <c r="A70" s="18" t="s">
        <v>449</v>
      </c>
      <c r="B70" s="45">
        <v>27249</v>
      </c>
    </row>
    <row r="71" spans="1:2" x14ac:dyDescent="0.3">
      <c r="A71" s="18" t="s">
        <v>600</v>
      </c>
      <c r="B71" s="45">
        <v>370.86</v>
      </c>
    </row>
    <row r="72" spans="1:2" x14ac:dyDescent="0.3">
      <c r="A72" s="18" t="s">
        <v>214</v>
      </c>
      <c r="B72" s="45">
        <v>14963.769179999999</v>
      </c>
    </row>
    <row r="73" spans="1:2" x14ac:dyDescent="0.3">
      <c r="A73" s="18" t="s">
        <v>89</v>
      </c>
      <c r="B73" s="45">
        <v>6739.6</v>
      </c>
    </row>
    <row r="74" spans="1:2" x14ac:dyDescent="0.3">
      <c r="A74" s="18" t="s">
        <v>378</v>
      </c>
      <c r="B74" s="45">
        <v>12717.311040000001</v>
      </c>
    </row>
    <row r="75" spans="1:2" x14ac:dyDescent="0.3">
      <c r="A75" s="18" t="s">
        <v>219</v>
      </c>
      <c r="B75" s="45">
        <v>26131.707359999997</v>
      </c>
    </row>
    <row r="76" spans="1:2" x14ac:dyDescent="0.3">
      <c r="A76" s="18" t="s">
        <v>200</v>
      </c>
      <c r="B76" s="45">
        <v>10388.43</v>
      </c>
    </row>
    <row r="77" spans="1:2" x14ac:dyDescent="0.3">
      <c r="A77" s="18" t="s">
        <v>512</v>
      </c>
      <c r="B77" s="45">
        <v>8644.6696000000011</v>
      </c>
    </row>
    <row r="78" spans="1:2" x14ac:dyDescent="0.3">
      <c r="A78" s="18" t="s">
        <v>67</v>
      </c>
      <c r="B78" s="45">
        <v>5785.8</v>
      </c>
    </row>
    <row r="79" spans="1:2" x14ac:dyDescent="0.3">
      <c r="A79" s="18" t="s">
        <v>114</v>
      </c>
      <c r="B79" s="45">
        <v>25502.910479999999</v>
      </c>
    </row>
    <row r="80" spans="1:2" x14ac:dyDescent="0.3">
      <c r="A80" s="18" t="s">
        <v>133</v>
      </c>
      <c r="B80" s="45">
        <v>5769.2758000000003</v>
      </c>
    </row>
    <row r="81" spans="1:2" x14ac:dyDescent="0.3">
      <c r="A81" s="18" t="s">
        <v>147</v>
      </c>
      <c r="B81" s="45">
        <v>8336.8896000000004</v>
      </c>
    </row>
    <row r="82" spans="1:2" x14ac:dyDescent="0.3">
      <c r="A82" s="18" t="s">
        <v>230</v>
      </c>
      <c r="B82" s="45">
        <v>7738.9596900000015</v>
      </c>
    </row>
    <row r="83" spans="1:2" x14ac:dyDescent="0.3">
      <c r="A83" s="18" t="s">
        <v>510</v>
      </c>
      <c r="B83" s="45">
        <v>30692.47896</v>
      </c>
    </row>
    <row r="84" spans="1:2" x14ac:dyDescent="0.3">
      <c r="A84" s="18" t="s">
        <v>186</v>
      </c>
      <c r="B84" s="45">
        <v>8928.9795999999988</v>
      </c>
    </row>
    <row r="85" spans="1:2" x14ac:dyDescent="0.3">
      <c r="A85" s="18" t="s">
        <v>628</v>
      </c>
      <c r="B85" s="45">
        <v>18500.693520000001</v>
      </c>
    </row>
    <row r="86" spans="1:2" x14ac:dyDescent="0.3">
      <c r="A86" s="18" t="s">
        <v>558</v>
      </c>
      <c r="B86" s="45">
        <v>14114.068500000001</v>
      </c>
    </row>
    <row r="87" spans="1:2" x14ac:dyDescent="0.3">
      <c r="A87" s="18" t="s">
        <v>535</v>
      </c>
      <c r="B87" s="45">
        <v>64192.977000000006</v>
      </c>
    </row>
    <row r="88" spans="1:2" x14ac:dyDescent="0.3">
      <c r="A88" s="18" t="s">
        <v>562</v>
      </c>
      <c r="B88" s="45">
        <v>31822.023929999999</v>
      </c>
    </row>
    <row r="89" spans="1:2" x14ac:dyDescent="0.3">
      <c r="A89" s="18" t="s">
        <v>270</v>
      </c>
      <c r="B89" s="45">
        <v>19073.059649999999</v>
      </c>
    </row>
    <row r="90" spans="1:2" x14ac:dyDescent="0.3">
      <c r="A90" s="18" t="s">
        <v>366</v>
      </c>
      <c r="B90" s="45">
        <v>26552.60298</v>
      </c>
    </row>
    <row r="91" spans="1:2" x14ac:dyDescent="0.3">
      <c r="A91" s="18" t="s">
        <v>79</v>
      </c>
      <c r="B91" s="45">
        <v>26304.275999999998</v>
      </c>
    </row>
    <row r="92" spans="1:2" x14ac:dyDescent="0.3">
      <c r="A92" s="18" t="s">
        <v>561</v>
      </c>
      <c r="B92" s="45">
        <v>15530.929919999999</v>
      </c>
    </row>
    <row r="93" spans="1:2" x14ac:dyDescent="0.3">
      <c r="A93" s="18" t="s">
        <v>166</v>
      </c>
      <c r="B93" s="45">
        <v>21572.590499999998</v>
      </c>
    </row>
    <row r="94" spans="1:2" x14ac:dyDescent="0.3">
      <c r="A94" s="18" t="s">
        <v>238</v>
      </c>
      <c r="B94" s="45">
        <v>15490.527</v>
      </c>
    </row>
    <row r="95" spans="1:2" x14ac:dyDescent="0.3">
      <c r="A95" s="18" t="s">
        <v>630</v>
      </c>
      <c r="B95" s="45">
        <v>10786.32144</v>
      </c>
    </row>
    <row r="96" spans="1:2" x14ac:dyDescent="0.3">
      <c r="A96" s="18" t="s">
        <v>254</v>
      </c>
      <c r="B96" s="45">
        <v>4436.6291200000005</v>
      </c>
    </row>
    <row r="97" spans="1:2" x14ac:dyDescent="0.3">
      <c r="A97" s="18" t="s">
        <v>275</v>
      </c>
      <c r="B97" s="45">
        <v>17964.4038</v>
      </c>
    </row>
    <row r="98" spans="1:2" x14ac:dyDescent="0.3">
      <c r="A98" s="18" t="s">
        <v>144</v>
      </c>
      <c r="B98" s="45">
        <v>16071.448680000001</v>
      </c>
    </row>
    <row r="99" spans="1:2" x14ac:dyDescent="0.3">
      <c r="A99" s="18" t="s">
        <v>547</v>
      </c>
      <c r="B99" s="45">
        <v>11924.0978</v>
      </c>
    </row>
    <row r="100" spans="1:2" x14ac:dyDescent="0.3">
      <c r="A100" s="18" t="s">
        <v>341</v>
      </c>
      <c r="B100" s="45">
        <v>3799.8031499999997</v>
      </c>
    </row>
    <row r="101" spans="1:2" x14ac:dyDescent="0.3">
      <c r="A101" s="18" t="s">
        <v>474</v>
      </c>
      <c r="B101" s="45">
        <v>1662.6945600000001</v>
      </c>
    </row>
    <row r="102" spans="1:2" x14ac:dyDescent="0.3">
      <c r="A102" s="18" t="s">
        <v>386</v>
      </c>
      <c r="B102" s="45">
        <v>32280.324740000004</v>
      </c>
    </row>
    <row r="103" spans="1:2" x14ac:dyDescent="0.3">
      <c r="A103" s="18" t="s">
        <v>81</v>
      </c>
      <c r="B103" s="45">
        <v>16013.681599999998</v>
      </c>
    </row>
    <row r="104" spans="1:2" x14ac:dyDescent="0.3">
      <c r="A104" s="18" t="s">
        <v>641</v>
      </c>
      <c r="B104" s="45">
        <v>5096.4790800000001</v>
      </c>
    </row>
    <row r="105" spans="1:2" x14ac:dyDescent="0.3">
      <c r="A105" s="18" t="s">
        <v>619</v>
      </c>
      <c r="B105" s="45">
        <v>7071.6331399999999</v>
      </c>
    </row>
    <row r="106" spans="1:2" x14ac:dyDescent="0.3">
      <c r="A106" s="18" t="s">
        <v>639</v>
      </c>
      <c r="B106" s="45">
        <v>32704.386399999999</v>
      </c>
    </row>
    <row r="107" spans="1:2" x14ac:dyDescent="0.3">
      <c r="A107" s="18" t="s">
        <v>46</v>
      </c>
      <c r="B107" s="45">
        <v>26150.364320000001</v>
      </c>
    </row>
    <row r="108" spans="1:2" x14ac:dyDescent="0.3">
      <c r="A108" s="18" t="s">
        <v>530</v>
      </c>
      <c r="B108" s="45">
        <v>22201.762229999997</v>
      </c>
    </row>
    <row r="109" spans="1:2" x14ac:dyDescent="0.3">
      <c r="A109" s="18" t="s">
        <v>492</v>
      </c>
      <c r="B109" s="45">
        <v>41914.215840000004</v>
      </c>
    </row>
    <row r="110" spans="1:2" x14ac:dyDescent="0.3">
      <c r="A110" s="18" t="s">
        <v>359</v>
      </c>
      <c r="B110" s="45">
        <v>13637.287999999999</v>
      </c>
    </row>
    <row r="111" spans="1:2" x14ac:dyDescent="0.3">
      <c r="A111" s="18" t="s">
        <v>514</v>
      </c>
      <c r="B111" s="45">
        <v>20332.775540000002</v>
      </c>
    </row>
    <row r="112" spans="1:2" x14ac:dyDescent="0.3">
      <c r="A112" s="18" t="s">
        <v>212</v>
      </c>
      <c r="B112" s="45">
        <v>8349.2224200000001</v>
      </c>
    </row>
    <row r="113" spans="1:2" x14ac:dyDescent="0.3">
      <c r="A113" s="18" t="s">
        <v>136</v>
      </c>
      <c r="B113" s="45">
        <v>22983.34563</v>
      </c>
    </row>
    <row r="114" spans="1:2" x14ac:dyDescent="0.3">
      <c r="A114" s="18" t="s">
        <v>460</v>
      </c>
      <c r="B114" s="45">
        <v>9771.4483199999995</v>
      </c>
    </row>
    <row r="115" spans="1:2" x14ac:dyDescent="0.3">
      <c r="A115" s="18" t="s">
        <v>470</v>
      </c>
      <c r="B115" s="45">
        <v>20797.98</v>
      </c>
    </row>
    <row r="116" spans="1:2" x14ac:dyDescent="0.3">
      <c r="A116" s="18" t="s">
        <v>217</v>
      </c>
      <c r="B116" s="45">
        <v>47962.717579999997</v>
      </c>
    </row>
    <row r="117" spans="1:2" x14ac:dyDescent="0.3">
      <c r="A117" s="18" t="s">
        <v>489</v>
      </c>
      <c r="B117" s="45">
        <v>27194.152040000001</v>
      </c>
    </row>
    <row r="118" spans="1:2" x14ac:dyDescent="0.3">
      <c r="A118" s="18" t="s">
        <v>316</v>
      </c>
      <c r="B118" s="45">
        <v>39686.4182</v>
      </c>
    </row>
    <row r="119" spans="1:2" x14ac:dyDescent="0.3">
      <c r="A119" s="18" t="s">
        <v>397</v>
      </c>
      <c r="B119" s="45">
        <v>47693.373</v>
      </c>
    </row>
    <row r="120" spans="1:2" x14ac:dyDescent="0.3">
      <c r="A120" s="18" t="s">
        <v>167</v>
      </c>
      <c r="B120" s="45">
        <v>4139.8127999999997</v>
      </c>
    </row>
    <row r="121" spans="1:2" x14ac:dyDescent="0.3">
      <c r="A121" s="18" t="s">
        <v>500</v>
      </c>
      <c r="B121" s="45">
        <v>5159.7893599999998</v>
      </c>
    </row>
    <row r="122" spans="1:2" x14ac:dyDescent="0.3">
      <c r="A122" s="18" t="s">
        <v>311</v>
      </c>
      <c r="B122" s="45">
        <v>3190.8713199999997</v>
      </c>
    </row>
    <row r="123" spans="1:2" x14ac:dyDescent="0.3">
      <c r="A123" s="18" t="s">
        <v>139</v>
      </c>
      <c r="B123" s="45">
        <v>2072.9258400000003</v>
      </c>
    </row>
    <row r="124" spans="1:2" x14ac:dyDescent="0.3">
      <c r="A124" s="18" t="s">
        <v>244</v>
      </c>
      <c r="B124" s="45">
        <v>667.15008</v>
      </c>
    </row>
    <row r="125" spans="1:2" x14ac:dyDescent="0.3">
      <c r="A125" s="18" t="s">
        <v>493</v>
      </c>
      <c r="B125" s="45">
        <v>22620.859799999998</v>
      </c>
    </row>
    <row r="126" spans="1:2" x14ac:dyDescent="0.3">
      <c r="A126" s="18" t="s">
        <v>299</v>
      </c>
      <c r="B126" s="45">
        <v>3978.6474000000007</v>
      </c>
    </row>
    <row r="127" spans="1:2" x14ac:dyDescent="0.3">
      <c r="A127" s="18" t="s">
        <v>152</v>
      </c>
      <c r="B127" s="45">
        <v>4336.2427500000003</v>
      </c>
    </row>
    <row r="128" spans="1:2" x14ac:dyDescent="0.3">
      <c r="A128" s="18" t="s">
        <v>231</v>
      </c>
      <c r="B128" s="45">
        <v>2231.6467200000002</v>
      </c>
    </row>
    <row r="129" spans="1:2" x14ac:dyDescent="0.3">
      <c r="A129" s="18" t="s">
        <v>402</v>
      </c>
      <c r="B129" s="45">
        <v>14108.167909999998</v>
      </c>
    </row>
    <row r="130" spans="1:2" x14ac:dyDescent="0.3">
      <c r="A130" s="18" t="s">
        <v>606</v>
      </c>
      <c r="B130" s="45">
        <v>51768.181920000003</v>
      </c>
    </row>
    <row r="131" spans="1:2" x14ac:dyDescent="0.3">
      <c r="A131" s="18" t="s">
        <v>331</v>
      </c>
      <c r="B131" s="45">
        <v>16306.59375</v>
      </c>
    </row>
    <row r="132" spans="1:2" x14ac:dyDescent="0.3">
      <c r="A132" s="18" t="s">
        <v>552</v>
      </c>
      <c r="B132" s="45">
        <v>20430.7716</v>
      </c>
    </row>
    <row r="133" spans="1:2" x14ac:dyDescent="0.3">
      <c r="A133" s="18" t="s">
        <v>434</v>
      </c>
      <c r="B133" s="45">
        <v>14527.7484</v>
      </c>
    </row>
    <row r="134" spans="1:2" x14ac:dyDescent="0.3">
      <c r="A134" s="18" t="s">
        <v>281</v>
      </c>
      <c r="B134" s="45">
        <v>17594.028880000002</v>
      </c>
    </row>
    <row r="135" spans="1:2" x14ac:dyDescent="0.3">
      <c r="A135" s="18" t="s">
        <v>274</v>
      </c>
      <c r="B135" s="45">
        <v>22882.675440000003</v>
      </c>
    </row>
    <row r="136" spans="1:2" x14ac:dyDescent="0.3">
      <c r="A136" s="18" t="s">
        <v>543</v>
      </c>
      <c r="B136" s="45">
        <v>33421.1</v>
      </c>
    </row>
    <row r="137" spans="1:2" x14ac:dyDescent="0.3">
      <c r="A137" s="18" t="s">
        <v>54</v>
      </c>
      <c r="B137" s="45">
        <v>3562.1983800000003</v>
      </c>
    </row>
    <row r="138" spans="1:2" x14ac:dyDescent="0.3">
      <c r="A138" s="18" t="s">
        <v>228</v>
      </c>
      <c r="B138" s="45">
        <v>7854.6693599999999</v>
      </c>
    </row>
    <row r="139" spans="1:2" x14ac:dyDescent="0.3">
      <c r="A139" s="18" t="s">
        <v>446</v>
      </c>
      <c r="B139" s="45">
        <v>2627.6240000000003</v>
      </c>
    </row>
    <row r="140" spans="1:2" x14ac:dyDescent="0.3">
      <c r="A140" s="18" t="s">
        <v>352</v>
      </c>
      <c r="B140" s="45">
        <v>3021.5016000000001</v>
      </c>
    </row>
    <row r="141" spans="1:2" x14ac:dyDescent="0.3">
      <c r="A141" s="18" t="s">
        <v>191</v>
      </c>
      <c r="B141" s="45">
        <v>15656.470560000002</v>
      </c>
    </row>
    <row r="142" spans="1:2" x14ac:dyDescent="0.3">
      <c r="A142" s="18" t="s">
        <v>624</v>
      </c>
      <c r="B142" s="45">
        <v>10260.060159999999</v>
      </c>
    </row>
    <row r="143" spans="1:2" x14ac:dyDescent="0.3">
      <c r="A143" s="18" t="s">
        <v>306</v>
      </c>
      <c r="B143" s="45">
        <v>23375.594060000003</v>
      </c>
    </row>
    <row r="144" spans="1:2" x14ac:dyDescent="0.3">
      <c r="A144" s="18" t="s">
        <v>423</v>
      </c>
      <c r="B144" s="45">
        <v>23668.560000000001</v>
      </c>
    </row>
    <row r="145" spans="1:2" x14ac:dyDescent="0.3">
      <c r="A145" s="18" t="s">
        <v>399</v>
      </c>
      <c r="B145" s="45">
        <v>22064.910300000003</v>
      </c>
    </row>
    <row r="146" spans="1:2" x14ac:dyDescent="0.3">
      <c r="A146" s="18" t="s">
        <v>611</v>
      </c>
      <c r="B146" s="45">
        <v>3116.2100000000005</v>
      </c>
    </row>
    <row r="147" spans="1:2" x14ac:dyDescent="0.3">
      <c r="A147" s="18" t="s">
        <v>541</v>
      </c>
      <c r="B147" s="45">
        <v>11406.96</v>
      </c>
    </row>
    <row r="148" spans="1:2" x14ac:dyDescent="0.3">
      <c r="A148" s="18" t="s">
        <v>213</v>
      </c>
      <c r="B148" s="45">
        <v>55880.483749999999</v>
      </c>
    </row>
    <row r="149" spans="1:2" x14ac:dyDescent="0.3">
      <c r="A149" s="18" t="s">
        <v>475</v>
      </c>
      <c r="B149" s="45">
        <v>930.17574000000002</v>
      </c>
    </row>
    <row r="150" spans="1:2" x14ac:dyDescent="0.3">
      <c r="A150" s="18" t="s">
        <v>236</v>
      </c>
      <c r="B150" s="45">
        <v>4503.4363999999996</v>
      </c>
    </row>
    <row r="151" spans="1:2" x14ac:dyDescent="0.3">
      <c r="A151" s="18" t="s">
        <v>591</v>
      </c>
      <c r="B151" s="45">
        <v>13882.6016</v>
      </c>
    </row>
    <row r="152" spans="1:2" x14ac:dyDescent="0.3">
      <c r="A152" s="18" t="s">
        <v>294</v>
      </c>
      <c r="B152" s="45">
        <v>17441.021520000002</v>
      </c>
    </row>
    <row r="153" spans="1:2" x14ac:dyDescent="0.3">
      <c r="A153" s="18" t="s">
        <v>90</v>
      </c>
      <c r="B153" s="45">
        <v>6874.4828600000001</v>
      </c>
    </row>
    <row r="154" spans="1:2" x14ac:dyDescent="0.3">
      <c r="A154" s="18" t="s">
        <v>20</v>
      </c>
      <c r="B154" s="45">
        <v>4141.7599999999993</v>
      </c>
    </row>
    <row r="155" spans="1:2" x14ac:dyDescent="0.3">
      <c r="A155" s="18" t="s">
        <v>604</v>
      </c>
      <c r="B155" s="45">
        <v>9022.35</v>
      </c>
    </row>
    <row r="156" spans="1:2" x14ac:dyDescent="0.3">
      <c r="A156" s="18" t="s">
        <v>481</v>
      </c>
      <c r="B156" s="45">
        <v>14261.924390000002</v>
      </c>
    </row>
    <row r="157" spans="1:2" x14ac:dyDescent="0.3">
      <c r="A157" s="18" t="s">
        <v>427</v>
      </c>
      <c r="B157" s="45">
        <v>16134.220690000002</v>
      </c>
    </row>
    <row r="158" spans="1:2" x14ac:dyDescent="0.3">
      <c r="A158" s="18" t="s">
        <v>364</v>
      </c>
      <c r="B158" s="45">
        <v>4132.0325200000007</v>
      </c>
    </row>
    <row r="159" spans="1:2" x14ac:dyDescent="0.3">
      <c r="A159" s="18" t="s">
        <v>516</v>
      </c>
      <c r="B159" s="45">
        <v>10869.182940000001</v>
      </c>
    </row>
    <row r="160" spans="1:2" x14ac:dyDescent="0.3">
      <c r="A160" s="18" t="s">
        <v>258</v>
      </c>
      <c r="B160" s="45">
        <v>12248.675999999999</v>
      </c>
    </row>
    <row r="161" spans="1:2" x14ac:dyDescent="0.3">
      <c r="A161" s="18" t="s">
        <v>83</v>
      </c>
      <c r="B161" s="45">
        <v>8671.7354400000004</v>
      </c>
    </row>
    <row r="162" spans="1:2" x14ac:dyDescent="0.3">
      <c r="A162" s="18" t="s">
        <v>451</v>
      </c>
      <c r="B162" s="45">
        <v>7340.3891399999993</v>
      </c>
    </row>
    <row r="163" spans="1:2" x14ac:dyDescent="0.3">
      <c r="A163" s="18" t="s">
        <v>634</v>
      </c>
      <c r="B163" s="45">
        <v>1030.7574</v>
      </c>
    </row>
    <row r="164" spans="1:2" x14ac:dyDescent="0.3">
      <c r="A164" s="18" t="s">
        <v>355</v>
      </c>
      <c r="B164" s="45">
        <v>1115.1976</v>
      </c>
    </row>
    <row r="165" spans="1:2" x14ac:dyDescent="0.3">
      <c r="A165" s="18" t="s">
        <v>459</v>
      </c>
      <c r="B165" s="45">
        <v>1925.29872</v>
      </c>
    </row>
    <row r="166" spans="1:2" x14ac:dyDescent="0.3">
      <c r="A166" s="18" t="s">
        <v>465</v>
      </c>
      <c r="B166" s="45">
        <v>19628.476999999999</v>
      </c>
    </row>
    <row r="167" spans="1:2" x14ac:dyDescent="0.3">
      <c r="A167" s="18" t="s">
        <v>491</v>
      </c>
      <c r="B167" s="45">
        <v>4212.3746000000001</v>
      </c>
    </row>
    <row r="168" spans="1:2" x14ac:dyDescent="0.3">
      <c r="A168" s="18" t="s">
        <v>452</v>
      </c>
      <c r="B168" s="45">
        <v>24278.849280000002</v>
      </c>
    </row>
    <row r="169" spans="1:2" x14ac:dyDescent="0.3">
      <c r="A169" s="18" t="s">
        <v>84</v>
      </c>
      <c r="B169" s="45">
        <v>8930.7124999999996</v>
      </c>
    </row>
    <row r="170" spans="1:2" x14ac:dyDescent="0.3">
      <c r="A170" s="18" t="s">
        <v>554</v>
      </c>
      <c r="B170" s="45">
        <v>3340.6369999999997</v>
      </c>
    </row>
    <row r="171" spans="1:2" x14ac:dyDescent="0.3">
      <c r="A171" s="18" t="s">
        <v>384</v>
      </c>
      <c r="B171" s="45">
        <v>4133.2510799999991</v>
      </c>
    </row>
    <row r="172" spans="1:2" x14ac:dyDescent="0.3">
      <c r="A172" s="18" t="s">
        <v>19</v>
      </c>
      <c r="B172" s="45">
        <v>10957.9797</v>
      </c>
    </row>
    <row r="173" spans="1:2" x14ac:dyDescent="0.3">
      <c r="A173" s="18" t="s">
        <v>160</v>
      </c>
      <c r="B173" s="45">
        <v>12954.358080000002</v>
      </c>
    </row>
    <row r="174" spans="1:2" x14ac:dyDescent="0.3">
      <c r="A174" s="18" t="s">
        <v>202</v>
      </c>
      <c r="B174" s="45">
        <v>28072.190159999998</v>
      </c>
    </row>
    <row r="175" spans="1:2" x14ac:dyDescent="0.3">
      <c r="A175" s="18" t="s">
        <v>333</v>
      </c>
      <c r="B175" s="45">
        <v>53034.364139999991</v>
      </c>
    </row>
    <row r="176" spans="1:2" x14ac:dyDescent="0.3">
      <c r="A176" s="18" t="s">
        <v>403</v>
      </c>
      <c r="B176" s="45">
        <v>434.45248000000009</v>
      </c>
    </row>
    <row r="177" spans="1:2" x14ac:dyDescent="0.3">
      <c r="A177" s="18" t="s">
        <v>100</v>
      </c>
      <c r="B177" s="45">
        <v>13146.470699999998</v>
      </c>
    </row>
    <row r="178" spans="1:2" x14ac:dyDescent="0.3">
      <c r="A178" s="18" t="s">
        <v>169</v>
      </c>
      <c r="B178" s="45">
        <v>11015.510400000001</v>
      </c>
    </row>
    <row r="179" spans="1:2" x14ac:dyDescent="0.3">
      <c r="A179" s="18" t="s">
        <v>175</v>
      </c>
      <c r="B179" s="45">
        <v>22044.871500000001</v>
      </c>
    </row>
    <row r="180" spans="1:2" x14ac:dyDescent="0.3">
      <c r="A180" s="18" t="s">
        <v>419</v>
      </c>
      <c r="B180" s="45">
        <v>13437.300239999997</v>
      </c>
    </row>
    <row r="181" spans="1:2" x14ac:dyDescent="0.3">
      <c r="A181" s="18" t="s">
        <v>385</v>
      </c>
      <c r="B181" s="45">
        <v>16873.45</v>
      </c>
    </row>
    <row r="182" spans="1:2" x14ac:dyDescent="0.3">
      <c r="A182" s="18" t="s">
        <v>596</v>
      </c>
      <c r="B182" s="45">
        <v>1801.4076</v>
      </c>
    </row>
    <row r="183" spans="1:2" x14ac:dyDescent="0.3">
      <c r="A183" s="18" t="s">
        <v>50</v>
      </c>
      <c r="B183" s="45">
        <v>6631.6443100000006</v>
      </c>
    </row>
    <row r="184" spans="1:2" x14ac:dyDescent="0.3">
      <c r="A184" s="18" t="s">
        <v>522</v>
      </c>
      <c r="B184" s="45">
        <v>3921.1744000000003</v>
      </c>
    </row>
    <row r="185" spans="1:2" x14ac:dyDescent="0.3">
      <c r="A185" s="18" t="s">
        <v>498</v>
      </c>
      <c r="B185" s="45">
        <v>21908.731650000002</v>
      </c>
    </row>
    <row r="186" spans="1:2" x14ac:dyDescent="0.3">
      <c r="A186" s="18" t="s">
        <v>150</v>
      </c>
      <c r="B186" s="45">
        <v>27370.540859999997</v>
      </c>
    </row>
    <row r="187" spans="1:2" x14ac:dyDescent="0.3">
      <c r="A187" s="18" t="s">
        <v>36</v>
      </c>
      <c r="B187" s="45">
        <v>19903.585040000002</v>
      </c>
    </row>
    <row r="188" spans="1:2" x14ac:dyDescent="0.3">
      <c r="A188" s="18" t="s">
        <v>585</v>
      </c>
      <c r="B188" s="45">
        <v>4577.1480000000001</v>
      </c>
    </row>
    <row r="189" spans="1:2" x14ac:dyDescent="0.3">
      <c r="A189" s="18" t="s">
        <v>110</v>
      </c>
      <c r="B189" s="45">
        <v>43209.006119999991</v>
      </c>
    </row>
    <row r="190" spans="1:2" x14ac:dyDescent="0.3">
      <c r="A190" s="18" t="s">
        <v>130</v>
      </c>
      <c r="B190" s="45">
        <v>24523.006720000001</v>
      </c>
    </row>
    <row r="191" spans="1:2" x14ac:dyDescent="0.3">
      <c r="A191" s="18" t="s">
        <v>471</v>
      </c>
      <c r="B191" s="45">
        <v>7854.6931199999999</v>
      </c>
    </row>
    <row r="192" spans="1:2" x14ac:dyDescent="0.3">
      <c r="A192" s="18" t="s">
        <v>140</v>
      </c>
      <c r="B192" s="45">
        <v>8909.8587200000002</v>
      </c>
    </row>
    <row r="193" spans="1:2" x14ac:dyDescent="0.3">
      <c r="A193" s="18" t="s">
        <v>323</v>
      </c>
      <c r="B193" s="45">
        <v>9847.2358600000007</v>
      </c>
    </row>
    <row r="194" spans="1:2" x14ac:dyDescent="0.3">
      <c r="A194" s="18" t="s">
        <v>180</v>
      </c>
      <c r="B194" s="45">
        <v>85637.740319999983</v>
      </c>
    </row>
    <row r="195" spans="1:2" x14ac:dyDescent="0.3">
      <c r="A195" s="18" t="s">
        <v>638</v>
      </c>
      <c r="B195" s="45">
        <v>50090.397499999999</v>
      </c>
    </row>
    <row r="196" spans="1:2" x14ac:dyDescent="0.3">
      <c r="A196" s="18" t="s">
        <v>336</v>
      </c>
      <c r="B196" s="45">
        <v>39546.774540000006</v>
      </c>
    </row>
    <row r="197" spans="1:2" x14ac:dyDescent="0.3">
      <c r="A197" s="18" t="s">
        <v>326</v>
      </c>
      <c r="B197" s="45">
        <v>11283.400799999999</v>
      </c>
    </row>
    <row r="198" spans="1:2" x14ac:dyDescent="0.3">
      <c r="A198" s="18" t="s">
        <v>43</v>
      </c>
      <c r="B198" s="45">
        <v>3913.2000000000003</v>
      </c>
    </row>
    <row r="199" spans="1:2" x14ac:dyDescent="0.3">
      <c r="A199" s="18" t="s">
        <v>361</v>
      </c>
      <c r="B199" s="45">
        <v>2206.8000000000002</v>
      </c>
    </row>
    <row r="200" spans="1:2" x14ac:dyDescent="0.3">
      <c r="A200" s="18" t="s">
        <v>155</v>
      </c>
      <c r="B200" s="45">
        <v>87404.929919999995</v>
      </c>
    </row>
    <row r="201" spans="1:2" x14ac:dyDescent="0.3">
      <c r="A201" s="18" t="s">
        <v>157</v>
      </c>
      <c r="B201" s="45">
        <v>32086.37586</v>
      </c>
    </row>
    <row r="202" spans="1:2" x14ac:dyDescent="0.3">
      <c r="A202" s="18" t="s">
        <v>524</v>
      </c>
      <c r="B202" s="45">
        <v>9232.2830599999998</v>
      </c>
    </row>
    <row r="203" spans="1:2" x14ac:dyDescent="0.3">
      <c r="A203" s="18" t="s">
        <v>220</v>
      </c>
      <c r="B203" s="45">
        <v>6702.3501999999999</v>
      </c>
    </row>
    <row r="204" spans="1:2" x14ac:dyDescent="0.3">
      <c r="A204" s="18" t="s">
        <v>642</v>
      </c>
      <c r="B204" s="45">
        <v>33017.42</v>
      </c>
    </row>
    <row r="205" spans="1:2" x14ac:dyDescent="0.3">
      <c r="A205" s="18" t="s">
        <v>207</v>
      </c>
      <c r="B205" s="45">
        <v>4402.1164800000006</v>
      </c>
    </row>
    <row r="206" spans="1:2" x14ac:dyDescent="0.3">
      <c r="A206" s="18" t="s">
        <v>408</v>
      </c>
      <c r="B206" s="45">
        <v>19800.88896</v>
      </c>
    </row>
    <row r="207" spans="1:2" x14ac:dyDescent="0.3">
      <c r="A207" s="18" t="s">
        <v>484</v>
      </c>
      <c r="B207" s="45">
        <v>10428.057359999999</v>
      </c>
    </row>
    <row r="208" spans="1:2" x14ac:dyDescent="0.3">
      <c r="A208" s="18" t="s">
        <v>426</v>
      </c>
      <c r="B208" s="45">
        <v>2059.0056</v>
      </c>
    </row>
    <row r="209" spans="1:2" x14ac:dyDescent="0.3">
      <c r="A209" s="18" t="s">
        <v>30</v>
      </c>
      <c r="B209" s="45">
        <v>7090.5671999999995</v>
      </c>
    </row>
    <row r="210" spans="1:2" x14ac:dyDescent="0.3">
      <c r="A210" s="18" t="s">
        <v>346</v>
      </c>
      <c r="B210" s="45">
        <v>7105.3528000000006</v>
      </c>
    </row>
    <row r="211" spans="1:2" x14ac:dyDescent="0.3">
      <c r="A211" s="18" t="s">
        <v>248</v>
      </c>
      <c r="B211" s="45">
        <v>14269.848600000001</v>
      </c>
    </row>
    <row r="212" spans="1:2" x14ac:dyDescent="0.3">
      <c r="A212" s="18" t="s">
        <v>243</v>
      </c>
      <c r="B212" s="45">
        <v>7446.5209000000004</v>
      </c>
    </row>
    <row r="213" spans="1:2" x14ac:dyDescent="0.3">
      <c r="A213" s="18" t="s">
        <v>570</v>
      </c>
      <c r="B213" s="45">
        <v>46450.26</v>
      </c>
    </row>
    <row r="214" spans="1:2" x14ac:dyDescent="0.3">
      <c r="A214" s="18" t="s">
        <v>557</v>
      </c>
      <c r="B214" s="45">
        <v>4737.2198399999997</v>
      </c>
    </row>
    <row r="215" spans="1:2" x14ac:dyDescent="0.3">
      <c r="A215" s="18" t="s">
        <v>643</v>
      </c>
      <c r="B215" s="45">
        <v>40476.013199999994</v>
      </c>
    </row>
    <row r="216" spans="1:2" x14ac:dyDescent="0.3">
      <c r="A216" s="18" t="s">
        <v>252</v>
      </c>
      <c r="B216" s="45">
        <v>6684.1875</v>
      </c>
    </row>
    <row r="217" spans="1:2" x14ac:dyDescent="0.3">
      <c r="A217" s="18" t="s">
        <v>282</v>
      </c>
      <c r="B217" s="45">
        <v>6946.8</v>
      </c>
    </row>
    <row r="218" spans="1:2" x14ac:dyDescent="0.3">
      <c r="A218" s="18" t="s">
        <v>553</v>
      </c>
      <c r="B218" s="45">
        <v>66260.314239999992</v>
      </c>
    </row>
    <row r="219" spans="1:2" x14ac:dyDescent="0.3">
      <c r="A219" s="18" t="s">
        <v>129</v>
      </c>
      <c r="B219" s="45">
        <v>1499.22</v>
      </c>
    </row>
    <row r="220" spans="1:2" x14ac:dyDescent="0.3">
      <c r="A220" s="18" t="s">
        <v>429</v>
      </c>
      <c r="B220" s="45">
        <v>18411.4084</v>
      </c>
    </row>
    <row r="221" spans="1:2" x14ac:dyDescent="0.3">
      <c r="A221" s="18" t="s">
        <v>193</v>
      </c>
      <c r="B221" s="45">
        <v>7098.5495999999994</v>
      </c>
    </row>
    <row r="222" spans="1:2" x14ac:dyDescent="0.3">
      <c r="A222" s="18" t="s">
        <v>411</v>
      </c>
      <c r="B222" s="45">
        <v>18641.222160000001</v>
      </c>
    </row>
    <row r="223" spans="1:2" x14ac:dyDescent="0.3">
      <c r="A223" s="18" t="s">
        <v>494</v>
      </c>
      <c r="B223" s="45">
        <v>40488.792960000006</v>
      </c>
    </row>
    <row r="224" spans="1:2" x14ac:dyDescent="0.3">
      <c r="A224" s="18" t="s">
        <v>179</v>
      </c>
      <c r="B224" s="45">
        <v>11851.806399999999</v>
      </c>
    </row>
    <row r="225" spans="1:2" x14ac:dyDescent="0.3">
      <c r="A225" s="18" t="s">
        <v>170</v>
      </c>
      <c r="B225" s="45">
        <v>8909.6646799999999</v>
      </c>
    </row>
    <row r="226" spans="1:2" x14ac:dyDescent="0.3">
      <c r="A226" s="18" t="s">
        <v>564</v>
      </c>
      <c r="B226" s="45">
        <v>29673.454499999996</v>
      </c>
    </row>
    <row r="227" spans="1:2" x14ac:dyDescent="0.3">
      <c r="A227" s="18" t="s">
        <v>340</v>
      </c>
      <c r="B227" s="45">
        <v>2373.9623200000001</v>
      </c>
    </row>
    <row r="228" spans="1:2" x14ac:dyDescent="0.3">
      <c r="A228" s="18" t="s">
        <v>120</v>
      </c>
      <c r="B228" s="45">
        <v>12080.215199999999</v>
      </c>
    </row>
    <row r="229" spans="1:2" x14ac:dyDescent="0.3">
      <c r="A229" s="18" t="s">
        <v>149</v>
      </c>
      <c r="B229" s="45">
        <v>12031.491680000001</v>
      </c>
    </row>
    <row r="230" spans="1:2" x14ac:dyDescent="0.3">
      <c r="A230" s="18" t="s">
        <v>324</v>
      </c>
      <c r="B230" s="45">
        <v>30799.273800000003</v>
      </c>
    </row>
    <row r="231" spans="1:2" x14ac:dyDescent="0.3">
      <c r="A231" s="18" t="s">
        <v>124</v>
      </c>
      <c r="B231" s="45">
        <v>549.80010000000004</v>
      </c>
    </row>
    <row r="232" spans="1:2" x14ac:dyDescent="0.3">
      <c r="A232" s="18" t="s">
        <v>49</v>
      </c>
      <c r="B232" s="45">
        <v>27331.829999999998</v>
      </c>
    </row>
    <row r="233" spans="1:2" x14ac:dyDescent="0.3">
      <c r="A233" s="18" t="s">
        <v>416</v>
      </c>
      <c r="B233" s="45">
        <v>16946.091840000001</v>
      </c>
    </row>
    <row r="234" spans="1:2" x14ac:dyDescent="0.3">
      <c r="A234" s="18" t="s">
        <v>45</v>
      </c>
      <c r="B234" s="45">
        <v>9805.8573800000013</v>
      </c>
    </row>
    <row r="235" spans="1:2" x14ac:dyDescent="0.3">
      <c r="A235" s="18" t="s">
        <v>94</v>
      </c>
      <c r="B235" s="45">
        <v>4877.1379800000004</v>
      </c>
    </row>
    <row r="236" spans="1:2" x14ac:dyDescent="0.3">
      <c r="A236" s="18" t="s">
        <v>229</v>
      </c>
      <c r="B236" s="45">
        <v>15253.069799999999</v>
      </c>
    </row>
    <row r="237" spans="1:2" x14ac:dyDescent="0.3">
      <c r="A237" s="18" t="s">
        <v>168</v>
      </c>
      <c r="B237" s="45">
        <v>29654.83008</v>
      </c>
    </row>
    <row r="238" spans="1:2" x14ac:dyDescent="0.3">
      <c r="A238" s="18" t="s">
        <v>473</v>
      </c>
      <c r="B238" s="45">
        <v>24321.57</v>
      </c>
    </row>
    <row r="239" spans="1:2" x14ac:dyDescent="0.3">
      <c r="A239" s="18" t="s">
        <v>563</v>
      </c>
      <c r="B239" s="45">
        <v>10937.519999999999</v>
      </c>
    </row>
    <row r="240" spans="1:2" x14ac:dyDescent="0.3">
      <c r="A240" s="18" t="s">
        <v>31</v>
      </c>
      <c r="B240" s="45">
        <v>25948.414799999999</v>
      </c>
    </row>
    <row r="241" spans="1:2" x14ac:dyDescent="0.3">
      <c r="A241" s="18" t="s">
        <v>337</v>
      </c>
      <c r="B241" s="45">
        <v>703.2428000000001</v>
      </c>
    </row>
    <row r="242" spans="1:2" x14ac:dyDescent="0.3">
      <c r="A242" s="18" t="s">
        <v>538</v>
      </c>
      <c r="B242" s="45">
        <v>6435.2555999999995</v>
      </c>
    </row>
    <row r="243" spans="1:2" x14ac:dyDescent="0.3">
      <c r="A243" s="18" t="s">
        <v>312</v>
      </c>
      <c r="B243" s="45">
        <v>66.920760000000001</v>
      </c>
    </row>
    <row r="244" spans="1:2" x14ac:dyDescent="0.3">
      <c r="A244" s="18" t="s">
        <v>579</v>
      </c>
      <c r="B244" s="45">
        <v>4229.4321199999995</v>
      </c>
    </row>
    <row r="245" spans="1:2" x14ac:dyDescent="0.3">
      <c r="A245" s="18" t="s">
        <v>495</v>
      </c>
      <c r="B245" s="45">
        <v>4738.5261</v>
      </c>
    </row>
    <row r="246" spans="1:2" x14ac:dyDescent="0.3">
      <c r="A246" s="18" t="s">
        <v>25</v>
      </c>
      <c r="B246" s="45">
        <v>16006.14344</v>
      </c>
    </row>
    <row r="247" spans="1:2" x14ac:dyDescent="0.3">
      <c r="A247" s="18" t="s">
        <v>162</v>
      </c>
      <c r="B247" s="45">
        <v>13321.14</v>
      </c>
    </row>
    <row r="248" spans="1:2" x14ac:dyDescent="0.3">
      <c r="A248" s="18" t="s">
        <v>206</v>
      </c>
      <c r="B248" s="45">
        <v>24374.594880000001</v>
      </c>
    </row>
    <row r="249" spans="1:2" x14ac:dyDescent="0.3">
      <c r="A249" s="18" t="s">
        <v>40</v>
      </c>
      <c r="B249" s="45">
        <v>8596.2905599999995</v>
      </c>
    </row>
    <row r="250" spans="1:2" x14ac:dyDescent="0.3">
      <c r="A250" s="18" t="s">
        <v>177</v>
      </c>
      <c r="B250" s="45">
        <v>8154.55116</v>
      </c>
    </row>
    <row r="251" spans="1:2" x14ac:dyDescent="0.3">
      <c r="A251" s="18" t="s">
        <v>266</v>
      </c>
      <c r="B251" s="45">
        <v>17689.623000000003</v>
      </c>
    </row>
    <row r="252" spans="1:2" x14ac:dyDescent="0.3">
      <c r="A252" s="18" t="s">
        <v>126</v>
      </c>
      <c r="B252" s="45">
        <v>30151.675320000002</v>
      </c>
    </row>
    <row r="253" spans="1:2" x14ac:dyDescent="0.3">
      <c r="A253" s="18" t="s">
        <v>368</v>
      </c>
      <c r="B253" s="45">
        <v>1122.0896</v>
      </c>
    </row>
    <row r="254" spans="1:2" x14ac:dyDescent="0.3">
      <c r="A254" s="18" t="s">
        <v>154</v>
      </c>
      <c r="B254" s="45">
        <v>1446.9507000000001</v>
      </c>
    </row>
    <row r="255" spans="1:2" x14ac:dyDescent="0.3">
      <c r="A255" s="18" t="s">
        <v>196</v>
      </c>
      <c r="B255" s="45">
        <v>41352.246200000009</v>
      </c>
    </row>
    <row r="256" spans="1:2" x14ac:dyDescent="0.3">
      <c r="A256" s="18" t="s">
        <v>601</v>
      </c>
      <c r="B256" s="45">
        <v>25131.155999999999</v>
      </c>
    </row>
    <row r="257" spans="1:2" x14ac:dyDescent="0.3">
      <c r="A257" s="18" t="s">
        <v>504</v>
      </c>
      <c r="B257" s="45">
        <v>1547.3500000000001</v>
      </c>
    </row>
    <row r="258" spans="1:2" x14ac:dyDescent="0.3">
      <c r="A258" s="18" t="s">
        <v>78</v>
      </c>
      <c r="B258" s="45">
        <v>72665.817450000002</v>
      </c>
    </row>
    <row r="259" spans="1:2" x14ac:dyDescent="0.3">
      <c r="A259" s="18" t="s">
        <v>575</v>
      </c>
      <c r="B259" s="45">
        <v>6766.9829999999993</v>
      </c>
    </row>
    <row r="260" spans="1:2" x14ac:dyDescent="0.3">
      <c r="A260" s="18" t="s">
        <v>407</v>
      </c>
      <c r="B260" s="45">
        <v>11285.764020000001</v>
      </c>
    </row>
    <row r="261" spans="1:2" x14ac:dyDescent="0.3">
      <c r="A261" s="18" t="s">
        <v>469</v>
      </c>
      <c r="B261" s="45">
        <v>14752.706080000002</v>
      </c>
    </row>
    <row r="262" spans="1:2" x14ac:dyDescent="0.3">
      <c r="A262" s="18" t="s">
        <v>66</v>
      </c>
      <c r="B262" s="45">
        <v>599.53200000000004</v>
      </c>
    </row>
    <row r="263" spans="1:2" x14ac:dyDescent="0.3">
      <c r="A263" s="18" t="s">
        <v>622</v>
      </c>
      <c r="B263" s="45">
        <v>2736.27018</v>
      </c>
    </row>
    <row r="264" spans="1:2" x14ac:dyDescent="0.3">
      <c r="A264" s="18" t="s">
        <v>15</v>
      </c>
      <c r="B264" s="45">
        <v>4866.3288000000002</v>
      </c>
    </row>
    <row r="265" spans="1:2" x14ac:dyDescent="0.3">
      <c r="A265" s="18" t="s">
        <v>302</v>
      </c>
      <c r="B265" s="45">
        <v>26765.040239999995</v>
      </c>
    </row>
    <row r="266" spans="1:2" x14ac:dyDescent="0.3">
      <c r="A266" s="18" t="s">
        <v>122</v>
      </c>
      <c r="B266" s="45">
        <v>23687.524440000001</v>
      </c>
    </row>
    <row r="267" spans="1:2" x14ac:dyDescent="0.3">
      <c r="A267" s="18" t="s">
        <v>85</v>
      </c>
      <c r="B267" s="45">
        <v>10647.727199999999</v>
      </c>
    </row>
    <row r="268" spans="1:2" x14ac:dyDescent="0.3">
      <c r="A268" s="18" t="s">
        <v>72</v>
      </c>
      <c r="B268" s="45">
        <v>4790.1068000000005</v>
      </c>
    </row>
    <row r="269" spans="1:2" x14ac:dyDescent="0.3">
      <c r="A269" s="18" t="s">
        <v>56</v>
      </c>
      <c r="B269" s="45">
        <v>10558.74</v>
      </c>
    </row>
    <row r="270" spans="1:2" x14ac:dyDescent="0.3">
      <c r="A270" s="18" t="s">
        <v>267</v>
      </c>
      <c r="B270" s="45">
        <v>25483.91488</v>
      </c>
    </row>
    <row r="271" spans="1:2" x14ac:dyDescent="0.3">
      <c r="A271" s="18" t="s">
        <v>405</v>
      </c>
      <c r="B271" s="45">
        <v>2525.0635000000002</v>
      </c>
    </row>
    <row r="272" spans="1:2" x14ac:dyDescent="0.3">
      <c r="A272" s="18" t="s">
        <v>519</v>
      </c>
      <c r="B272" s="45">
        <v>32335.21802</v>
      </c>
    </row>
    <row r="273" spans="1:2" x14ac:dyDescent="0.3">
      <c r="A273" s="18" t="s">
        <v>262</v>
      </c>
      <c r="B273" s="45">
        <v>3592.04</v>
      </c>
    </row>
    <row r="274" spans="1:2" x14ac:dyDescent="0.3">
      <c r="A274" s="18" t="s">
        <v>182</v>
      </c>
      <c r="B274" s="45">
        <v>12413.98458</v>
      </c>
    </row>
    <row r="275" spans="1:2" x14ac:dyDescent="0.3">
      <c r="A275" s="18" t="s">
        <v>576</v>
      </c>
      <c r="B275" s="45">
        <v>33071.3145</v>
      </c>
    </row>
    <row r="276" spans="1:2" x14ac:dyDescent="0.3">
      <c r="A276" s="18" t="s">
        <v>625</v>
      </c>
      <c r="B276" s="45">
        <v>18003.847679999999</v>
      </c>
    </row>
    <row r="277" spans="1:2" x14ac:dyDescent="0.3">
      <c r="A277" s="18" t="s">
        <v>349</v>
      </c>
      <c r="B277" s="45">
        <v>16219.344960000002</v>
      </c>
    </row>
    <row r="278" spans="1:2" x14ac:dyDescent="0.3">
      <c r="A278" s="18" t="s">
        <v>356</v>
      </c>
      <c r="B278" s="45">
        <v>20053.439999999999</v>
      </c>
    </row>
    <row r="279" spans="1:2" x14ac:dyDescent="0.3">
      <c r="A279" s="18" t="s">
        <v>21</v>
      </c>
      <c r="B279" s="45">
        <v>2886.4496399999998</v>
      </c>
    </row>
    <row r="280" spans="1:2" x14ac:dyDescent="0.3">
      <c r="A280" s="18" t="s">
        <v>627</v>
      </c>
      <c r="B280" s="45">
        <v>82141.339800000002</v>
      </c>
    </row>
    <row r="281" spans="1:2" x14ac:dyDescent="0.3">
      <c r="A281" s="18" t="s">
        <v>377</v>
      </c>
      <c r="B281" s="45">
        <v>7327.9533599999995</v>
      </c>
    </row>
    <row r="282" spans="1:2" x14ac:dyDescent="0.3">
      <c r="A282" s="18" t="s">
        <v>82</v>
      </c>
      <c r="B282" s="45">
        <v>14287.896350000001</v>
      </c>
    </row>
    <row r="283" spans="1:2" x14ac:dyDescent="0.3">
      <c r="A283" s="18" t="s">
        <v>268</v>
      </c>
      <c r="B283" s="45">
        <v>6468.2751599999992</v>
      </c>
    </row>
    <row r="284" spans="1:2" x14ac:dyDescent="0.3">
      <c r="A284" s="18" t="s">
        <v>551</v>
      </c>
      <c r="B284" s="45">
        <v>50958.76632000001</v>
      </c>
    </row>
    <row r="285" spans="1:2" x14ac:dyDescent="0.3">
      <c r="A285" s="18" t="s">
        <v>587</v>
      </c>
      <c r="B285" s="45">
        <v>19139.594240000002</v>
      </c>
    </row>
    <row r="286" spans="1:2" x14ac:dyDescent="0.3">
      <c r="A286" s="18" t="s">
        <v>476</v>
      </c>
      <c r="B286" s="45">
        <v>4055.5176000000001</v>
      </c>
    </row>
    <row r="287" spans="1:2" x14ac:dyDescent="0.3">
      <c r="A287" s="18" t="s">
        <v>176</v>
      </c>
      <c r="B287" s="45">
        <v>5650.1744000000008</v>
      </c>
    </row>
    <row r="288" spans="1:2" x14ac:dyDescent="0.3">
      <c r="A288" s="18" t="s">
        <v>16</v>
      </c>
      <c r="B288" s="45">
        <v>17960.432489999999</v>
      </c>
    </row>
    <row r="289" spans="1:2" x14ac:dyDescent="0.3">
      <c r="A289" s="18" t="s">
        <v>539</v>
      </c>
      <c r="B289" s="45">
        <v>8326.6852500000005</v>
      </c>
    </row>
    <row r="290" spans="1:2" x14ac:dyDescent="0.3">
      <c r="A290" s="18" t="s">
        <v>298</v>
      </c>
      <c r="B290" s="45">
        <v>15505.479599999999</v>
      </c>
    </row>
    <row r="291" spans="1:2" x14ac:dyDescent="0.3">
      <c r="A291" s="18" t="s">
        <v>425</v>
      </c>
      <c r="B291" s="45">
        <v>6899.8804599999994</v>
      </c>
    </row>
    <row r="292" spans="1:2" x14ac:dyDescent="0.3">
      <c r="A292" s="18" t="s">
        <v>444</v>
      </c>
      <c r="B292" s="45">
        <v>12955.82475</v>
      </c>
    </row>
    <row r="293" spans="1:2" x14ac:dyDescent="0.3">
      <c r="A293" s="18" t="s">
        <v>499</v>
      </c>
      <c r="B293" s="45">
        <v>6063.2517200000002</v>
      </c>
    </row>
    <row r="294" spans="1:2" x14ac:dyDescent="0.3">
      <c r="A294" s="18" t="s">
        <v>158</v>
      </c>
      <c r="B294" s="45">
        <v>9969.4201499999999</v>
      </c>
    </row>
    <row r="295" spans="1:2" x14ac:dyDescent="0.3">
      <c r="A295" s="18" t="s">
        <v>59</v>
      </c>
      <c r="B295" s="45">
        <v>17930.494560000003</v>
      </c>
    </row>
    <row r="296" spans="1:2" x14ac:dyDescent="0.3">
      <c r="A296" s="18" t="s">
        <v>420</v>
      </c>
      <c r="B296" s="45">
        <v>22457.143800000002</v>
      </c>
    </row>
    <row r="297" spans="1:2" x14ac:dyDescent="0.3">
      <c r="A297" s="18" t="s">
        <v>398</v>
      </c>
      <c r="B297" s="45">
        <v>15257.51748</v>
      </c>
    </row>
    <row r="298" spans="1:2" x14ac:dyDescent="0.3">
      <c r="A298" s="18" t="s">
        <v>532</v>
      </c>
      <c r="B298" s="45">
        <v>9807.7842799999999</v>
      </c>
    </row>
    <row r="299" spans="1:2" x14ac:dyDescent="0.3">
      <c r="A299" s="18" t="s">
        <v>325</v>
      </c>
      <c r="B299" s="45">
        <v>879.05840000000001</v>
      </c>
    </row>
    <row r="300" spans="1:2" x14ac:dyDescent="0.3">
      <c r="A300" s="18" t="s">
        <v>560</v>
      </c>
      <c r="B300" s="45">
        <v>4826.5396199999996</v>
      </c>
    </row>
    <row r="301" spans="1:2" x14ac:dyDescent="0.3">
      <c r="A301" s="18" t="s">
        <v>246</v>
      </c>
      <c r="B301" s="45">
        <v>2879.9836000000005</v>
      </c>
    </row>
    <row r="302" spans="1:2" x14ac:dyDescent="0.3">
      <c r="A302" s="18" t="s">
        <v>328</v>
      </c>
      <c r="B302" s="45">
        <v>5032.4433599999993</v>
      </c>
    </row>
    <row r="303" spans="1:2" x14ac:dyDescent="0.3">
      <c r="A303" s="18" t="s">
        <v>509</v>
      </c>
      <c r="B303" s="45">
        <v>4682.9519799999998</v>
      </c>
    </row>
    <row r="304" spans="1:2" x14ac:dyDescent="0.3">
      <c r="A304" s="18" t="s">
        <v>583</v>
      </c>
      <c r="B304" s="45">
        <v>34307.159999999996</v>
      </c>
    </row>
    <row r="305" spans="1:2" x14ac:dyDescent="0.3">
      <c r="A305" s="18" t="s">
        <v>164</v>
      </c>
      <c r="B305" s="45">
        <v>42495.805439999996</v>
      </c>
    </row>
    <row r="306" spans="1:2" x14ac:dyDescent="0.3">
      <c r="A306" s="18" t="s">
        <v>609</v>
      </c>
      <c r="B306" s="45">
        <v>14910.6096</v>
      </c>
    </row>
    <row r="307" spans="1:2" x14ac:dyDescent="0.3">
      <c r="A307" s="18" t="s">
        <v>209</v>
      </c>
      <c r="B307" s="45">
        <v>31191.64716</v>
      </c>
    </row>
    <row r="308" spans="1:2" x14ac:dyDescent="0.3">
      <c r="A308" s="18" t="s">
        <v>455</v>
      </c>
      <c r="B308" s="45">
        <v>12668.50728</v>
      </c>
    </row>
    <row r="309" spans="1:2" x14ac:dyDescent="0.3">
      <c r="A309" s="18" t="s">
        <v>92</v>
      </c>
      <c r="B309" s="45">
        <v>33062.23648</v>
      </c>
    </row>
    <row r="310" spans="1:2" x14ac:dyDescent="0.3">
      <c r="A310" s="18" t="s">
        <v>428</v>
      </c>
      <c r="B310" s="45">
        <v>31513.423040000005</v>
      </c>
    </row>
    <row r="311" spans="1:2" x14ac:dyDescent="0.3">
      <c r="A311" s="18" t="s">
        <v>65</v>
      </c>
      <c r="B311" s="45">
        <v>14894.903999999999</v>
      </c>
    </row>
    <row r="312" spans="1:2" x14ac:dyDescent="0.3">
      <c r="A312" s="18" t="s">
        <v>536</v>
      </c>
      <c r="B312" s="45">
        <v>22526.66</v>
      </c>
    </row>
    <row r="313" spans="1:2" x14ac:dyDescent="0.3">
      <c r="A313" s="18" t="s">
        <v>438</v>
      </c>
      <c r="B313" s="45">
        <v>58091.634959999996</v>
      </c>
    </row>
    <row r="314" spans="1:2" x14ac:dyDescent="0.3">
      <c r="A314" s="18" t="s">
        <v>132</v>
      </c>
      <c r="B314" s="45">
        <v>65119.329599999997</v>
      </c>
    </row>
    <row r="315" spans="1:2" x14ac:dyDescent="0.3">
      <c r="A315" s="18" t="s">
        <v>118</v>
      </c>
      <c r="B315" s="45">
        <v>5960.3340000000007</v>
      </c>
    </row>
    <row r="316" spans="1:2" x14ac:dyDescent="0.3">
      <c r="A316" s="18" t="s">
        <v>593</v>
      </c>
      <c r="B316" s="45">
        <v>4280.6786400000001</v>
      </c>
    </row>
    <row r="317" spans="1:2" x14ac:dyDescent="0.3">
      <c r="A317" s="18" t="s">
        <v>289</v>
      </c>
      <c r="B317" s="45">
        <v>8567.3924999999999</v>
      </c>
    </row>
    <row r="318" spans="1:2" x14ac:dyDescent="0.3">
      <c r="A318" s="18" t="s">
        <v>38</v>
      </c>
      <c r="B318" s="45">
        <v>20225.2248</v>
      </c>
    </row>
    <row r="319" spans="1:2" x14ac:dyDescent="0.3">
      <c r="A319" s="18" t="s">
        <v>280</v>
      </c>
      <c r="B319" s="45">
        <v>38818.760159999998</v>
      </c>
    </row>
    <row r="320" spans="1:2" x14ac:dyDescent="0.3">
      <c r="A320" s="18" t="s">
        <v>338</v>
      </c>
      <c r="B320" s="45">
        <v>26015.449459999996</v>
      </c>
    </row>
    <row r="321" spans="1:2" x14ac:dyDescent="0.3">
      <c r="A321" s="18" t="s">
        <v>203</v>
      </c>
      <c r="B321" s="45">
        <v>8590.7093999999997</v>
      </c>
    </row>
    <row r="322" spans="1:2" x14ac:dyDescent="0.3">
      <c r="A322" s="18" t="s">
        <v>479</v>
      </c>
      <c r="B322" s="45">
        <v>84136.119600000005</v>
      </c>
    </row>
    <row r="323" spans="1:2" x14ac:dyDescent="0.3">
      <c r="A323" s="18" t="s">
        <v>458</v>
      </c>
      <c r="B323" s="45">
        <v>21664.440000000002</v>
      </c>
    </row>
    <row r="324" spans="1:2" x14ac:dyDescent="0.3">
      <c r="A324" s="18" t="s">
        <v>371</v>
      </c>
      <c r="B324" s="45">
        <v>49336.511399999996</v>
      </c>
    </row>
    <row r="325" spans="1:2" x14ac:dyDescent="0.3">
      <c r="A325" s="18" t="s">
        <v>439</v>
      </c>
      <c r="B325" s="45">
        <v>15366.983199999999</v>
      </c>
    </row>
    <row r="326" spans="1:2" x14ac:dyDescent="0.3">
      <c r="A326" s="18" t="s">
        <v>507</v>
      </c>
      <c r="B326" s="45">
        <v>110.14920000000001</v>
      </c>
    </row>
    <row r="327" spans="1:2" x14ac:dyDescent="0.3">
      <c r="A327" s="18" t="s">
        <v>401</v>
      </c>
      <c r="B327" s="45">
        <v>19773.362699999998</v>
      </c>
    </row>
    <row r="328" spans="1:2" x14ac:dyDescent="0.3">
      <c r="A328" s="18" t="s">
        <v>544</v>
      </c>
      <c r="B328" s="45">
        <v>9262.068659999999</v>
      </c>
    </row>
    <row r="329" spans="1:2" x14ac:dyDescent="0.3">
      <c r="A329" s="18" t="s">
        <v>569</v>
      </c>
      <c r="B329" s="45">
        <v>33551.927499999998</v>
      </c>
    </row>
    <row r="330" spans="1:2" x14ac:dyDescent="0.3">
      <c r="A330" s="18" t="s">
        <v>424</v>
      </c>
      <c r="B330" s="45">
        <v>5323.9903199999999</v>
      </c>
    </row>
    <row r="331" spans="1:2" x14ac:dyDescent="0.3">
      <c r="A331" s="18" t="s">
        <v>260</v>
      </c>
      <c r="B331" s="45">
        <v>9774.3888000000006</v>
      </c>
    </row>
    <row r="332" spans="1:2" x14ac:dyDescent="0.3">
      <c r="A332" s="18" t="s">
        <v>62</v>
      </c>
      <c r="B332" s="45">
        <v>109244</v>
      </c>
    </row>
    <row r="333" spans="1:2" x14ac:dyDescent="0.3">
      <c r="A333" s="18" t="s">
        <v>615</v>
      </c>
      <c r="B333" s="45">
        <v>7466.3063999999995</v>
      </c>
    </row>
    <row r="334" spans="1:2" x14ac:dyDescent="0.3">
      <c r="A334" s="18" t="s">
        <v>172</v>
      </c>
      <c r="B334" s="45">
        <v>24147.922500000001</v>
      </c>
    </row>
    <row r="335" spans="1:2" x14ac:dyDescent="0.3">
      <c r="A335" s="18" t="s">
        <v>573</v>
      </c>
      <c r="B335" s="45">
        <v>13108.78584</v>
      </c>
    </row>
    <row r="336" spans="1:2" x14ac:dyDescent="0.3">
      <c r="A336" s="18" t="s">
        <v>463</v>
      </c>
      <c r="B336" s="45">
        <v>12289.2</v>
      </c>
    </row>
    <row r="337" spans="1:2" x14ac:dyDescent="0.3">
      <c r="A337" s="18" t="s">
        <v>515</v>
      </c>
      <c r="B337" s="45">
        <v>7428.1109000000006</v>
      </c>
    </row>
    <row r="338" spans="1:2" x14ac:dyDescent="0.3">
      <c r="A338" s="18" t="s">
        <v>247</v>
      </c>
      <c r="B338" s="45">
        <v>5280.8577599999999</v>
      </c>
    </row>
    <row r="339" spans="1:2" x14ac:dyDescent="0.3">
      <c r="A339" s="18" t="s">
        <v>350</v>
      </c>
      <c r="B339" s="45">
        <v>28247.74656</v>
      </c>
    </row>
    <row r="340" spans="1:2" x14ac:dyDescent="0.3">
      <c r="A340" s="18" t="s">
        <v>602</v>
      </c>
      <c r="B340" s="45">
        <v>68665.574250000005</v>
      </c>
    </row>
    <row r="341" spans="1:2" x14ac:dyDescent="0.3">
      <c r="A341" s="18" t="s">
        <v>508</v>
      </c>
      <c r="B341" s="45">
        <v>11859.695119999998</v>
      </c>
    </row>
    <row r="342" spans="1:2" x14ac:dyDescent="0.3">
      <c r="A342" s="18" t="s">
        <v>292</v>
      </c>
      <c r="B342" s="45">
        <v>34840.344000000005</v>
      </c>
    </row>
    <row r="343" spans="1:2" x14ac:dyDescent="0.3">
      <c r="A343" s="18" t="s">
        <v>448</v>
      </c>
      <c r="B343" s="45">
        <v>1950.0031200000003</v>
      </c>
    </row>
    <row r="344" spans="1:2" x14ac:dyDescent="0.3">
      <c r="A344" s="18" t="s">
        <v>141</v>
      </c>
      <c r="B344" s="45">
        <v>65111.386140000002</v>
      </c>
    </row>
    <row r="345" spans="1:2" x14ac:dyDescent="0.3">
      <c r="A345" s="18" t="s">
        <v>613</v>
      </c>
      <c r="B345" s="45">
        <v>5962.1422499999999</v>
      </c>
    </row>
    <row r="346" spans="1:2" x14ac:dyDescent="0.3">
      <c r="A346" s="18" t="s">
        <v>138</v>
      </c>
      <c r="B346" s="45">
        <v>10817.3416</v>
      </c>
    </row>
    <row r="347" spans="1:2" x14ac:dyDescent="0.3">
      <c r="A347" s="18" t="s">
        <v>23</v>
      </c>
      <c r="B347" s="45">
        <v>14714.12934</v>
      </c>
    </row>
    <row r="348" spans="1:2" x14ac:dyDescent="0.3">
      <c r="A348" s="18" t="s">
        <v>597</v>
      </c>
      <c r="B348" s="45">
        <v>40563.321749999996</v>
      </c>
    </row>
    <row r="349" spans="1:2" x14ac:dyDescent="0.3">
      <c r="A349" s="18" t="s">
        <v>101</v>
      </c>
      <c r="B349" s="45">
        <v>14197.064399999999</v>
      </c>
    </row>
    <row r="350" spans="1:2" x14ac:dyDescent="0.3">
      <c r="A350" s="18" t="s">
        <v>53</v>
      </c>
      <c r="B350" s="45">
        <v>14968.239</v>
      </c>
    </row>
    <row r="351" spans="1:2" x14ac:dyDescent="0.3">
      <c r="A351" s="18" t="s">
        <v>103</v>
      </c>
      <c r="B351" s="45">
        <v>11842.8464</v>
      </c>
    </row>
    <row r="352" spans="1:2" x14ac:dyDescent="0.3">
      <c r="A352" s="18" t="s">
        <v>143</v>
      </c>
      <c r="B352" s="45">
        <v>2642.1687000000002</v>
      </c>
    </row>
    <row r="353" spans="1:2" x14ac:dyDescent="0.3">
      <c r="A353" s="18" t="s">
        <v>185</v>
      </c>
      <c r="B353" s="45">
        <v>14549.029120000001</v>
      </c>
    </row>
    <row r="354" spans="1:2" x14ac:dyDescent="0.3">
      <c r="A354" s="18" t="s">
        <v>415</v>
      </c>
      <c r="B354" s="45">
        <v>17427.164799999999</v>
      </c>
    </row>
    <row r="355" spans="1:2" x14ac:dyDescent="0.3">
      <c r="A355" s="18" t="s">
        <v>556</v>
      </c>
      <c r="B355" s="45">
        <v>30652.403519999996</v>
      </c>
    </row>
    <row r="356" spans="1:2" x14ac:dyDescent="0.3">
      <c r="A356" s="18" t="s">
        <v>55</v>
      </c>
      <c r="B356" s="45">
        <v>41106.800969999997</v>
      </c>
    </row>
    <row r="357" spans="1:2" x14ac:dyDescent="0.3">
      <c r="A357" s="18" t="s">
        <v>112</v>
      </c>
      <c r="B357" s="45">
        <v>34139.159999999996</v>
      </c>
    </row>
    <row r="358" spans="1:2" x14ac:dyDescent="0.3">
      <c r="A358" s="18" t="s">
        <v>199</v>
      </c>
      <c r="B358" s="45">
        <v>26408.63841</v>
      </c>
    </row>
    <row r="359" spans="1:2" x14ac:dyDescent="0.3">
      <c r="A359" s="18" t="s">
        <v>490</v>
      </c>
      <c r="B359" s="45">
        <v>1009.2969000000001</v>
      </c>
    </row>
    <row r="360" spans="1:2" x14ac:dyDescent="0.3">
      <c r="A360" s="18" t="s">
        <v>357</v>
      </c>
      <c r="B360" s="45">
        <v>8938.8996600000009</v>
      </c>
    </row>
    <row r="361" spans="1:2" x14ac:dyDescent="0.3">
      <c r="A361" s="18" t="s">
        <v>487</v>
      </c>
      <c r="B361" s="45">
        <v>8330.2513199999994</v>
      </c>
    </row>
    <row r="362" spans="1:2" x14ac:dyDescent="0.3">
      <c r="A362" s="18" t="s">
        <v>445</v>
      </c>
      <c r="B362" s="45">
        <v>58057.65</v>
      </c>
    </row>
    <row r="363" spans="1:2" x14ac:dyDescent="0.3">
      <c r="A363" s="18" t="s">
        <v>430</v>
      </c>
      <c r="B363" s="45">
        <v>10893.6232</v>
      </c>
    </row>
    <row r="364" spans="1:2" x14ac:dyDescent="0.3">
      <c r="A364" s="18" t="s">
        <v>264</v>
      </c>
      <c r="B364" s="45">
        <v>12186.368600000002</v>
      </c>
    </row>
    <row r="365" spans="1:2" x14ac:dyDescent="0.3">
      <c r="A365" s="18" t="s">
        <v>210</v>
      </c>
      <c r="B365" s="45">
        <v>21679.749799999998</v>
      </c>
    </row>
    <row r="366" spans="1:2" x14ac:dyDescent="0.3">
      <c r="A366" s="18" t="s">
        <v>417</v>
      </c>
      <c r="B366" s="45">
        <v>5250.4238999999998</v>
      </c>
    </row>
    <row r="367" spans="1:2" x14ac:dyDescent="0.3">
      <c r="A367" s="18" t="s">
        <v>224</v>
      </c>
      <c r="B367" s="45">
        <v>18061.204320000001</v>
      </c>
    </row>
    <row r="368" spans="1:2" x14ac:dyDescent="0.3">
      <c r="A368" s="18" t="s">
        <v>572</v>
      </c>
      <c r="B368" s="45">
        <v>10519.776450000001</v>
      </c>
    </row>
    <row r="369" spans="1:2" x14ac:dyDescent="0.3">
      <c r="A369" s="18" t="s">
        <v>222</v>
      </c>
      <c r="B369" s="45">
        <v>15825.399369999997</v>
      </c>
    </row>
    <row r="370" spans="1:2" x14ac:dyDescent="0.3">
      <c r="A370" s="18" t="s">
        <v>598</v>
      </c>
      <c r="B370" s="45">
        <v>3823.6151599999998</v>
      </c>
    </row>
    <row r="371" spans="1:2" x14ac:dyDescent="0.3">
      <c r="A371" s="18" t="s">
        <v>388</v>
      </c>
      <c r="B371" s="45">
        <v>31005.247679999997</v>
      </c>
    </row>
    <row r="372" spans="1:2" x14ac:dyDescent="0.3">
      <c r="A372" s="18" t="s">
        <v>51</v>
      </c>
      <c r="B372" s="45">
        <v>18957.37689</v>
      </c>
    </row>
    <row r="373" spans="1:2" x14ac:dyDescent="0.3">
      <c r="A373" s="18" t="s">
        <v>374</v>
      </c>
      <c r="B373" s="45">
        <v>35167.7448</v>
      </c>
    </row>
    <row r="374" spans="1:2" x14ac:dyDescent="0.3">
      <c r="A374" s="18" t="s">
        <v>542</v>
      </c>
      <c r="B374" s="45">
        <v>58526.831220000007</v>
      </c>
    </row>
    <row r="375" spans="1:2" x14ac:dyDescent="0.3">
      <c r="A375" s="18" t="s">
        <v>335</v>
      </c>
      <c r="B375" s="45">
        <v>7493.1076000000003</v>
      </c>
    </row>
    <row r="376" spans="1:2" x14ac:dyDescent="0.3">
      <c r="A376" s="18" t="s">
        <v>232</v>
      </c>
      <c r="B376" s="45">
        <v>6535.6324799999993</v>
      </c>
    </row>
    <row r="377" spans="1:2" x14ac:dyDescent="0.3">
      <c r="A377" s="18" t="s">
        <v>511</v>
      </c>
      <c r="B377" s="45">
        <v>25249.613219999999</v>
      </c>
    </row>
    <row r="378" spans="1:2" x14ac:dyDescent="0.3">
      <c r="A378" s="18" t="s">
        <v>521</v>
      </c>
      <c r="B378" s="45">
        <v>15323.926799999999</v>
      </c>
    </row>
    <row r="379" spans="1:2" x14ac:dyDescent="0.3">
      <c r="A379" s="18" t="s">
        <v>457</v>
      </c>
      <c r="B379" s="45">
        <v>5960.04288</v>
      </c>
    </row>
    <row r="380" spans="1:2" x14ac:dyDescent="0.3">
      <c r="A380" s="18" t="s">
        <v>286</v>
      </c>
      <c r="B380" s="45">
        <v>34632.106319999999</v>
      </c>
    </row>
    <row r="381" spans="1:2" x14ac:dyDescent="0.3">
      <c r="A381" s="18" t="s">
        <v>433</v>
      </c>
      <c r="B381" s="45">
        <v>9509.2865999999995</v>
      </c>
    </row>
    <row r="382" spans="1:2" x14ac:dyDescent="0.3">
      <c r="A382" s="18" t="s">
        <v>633</v>
      </c>
      <c r="B382" s="45">
        <v>41419.524249999995</v>
      </c>
    </row>
    <row r="383" spans="1:2" x14ac:dyDescent="0.3">
      <c r="A383" s="18" t="s">
        <v>204</v>
      </c>
      <c r="B383" s="45">
        <v>19542.975350000001</v>
      </c>
    </row>
    <row r="384" spans="1:2" x14ac:dyDescent="0.3">
      <c r="A384" s="18" t="s">
        <v>171</v>
      </c>
      <c r="B384" s="45">
        <v>7203.8047000000006</v>
      </c>
    </row>
    <row r="385" spans="1:2" x14ac:dyDescent="0.3">
      <c r="A385" s="18" t="s">
        <v>582</v>
      </c>
      <c r="B385" s="45">
        <v>25079.480689999997</v>
      </c>
    </row>
    <row r="386" spans="1:2" x14ac:dyDescent="0.3">
      <c r="A386" s="18" t="s">
        <v>119</v>
      </c>
      <c r="B386" s="45">
        <v>12335.654849999999</v>
      </c>
    </row>
    <row r="387" spans="1:2" x14ac:dyDescent="0.3">
      <c r="A387" s="18" t="s">
        <v>523</v>
      </c>
      <c r="B387" s="45">
        <v>8297.4286000000011</v>
      </c>
    </row>
    <row r="388" spans="1:2" x14ac:dyDescent="0.3">
      <c r="A388" s="18" t="s">
        <v>233</v>
      </c>
      <c r="B388" s="45">
        <v>28211.92124</v>
      </c>
    </row>
    <row r="389" spans="1:2" x14ac:dyDescent="0.3">
      <c r="A389" s="18" t="s">
        <v>153</v>
      </c>
      <c r="B389" s="45">
        <v>35567.73792</v>
      </c>
    </row>
    <row r="390" spans="1:2" x14ac:dyDescent="0.3">
      <c r="A390" s="18" t="s">
        <v>480</v>
      </c>
      <c r="B390" s="45">
        <v>2719.8567000000003</v>
      </c>
    </row>
    <row r="391" spans="1:2" x14ac:dyDescent="0.3">
      <c r="A391" s="18" t="s">
        <v>41</v>
      </c>
      <c r="B391" s="45">
        <v>1756.6999999999998</v>
      </c>
    </row>
    <row r="392" spans="1:2" x14ac:dyDescent="0.3">
      <c r="A392" s="18" t="s">
        <v>310</v>
      </c>
      <c r="B392" s="45">
        <v>4241.88105</v>
      </c>
    </row>
    <row r="393" spans="1:2" x14ac:dyDescent="0.3">
      <c r="A393" s="18" t="s">
        <v>505</v>
      </c>
      <c r="B393" s="45">
        <v>6664.0999999999995</v>
      </c>
    </row>
    <row r="394" spans="1:2" x14ac:dyDescent="0.3">
      <c r="A394" s="18" t="s">
        <v>123</v>
      </c>
      <c r="B394" s="45">
        <v>1660.3999999999999</v>
      </c>
    </row>
    <row r="395" spans="1:2" x14ac:dyDescent="0.3">
      <c r="A395" s="18" t="s">
        <v>35</v>
      </c>
      <c r="B395" s="45">
        <v>23782.310720000005</v>
      </c>
    </row>
    <row r="396" spans="1:2" x14ac:dyDescent="0.3">
      <c r="A396" s="18" t="s">
        <v>88</v>
      </c>
      <c r="B396" s="45">
        <v>9373.4602199999972</v>
      </c>
    </row>
    <row r="397" spans="1:2" x14ac:dyDescent="0.3">
      <c r="A397" s="18" t="s">
        <v>250</v>
      </c>
      <c r="B397" s="45">
        <v>37038.581760000001</v>
      </c>
    </row>
    <row r="398" spans="1:2" x14ac:dyDescent="0.3">
      <c r="A398" s="18" t="s">
        <v>442</v>
      </c>
      <c r="B398" s="45">
        <v>13450.74</v>
      </c>
    </row>
    <row r="399" spans="1:2" x14ac:dyDescent="0.3">
      <c r="A399" s="18" t="s">
        <v>636</v>
      </c>
      <c r="B399" s="45">
        <v>30229.994880000006</v>
      </c>
    </row>
    <row r="400" spans="1:2" x14ac:dyDescent="0.3">
      <c r="A400" s="18" t="s">
        <v>380</v>
      </c>
      <c r="B400" s="45">
        <v>19547.329920000004</v>
      </c>
    </row>
    <row r="401" spans="1:2" x14ac:dyDescent="0.3">
      <c r="A401" s="18" t="s">
        <v>334</v>
      </c>
      <c r="B401" s="45">
        <v>22380.203999999998</v>
      </c>
    </row>
    <row r="402" spans="1:2" x14ac:dyDescent="0.3">
      <c r="A402" s="18" t="s">
        <v>537</v>
      </c>
      <c r="B402" s="45">
        <v>16121.273399999998</v>
      </c>
    </row>
    <row r="403" spans="1:2" x14ac:dyDescent="0.3">
      <c r="A403" s="18" t="s">
        <v>288</v>
      </c>
      <c r="B403" s="45">
        <v>11417.429099999999</v>
      </c>
    </row>
    <row r="404" spans="1:2" x14ac:dyDescent="0.3">
      <c r="A404" s="18" t="s">
        <v>151</v>
      </c>
      <c r="B404" s="45">
        <v>9698.1638399999993</v>
      </c>
    </row>
    <row r="405" spans="1:2" x14ac:dyDescent="0.3">
      <c r="A405" s="18" t="s">
        <v>447</v>
      </c>
      <c r="B405" s="45">
        <v>12967.958640000001</v>
      </c>
    </row>
    <row r="406" spans="1:2" x14ac:dyDescent="0.3">
      <c r="A406" s="18" t="s">
        <v>623</v>
      </c>
      <c r="B406" s="45">
        <v>2077.46</v>
      </c>
    </row>
    <row r="407" spans="1:2" x14ac:dyDescent="0.3">
      <c r="A407" s="18" t="s">
        <v>116</v>
      </c>
      <c r="B407" s="45">
        <v>6324.5775999999996</v>
      </c>
    </row>
    <row r="408" spans="1:2" x14ac:dyDescent="0.3">
      <c r="A408" s="18" t="s">
        <v>466</v>
      </c>
      <c r="B408" s="45">
        <v>23694.405120000003</v>
      </c>
    </row>
    <row r="409" spans="1:2" x14ac:dyDescent="0.3">
      <c r="A409" s="18" t="s">
        <v>259</v>
      </c>
      <c r="B409" s="45">
        <v>2909.8689199999999</v>
      </c>
    </row>
    <row r="410" spans="1:2" x14ac:dyDescent="0.3">
      <c r="A410" s="18" t="s">
        <v>42</v>
      </c>
      <c r="B410" s="45">
        <v>3980.7075000000004</v>
      </c>
    </row>
    <row r="411" spans="1:2" x14ac:dyDescent="0.3">
      <c r="A411" s="18" t="s">
        <v>269</v>
      </c>
      <c r="B411" s="45">
        <v>24161.205600000001</v>
      </c>
    </row>
    <row r="412" spans="1:2" x14ac:dyDescent="0.3">
      <c r="A412" s="18" t="s">
        <v>301</v>
      </c>
      <c r="B412" s="45">
        <v>20028.787379999998</v>
      </c>
    </row>
    <row r="413" spans="1:2" x14ac:dyDescent="0.3">
      <c r="A413" s="18" t="s">
        <v>257</v>
      </c>
      <c r="B413" s="45">
        <v>748.22303999999997</v>
      </c>
    </row>
    <row r="414" spans="1:2" x14ac:dyDescent="0.3">
      <c r="A414" s="18" t="s">
        <v>389</v>
      </c>
      <c r="B414" s="45">
        <v>38422.022320000004</v>
      </c>
    </row>
    <row r="415" spans="1:2" x14ac:dyDescent="0.3">
      <c r="A415" s="18" t="s">
        <v>574</v>
      </c>
      <c r="B415" s="45">
        <v>13251.480000000001</v>
      </c>
    </row>
    <row r="416" spans="1:2" x14ac:dyDescent="0.3">
      <c r="A416" s="18" t="s">
        <v>318</v>
      </c>
      <c r="B416" s="45">
        <v>5932.7856000000002</v>
      </c>
    </row>
    <row r="417" spans="1:2" x14ac:dyDescent="0.3">
      <c r="A417" s="18" t="s">
        <v>283</v>
      </c>
      <c r="B417" s="45">
        <v>7678.2114000000001</v>
      </c>
    </row>
    <row r="418" spans="1:2" x14ac:dyDescent="0.3">
      <c r="A418" s="18" t="s">
        <v>462</v>
      </c>
      <c r="B418" s="45">
        <v>45547.183360000003</v>
      </c>
    </row>
    <row r="419" spans="1:2" x14ac:dyDescent="0.3">
      <c r="A419" s="18" t="s">
        <v>28</v>
      </c>
      <c r="B419" s="45">
        <v>21585.15</v>
      </c>
    </row>
    <row r="420" spans="1:2" x14ac:dyDescent="0.3">
      <c r="A420" s="18" t="s">
        <v>373</v>
      </c>
      <c r="B420" s="45">
        <v>14813.731920000002</v>
      </c>
    </row>
    <row r="421" spans="1:2" x14ac:dyDescent="0.3">
      <c r="A421" s="18" t="s">
        <v>534</v>
      </c>
      <c r="B421" s="45">
        <v>7399.4832000000006</v>
      </c>
    </row>
    <row r="422" spans="1:2" x14ac:dyDescent="0.3">
      <c r="A422" s="18" t="s">
        <v>358</v>
      </c>
      <c r="B422" s="45">
        <v>3175.1547800000003</v>
      </c>
    </row>
    <row r="423" spans="1:2" x14ac:dyDescent="0.3">
      <c r="A423" s="18" t="s">
        <v>253</v>
      </c>
      <c r="B423" s="45">
        <v>3823.5108</v>
      </c>
    </row>
    <row r="424" spans="1:2" x14ac:dyDescent="0.3">
      <c r="A424" s="18" t="s">
        <v>360</v>
      </c>
      <c r="B424" s="45">
        <v>79082.507010000001</v>
      </c>
    </row>
    <row r="425" spans="1:2" x14ac:dyDescent="0.3">
      <c r="A425" s="18" t="s">
        <v>156</v>
      </c>
      <c r="B425" s="45">
        <v>8211.6342000000004</v>
      </c>
    </row>
    <row r="426" spans="1:2" x14ac:dyDescent="0.3">
      <c r="A426" s="18" t="s">
        <v>75</v>
      </c>
      <c r="B426" s="45">
        <v>33687.501799999998</v>
      </c>
    </row>
    <row r="427" spans="1:2" x14ac:dyDescent="0.3">
      <c r="A427" s="18" t="s">
        <v>614</v>
      </c>
      <c r="B427" s="45">
        <v>33938.142760000002</v>
      </c>
    </row>
    <row r="428" spans="1:2" x14ac:dyDescent="0.3">
      <c r="A428" s="18" t="s">
        <v>125</v>
      </c>
      <c r="B428" s="45">
        <v>27676.35</v>
      </c>
    </row>
    <row r="429" spans="1:2" x14ac:dyDescent="0.3">
      <c r="A429" s="18" t="s">
        <v>367</v>
      </c>
      <c r="B429" s="45">
        <v>34816.968000000001</v>
      </c>
    </row>
    <row r="430" spans="1:2" x14ac:dyDescent="0.3">
      <c r="A430" s="18" t="s">
        <v>127</v>
      </c>
      <c r="B430" s="45">
        <v>34.689059999999998</v>
      </c>
    </row>
    <row r="431" spans="1:2" x14ac:dyDescent="0.3">
      <c r="A431" s="18" t="s">
        <v>369</v>
      </c>
      <c r="B431" s="45">
        <v>23195.01828</v>
      </c>
    </row>
    <row r="432" spans="1:2" x14ac:dyDescent="0.3">
      <c r="A432" s="18" t="s">
        <v>327</v>
      </c>
      <c r="B432" s="45">
        <v>40325.31</v>
      </c>
    </row>
    <row r="433" spans="1:2" x14ac:dyDescent="0.3">
      <c r="A433" s="18" t="s">
        <v>631</v>
      </c>
      <c r="B433" s="45">
        <v>16321.907265440004</v>
      </c>
    </row>
    <row r="434" spans="1:2" x14ac:dyDescent="0.3">
      <c r="A434" s="18" t="s">
        <v>87</v>
      </c>
      <c r="B434" s="45">
        <v>20171.63305</v>
      </c>
    </row>
    <row r="435" spans="1:2" x14ac:dyDescent="0.3">
      <c r="A435" s="18" t="s">
        <v>184</v>
      </c>
      <c r="B435" s="45">
        <v>2316.2622000000001</v>
      </c>
    </row>
    <row r="436" spans="1:2" x14ac:dyDescent="0.3">
      <c r="A436" s="18" t="s">
        <v>607</v>
      </c>
      <c r="B436" s="45">
        <v>5725.6496000000006</v>
      </c>
    </row>
    <row r="437" spans="1:2" x14ac:dyDescent="0.3">
      <c r="A437" s="18" t="s">
        <v>290</v>
      </c>
      <c r="B437" s="45">
        <v>79548.755999999994</v>
      </c>
    </row>
    <row r="438" spans="1:2" x14ac:dyDescent="0.3">
      <c r="A438" s="18" t="s">
        <v>192</v>
      </c>
      <c r="B438" s="45">
        <v>321.93290999999999</v>
      </c>
    </row>
    <row r="439" spans="1:2" x14ac:dyDescent="0.3">
      <c r="A439" s="18" t="s">
        <v>525</v>
      </c>
      <c r="B439" s="45">
        <v>3525.5505600000001</v>
      </c>
    </row>
    <row r="440" spans="1:2" x14ac:dyDescent="0.3">
      <c r="A440" s="18" t="s">
        <v>372</v>
      </c>
      <c r="B440" s="45">
        <v>4071.8</v>
      </c>
    </row>
    <row r="441" spans="1:2" x14ac:dyDescent="0.3">
      <c r="A441" s="18" t="s">
        <v>526</v>
      </c>
      <c r="B441" s="45">
        <v>50296.415400000005</v>
      </c>
    </row>
    <row r="442" spans="1:2" x14ac:dyDescent="0.3">
      <c r="A442" s="18" t="s">
        <v>63</v>
      </c>
      <c r="B442" s="45">
        <v>35621.302319999995</v>
      </c>
    </row>
    <row r="443" spans="1:2" x14ac:dyDescent="0.3">
      <c r="A443" s="18" t="s">
        <v>211</v>
      </c>
      <c r="B443" s="45">
        <v>11326.846439999999</v>
      </c>
    </row>
    <row r="444" spans="1:2" x14ac:dyDescent="0.3">
      <c r="A444" s="18" t="s">
        <v>189</v>
      </c>
      <c r="B444" s="45">
        <v>1952.6356799999999</v>
      </c>
    </row>
    <row r="445" spans="1:2" x14ac:dyDescent="0.3">
      <c r="A445" s="18" t="s">
        <v>450</v>
      </c>
      <c r="B445" s="45">
        <v>5546.4642200000008</v>
      </c>
    </row>
    <row r="446" spans="1:2" x14ac:dyDescent="0.3">
      <c r="A446" s="18" t="s">
        <v>413</v>
      </c>
      <c r="B446" s="45">
        <v>12972.00222</v>
      </c>
    </row>
    <row r="447" spans="1:2" x14ac:dyDescent="0.3">
      <c r="A447" s="18" t="s">
        <v>502</v>
      </c>
      <c r="B447" s="45">
        <v>4025.8565599999993</v>
      </c>
    </row>
    <row r="448" spans="1:2" x14ac:dyDescent="0.3">
      <c r="A448" s="18" t="s">
        <v>580</v>
      </c>
      <c r="B448" s="45">
        <v>17540.201119999998</v>
      </c>
    </row>
    <row r="449" spans="1:2" x14ac:dyDescent="0.3">
      <c r="A449" s="18" t="s">
        <v>226</v>
      </c>
      <c r="B449" s="45">
        <v>6984.8246399999998</v>
      </c>
    </row>
    <row r="450" spans="1:2" x14ac:dyDescent="0.3">
      <c r="A450" s="18" t="s">
        <v>441</v>
      </c>
      <c r="B450" s="45">
        <v>28626.48</v>
      </c>
    </row>
    <row r="451" spans="1:2" x14ac:dyDescent="0.3">
      <c r="A451" s="18" t="s">
        <v>108</v>
      </c>
      <c r="B451" s="45">
        <v>20079.34362</v>
      </c>
    </row>
    <row r="452" spans="1:2" x14ac:dyDescent="0.3">
      <c r="A452" s="18" t="s">
        <v>57</v>
      </c>
      <c r="B452" s="45">
        <v>44863</v>
      </c>
    </row>
    <row r="453" spans="1:2" x14ac:dyDescent="0.3">
      <c r="A453" s="18" t="s">
        <v>215</v>
      </c>
      <c r="B453" s="45">
        <v>4637.7968000000001</v>
      </c>
    </row>
    <row r="454" spans="1:2" x14ac:dyDescent="0.3">
      <c r="A454" s="18" t="s">
        <v>97</v>
      </c>
      <c r="B454" s="45">
        <v>5331.6696000000011</v>
      </c>
    </row>
    <row r="455" spans="1:2" x14ac:dyDescent="0.3">
      <c r="A455" s="18" t="s">
        <v>379</v>
      </c>
      <c r="B455" s="45">
        <v>21584.693519999997</v>
      </c>
    </row>
    <row r="456" spans="1:2" x14ac:dyDescent="0.3">
      <c r="A456" s="18" t="s">
        <v>251</v>
      </c>
      <c r="B456" s="45">
        <v>139277.83032000001</v>
      </c>
    </row>
    <row r="457" spans="1:2" x14ac:dyDescent="0.3">
      <c r="A457" s="18" t="s">
        <v>528</v>
      </c>
      <c r="B457" s="45">
        <v>33308.550000000003</v>
      </c>
    </row>
    <row r="458" spans="1:2" x14ac:dyDescent="0.3">
      <c r="A458" s="18" t="s">
        <v>319</v>
      </c>
      <c r="B458" s="45">
        <v>1641.7107199999998</v>
      </c>
    </row>
    <row r="459" spans="1:2" x14ac:dyDescent="0.3">
      <c r="A459" s="18" t="s">
        <v>221</v>
      </c>
      <c r="B459" s="45">
        <v>28386.01584</v>
      </c>
    </row>
    <row r="460" spans="1:2" x14ac:dyDescent="0.3">
      <c r="A460" s="18" t="s">
        <v>549</v>
      </c>
      <c r="B460" s="45">
        <v>15155.326800000003</v>
      </c>
    </row>
    <row r="461" spans="1:2" x14ac:dyDescent="0.3">
      <c r="A461" s="18" t="s">
        <v>632</v>
      </c>
      <c r="B461" s="45">
        <v>25174.028880000002</v>
      </c>
    </row>
    <row r="462" spans="1:2" x14ac:dyDescent="0.3">
      <c r="A462" s="18" t="s">
        <v>594</v>
      </c>
      <c r="B462" s="45">
        <v>7173.33428</v>
      </c>
    </row>
    <row r="463" spans="1:2" x14ac:dyDescent="0.3">
      <c r="A463" s="18" t="s">
        <v>18</v>
      </c>
      <c r="B463" s="45">
        <v>5225.2710400000005</v>
      </c>
    </row>
    <row r="464" spans="1:2" x14ac:dyDescent="0.3">
      <c r="A464" s="18" t="s">
        <v>584</v>
      </c>
      <c r="B464" s="45">
        <v>3378.1478399999996</v>
      </c>
    </row>
    <row r="465" spans="1:2" x14ac:dyDescent="0.3">
      <c r="A465" s="18" t="s">
        <v>586</v>
      </c>
      <c r="B465" s="45">
        <v>841.00535999999988</v>
      </c>
    </row>
    <row r="466" spans="1:2" x14ac:dyDescent="0.3">
      <c r="A466" s="18" t="s">
        <v>272</v>
      </c>
      <c r="B466" s="45">
        <v>4375.3620000000001</v>
      </c>
    </row>
    <row r="467" spans="1:2" x14ac:dyDescent="0.3">
      <c r="A467" s="18" t="s">
        <v>390</v>
      </c>
      <c r="B467" s="45">
        <v>43553.493060000001</v>
      </c>
    </row>
    <row r="468" spans="1:2" x14ac:dyDescent="0.3">
      <c r="A468" s="18" t="s">
        <v>616</v>
      </c>
      <c r="B468" s="45">
        <v>1062.5902000000001</v>
      </c>
    </row>
    <row r="469" spans="1:2" x14ac:dyDescent="0.3">
      <c r="A469" s="18" t="s">
        <v>314</v>
      </c>
      <c r="B469" s="45">
        <v>25577.274079999999</v>
      </c>
    </row>
    <row r="470" spans="1:2" x14ac:dyDescent="0.3">
      <c r="A470" s="18" t="s">
        <v>394</v>
      </c>
      <c r="B470" s="45">
        <v>11332.142999999998</v>
      </c>
    </row>
    <row r="471" spans="1:2" x14ac:dyDescent="0.3">
      <c r="A471" s="18" t="s">
        <v>329</v>
      </c>
      <c r="B471" s="45">
        <v>8780.5809000000008</v>
      </c>
    </row>
    <row r="472" spans="1:2" x14ac:dyDescent="0.3">
      <c r="A472" s="18" t="s">
        <v>32</v>
      </c>
      <c r="B472" s="45">
        <v>35367.211040000002</v>
      </c>
    </row>
    <row r="473" spans="1:2" x14ac:dyDescent="0.3">
      <c r="A473" s="18" t="s">
        <v>161</v>
      </c>
      <c r="B473" s="45">
        <v>3562.9029</v>
      </c>
    </row>
    <row r="474" spans="1:2" x14ac:dyDescent="0.3">
      <c r="A474" s="18" t="s">
        <v>165</v>
      </c>
      <c r="B474" s="45">
        <v>7901.5041599999995</v>
      </c>
    </row>
    <row r="475" spans="1:2" x14ac:dyDescent="0.3">
      <c r="A475" s="18" t="s">
        <v>599</v>
      </c>
      <c r="B475" s="45">
        <v>22676.312609999997</v>
      </c>
    </row>
    <row r="476" spans="1:2" x14ac:dyDescent="0.3">
      <c r="A476" s="18" t="s">
        <v>263</v>
      </c>
      <c r="B476" s="45">
        <v>11813.604160000001</v>
      </c>
    </row>
    <row r="477" spans="1:2" x14ac:dyDescent="0.3">
      <c r="A477" s="18" t="s">
        <v>497</v>
      </c>
      <c r="B477" s="45">
        <v>5127.0390600000001</v>
      </c>
    </row>
    <row r="478" spans="1:2" x14ac:dyDescent="0.3">
      <c r="A478" s="18" t="s">
        <v>503</v>
      </c>
      <c r="B478" s="45">
        <v>9614.4403999999995</v>
      </c>
    </row>
    <row r="479" spans="1:2" x14ac:dyDescent="0.3">
      <c r="A479" s="18" t="s">
        <v>387</v>
      </c>
      <c r="B479" s="45">
        <v>4117.4880599999997</v>
      </c>
    </row>
    <row r="480" spans="1:2" x14ac:dyDescent="0.3">
      <c r="A480" s="18" t="s">
        <v>435</v>
      </c>
      <c r="B480" s="45">
        <v>9984.7160999999996</v>
      </c>
    </row>
    <row r="481" spans="1:2" x14ac:dyDescent="0.3">
      <c r="A481" s="18" t="s">
        <v>317</v>
      </c>
      <c r="B481" s="45">
        <v>8093.4784000000018</v>
      </c>
    </row>
    <row r="482" spans="1:2" x14ac:dyDescent="0.3">
      <c r="A482" s="18" t="s">
        <v>603</v>
      </c>
      <c r="B482" s="45">
        <v>12040.64352</v>
      </c>
    </row>
    <row r="483" spans="1:2" x14ac:dyDescent="0.3">
      <c r="A483" s="18" t="s">
        <v>590</v>
      </c>
      <c r="B483" s="45">
        <v>12091.190400000001</v>
      </c>
    </row>
    <row r="484" spans="1:2" x14ac:dyDescent="0.3">
      <c r="A484" s="18" t="s">
        <v>242</v>
      </c>
      <c r="B484" s="45">
        <v>16609.090810000002</v>
      </c>
    </row>
    <row r="485" spans="1:2" x14ac:dyDescent="0.3">
      <c r="A485" s="18" t="s">
        <v>383</v>
      </c>
      <c r="B485" s="45">
        <v>4569.5735999999997</v>
      </c>
    </row>
    <row r="486" spans="1:2" x14ac:dyDescent="0.3">
      <c r="A486" s="18" t="s">
        <v>548</v>
      </c>
      <c r="B486" s="45">
        <v>42433.254400000005</v>
      </c>
    </row>
    <row r="487" spans="1:2" x14ac:dyDescent="0.3">
      <c r="A487" s="18" t="s">
        <v>115</v>
      </c>
      <c r="B487" s="45">
        <v>52780.07</v>
      </c>
    </row>
    <row r="488" spans="1:2" x14ac:dyDescent="0.3">
      <c r="A488" s="18" t="s">
        <v>99</v>
      </c>
      <c r="B488" s="45">
        <v>21062.612480000003</v>
      </c>
    </row>
    <row r="489" spans="1:2" x14ac:dyDescent="0.3">
      <c r="A489" s="18" t="s">
        <v>517</v>
      </c>
      <c r="B489" s="45">
        <v>8637.1874499999994</v>
      </c>
    </row>
    <row r="490" spans="1:2" x14ac:dyDescent="0.3">
      <c r="A490" s="18" t="s">
        <v>568</v>
      </c>
      <c r="B490" s="45">
        <v>15860.782080000001</v>
      </c>
    </row>
    <row r="491" spans="1:2" x14ac:dyDescent="0.3">
      <c r="A491" s="18" t="s">
        <v>567</v>
      </c>
      <c r="B491" s="45">
        <v>20163.409199999998</v>
      </c>
    </row>
    <row r="492" spans="1:2" x14ac:dyDescent="0.3">
      <c r="A492" s="18" t="s">
        <v>148</v>
      </c>
      <c r="B492" s="45">
        <v>3494.4040799999998</v>
      </c>
    </row>
    <row r="493" spans="1:2" x14ac:dyDescent="0.3">
      <c r="A493" s="18" t="s">
        <v>321</v>
      </c>
      <c r="B493" s="45">
        <v>3644.3212800000006</v>
      </c>
    </row>
    <row r="494" spans="1:2" x14ac:dyDescent="0.3">
      <c r="A494" s="18" t="s">
        <v>309</v>
      </c>
      <c r="B494" s="45">
        <v>20455.985130000001</v>
      </c>
    </row>
    <row r="495" spans="1:2" x14ac:dyDescent="0.3">
      <c r="A495" s="18" t="s">
        <v>431</v>
      </c>
      <c r="B495" s="45">
        <v>7969.4614999999994</v>
      </c>
    </row>
    <row r="496" spans="1:2" x14ac:dyDescent="0.3">
      <c r="A496" s="18" t="s">
        <v>322</v>
      </c>
      <c r="B496" s="45">
        <v>5334.9141999999993</v>
      </c>
    </row>
    <row r="497" spans="1:2" x14ac:dyDescent="0.3">
      <c r="A497" s="18" t="s">
        <v>496</v>
      </c>
      <c r="B497" s="45">
        <v>36161.096999999994</v>
      </c>
    </row>
    <row r="498" spans="1:2" x14ac:dyDescent="0.3">
      <c r="A498" s="18" t="s">
        <v>467</v>
      </c>
      <c r="B498" s="45">
        <v>11984.891250000001</v>
      </c>
    </row>
    <row r="499" spans="1:2" x14ac:dyDescent="0.3">
      <c r="A499" s="18" t="s">
        <v>174</v>
      </c>
      <c r="B499" s="45">
        <v>29263.754519999995</v>
      </c>
    </row>
    <row r="500" spans="1:2" x14ac:dyDescent="0.3">
      <c r="A500" s="18" t="s">
        <v>565</v>
      </c>
      <c r="B500" s="45">
        <v>1846.8040800000003</v>
      </c>
    </row>
    <row r="501" spans="1:2" x14ac:dyDescent="0.3">
      <c r="A501" s="18" t="s">
        <v>278</v>
      </c>
      <c r="B501" s="45">
        <v>40139.874619999995</v>
      </c>
    </row>
    <row r="502" spans="1:2" x14ac:dyDescent="0.3">
      <c r="A502" s="18" t="s">
        <v>540</v>
      </c>
      <c r="B502" s="45">
        <v>2146.5580500000001</v>
      </c>
    </row>
    <row r="503" spans="1:2" x14ac:dyDescent="0.3">
      <c r="A503" s="18" t="s">
        <v>461</v>
      </c>
      <c r="B503" s="45">
        <v>5565.3272500000003</v>
      </c>
    </row>
    <row r="504" spans="1:2" x14ac:dyDescent="0.3">
      <c r="A504" s="18" t="s">
        <v>520</v>
      </c>
      <c r="B504" s="45">
        <v>34800.431400000001</v>
      </c>
    </row>
    <row r="505" spans="1:2" x14ac:dyDescent="0.3">
      <c r="A505" s="18" t="s">
        <v>47</v>
      </c>
      <c r="B505" s="45">
        <v>9647.3852800000004</v>
      </c>
    </row>
    <row r="506" spans="1:2" x14ac:dyDescent="0.3">
      <c r="A506" s="18" t="s">
        <v>363</v>
      </c>
      <c r="B506" s="45">
        <v>12236.874600000001</v>
      </c>
    </row>
    <row r="507" spans="1:2" x14ac:dyDescent="0.3">
      <c r="A507" s="18" t="s">
        <v>285</v>
      </c>
      <c r="B507" s="45">
        <v>7120.6486400000003</v>
      </c>
    </row>
    <row r="508" spans="1:2" x14ac:dyDescent="0.3">
      <c r="A508" s="18" t="s">
        <v>404</v>
      </c>
      <c r="B508" s="45">
        <v>16142.527829999999</v>
      </c>
    </row>
    <row r="509" spans="1:2" x14ac:dyDescent="0.3">
      <c r="A509" s="18" t="s">
        <v>409</v>
      </c>
      <c r="B509" s="45">
        <v>14431.738420000001</v>
      </c>
    </row>
    <row r="510" spans="1:2" x14ac:dyDescent="0.3">
      <c r="A510" s="18" t="s">
        <v>308</v>
      </c>
      <c r="B510" s="45">
        <v>8903.4840000000004</v>
      </c>
    </row>
    <row r="511" spans="1:2" x14ac:dyDescent="0.3">
      <c r="A511" s="18" t="s">
        <v>27</v>
      </c>
      <c r="B511" s="45">
        <v>4968.5039999999999</v>
      </c>
    </row>
    <row r="512" spans="1:2" x14ac:dyDescent="0.3">
      <c r="A512" s="18" t="s">
        <v>98</v>
      </c>
      <c r="B512" s="45">
        <v>524.81175000000007</v>
      </c>
    </row>
    <row r="513" spans="1:2" x14ac:dyDescent="0.3">
      <c r="A513" s="18" t="s">
        <v>478</v>
      </c>
      <c r="B513" s="45">
        <v>1808.04592</v>
      </c>
    </row>
    <row r="514" spans="1:2" x14ac:dyDescent="0.3">
      <c r="A514" s="18" t="s">
        <v>146</v>
      </c>
      <c r="B514" s="45">
        <v>4417.8334199999999</v>
      </c>
    </row>
    <row r="515" spans="1:2" x14ac:dyDescent="0.3">
      <c r="A515" s="18" t="s">
        <v>255</v>
      </c>
      <c r="B515" s="45">
        <v>9684.8756000000012</v>
      </c>
    </row>
    <row r="516" spans="1:2" x14ac:dyDescent="0.3">
      <c r="A516" s="18" t="s">
        <v>422</v>
      </c>
      <c r="B516" s="45">
        <v>4679.7141600000004</v>
      </c>
    </row>
    <row r="517" spans="1:2" x14ac:dyDescent="0.3">
      <c r="A517" s="18" t="s">
        <v>26</v>
      </c>
      <c r="B517" s="45">
        <v>10370.550000000001</v>
      </c>
    </row>
    <row r="518" spans="1:2" x14ac:dyDescent="0.3">
      <c r="A518" s="18" t="s">
        <v>77</v>
      </c>
      <c r="B518" s="45">
        <v>10947.904</v>
      </c>
    </row>
    <row r="519" spans="1:2" x14ac:dyDescent="0.3">
      <c r="A519" s="18" t="s">
        <v>106</v>
      </c>
      <c r="B519" s="45">
        <v>19510.808000000001</v>
      </c>
    </row>
    <row r="520" spans="1:2" x14ac:dyDescent="0.3">
      <c r="A520" s="18" t="s">
        <v>629</v>
      </c>
      <c r="B520" s="45">
        <v>10464.138360000001</v>
      </c>
    </row>
    <row r="521" spans="1:2" x14ac:dyDescent="0.3">
      <c r="A521" s="18" t="s">
        <v>142</v>
      </c>
      <c r="B521" s="45">
        <v>853.32276999999988</v>
      </c>
    </row>
    <row r="522" spans="1:2" x14ac:dyDescent="0.3">
      <c r="A522" s="18" t="s">
        <v>300</v>
      </c>
      <c r="B522" s="45">
        <v>76.138720000000006</v>
      </c>
    </row>
    <row r="523" spans="1:2" x14ac:dyDescent="0.3">
      <c r="A523" s="18" t="s">
        <v>113</v>
      </c>
      <c r="B523" s="45">
        <v>5328.4890400000004</v>
      </c>
    </row>
    <row r="524" spans="1:2" x14ac:dyDescent="0.3">
      <c r="A524" s="18" t="s">
        <v>44</v>
      </c>
      <c r="B524" s="45">
        <v>20084.133719999998</v>
      </c>
    </row>
    <row r="525" spans="1:2" x14ac:dyDescent="0.3">
      <c r="A525" s="18" t="s">
        <v>227</v>
      </c>
      <c r="B525" s="45">
        <v>24223.05</v>
      </c>
    </row>
    <row r="526" spans="1:2" x14ac:dyDescent="0.3">
      <c r="A526" s="18" t="s">
        <v>68</v>
      </c>
      <c r="B526" s="45">
        <v>2518.8755800000004</v>
      </c>
    </row>
    <row r="527" spans="1:2" x14ac:dyDescent="0.3">
      <c r="A527" s="18" t="s">
        <v>37</v>
      </c>
      <c r="B527" s="45">
        <v>10936.992</v>
      </c>
    </row>
    <row r="528" spans="1:2" x14ac:dyDescent="0.3">
      <c r="A528" s="18" t="s">
        <v>225</v>
      </c>
      <c r="B528" s="45">
        <v>1774.8071999999997</v>
      </c>
    </row>
    <row r="529" spans="1:2" x14ac:dyDescent="0.3">
      <c r="A529" s="18" t="s">
        <v>412</v>
      </c>
      <c r="B529" s="45">
        <v>13185.543000000001</v>
      </c>
    </row>
    <row r="530" spans="1:2" x14ac:dyDescent="0.3">
      <c r="A530" s="18" t="s">
        <v>375</v>
      </c>
      <c r="B530" s="45">
        <v>4804.4682400000002</v>
      </c>
    </row>
    <row r="531" spans="1:2" x14ac:dyDescent="0.3">
      <c r="A531" s="18" t="s">
        <v>414</v>
      </c>
      <c r="B531" s="45">
        <v>17731.623</v>
      </c>
    </row>
    <row r="532" spans="1:2" x14ac:dyDescent="0.3">
      <c r="A532" s="18" t="s">
        <v>381</v>
      </c>
      <c r="B532" s="45">
        <v>18554.370300000002</v>
      </c>
    </row>
    <row r="533" spans="1:2" x14ac:dyDescent="0.3">
      <c r="A533" s="18" t="s">
        <v>105</v>
      </c>
      <c r="B533" s="45">
        <v>8324.8325999999997</v>
      </c>
    </row>
    <row r="534" spans="1:2" x14ac:dyDescent="0.3">
      <c r="A534" s="18" t="s">
        <v>223</v>
      </c>
      <c r="B534" s="45">
        <v>17847.907200000001</v>
      </c>
    </row>
    <row r="535" spans="1:2" x14ac:dyDescent="0.3">
      <c r="A535" s="18" t="s">
        <v>529</v>
      </c>
      <c r="B535" s="45">
        <v>10859.64</v>
      </c>
    </row>
    <row r="536" spans="1:2" x14ac:dyDescent="0.3">
      <c r="A536" s="18" t="s">
        <v>392</v>
      </c>
      <c r="B536" s="45">
        <v>6576.298960000001</v>
      </c>
    </row>
    <row r="537" spans="1:2" x14ac:dyDescent="0.3">
      <c r="A537" s="18" t="s">
        <v>73</v>
      </c>
      <c r="B537" s="45">
        <v>58719.832500000004</v>
      </c>
    </row>
    <row r="538" spans="1:2" x14ac:dyDescent="0.3">
      <c r="A538" s="18" t="s">
        <v>86</v>
      </c>
      <c r="B538" s="45">
        <v>6393.0952799999995</v>
      </c>
    </row>
    <row r="539" spans="1:2" x14ac:dyDescent="0.3">
      <c r="A539" s="18" t="s">
        <v>256</v>
      </c>
      <c r="B539" s="45">
        <v>34082.86464</v>
      </c>
    </row>
    <row r="540" spans="1:2" x14ac:dyDescent="0.3">
      <c r="A540" s="18" t="s">
        <v>128</v>
      </c>
      <c r="B540" s="45">
        <v>2117.4835000000003</v>
      </c>
    </row>
    <row r="541" spans="1:2" x14ac:dyDescent="0.3">
      <c r="A541" s="18" t="s">
        <v>637</v>
      </c>
      <c r="B541" s="45">
        <v>10693.88488</v>
      </c>
    </row>
    <row r="542" spans="1:2" x14ac:dyDescent="0.3">
      <c r="A542" s="18" t="s">
        <v>145</v>
      </c>
      <c r="B542" s="45">
        <v>7703.8640800000003</v>
      </c>
    </row>
    <row r="543" spans="1:2" x14ac:dyDescent="0.3">
      <c r="A543" s="18" t="s">
        <v>194</v>
      </c>
      <c r="B543" s="45">
        <v>4420.5961800000005</v>
      </c>
    </row>
    <row r="544" spans="1:2" x14ac:dyDescent="0.3">
      <c r="A544" s="18" t="s">
        <v>344</v>
      </c>
      <c r="B544" s="45">
        <v>2537.2907999999998</v>
      </c>
    </row>
    <row r="545" spans="1:2" x14ac:dyDescent="0.3">
      <c r="A545" s="18" t="s">
        <v>578</v>
      </c>
      <c r="B545" s="45">
        <v>10166.535600000001</v>
      </c>
    </row>
    <row r="546" spans="1:2" x14ac:dyDescent="0.3">
      <c r="A546" s="18" t="s">
        <v>117</v>
      </c>
      <c r="B546" s="45">
        <v>13669.81</v>
      </c>
    </row>
    <row r="547" spans="1:2" x14ac:dyDescent="0.3">
      <c r="A547" s="18" t="s">
        <v>195</v>
      </c>
      <c r="B547" s="45">
        <v>18.659839999999999</v>
      </c>
    </row>
    <row r="548" spans="1:2" x14ac:dyDescent="0.3">
      <c r="A548" s="18" t="s">
        <v>443</v>
      </c>
      <c r="B548" s="45">
        <v>41138.261999999995</v>
      </c>
    </row>
    <row r="549" spans="1:2" x14ac:dyDescent="0.3">
      <c r="A549" s="18" t="s">
        <v>410</v>
      </c>
      <c r="B549" s="45">
        <v>56176.777799999996</v>
      </c>
    </row>
    <row r="550" spans="1:2" x14ac:dyDescent="0.3">
      <c r="A550" s="18" t="s">
        <v>291</v>
      </c>
      <c r="B550" s="45">
        <v>6066.54648</v>
      </c>
    </row>
    <row r="551" spans="1:2" x14ac:dyDescent="0.3">
      <c r="A551" s="18" t="s">
        <v>237</v>
      </c>
      <c r="B551" s="45">
        <v>66988.771199999988</v>
      </c>
    </row>
    <row r="552" spans="1:2" x14ac:dyDescent="0.3">
      <c r="A552" s="18" t="s">
        <v>518</v>
      </c>
      <c r="B552" s="45">
        <v>10189.8891</v>
      </c>
    </row>
    <row r="553" spans="1:2" x14ac:dyDescent="0.3">
      <c r="A553" s="18" t="s">
        <v>488</v>
      </c>
      <c r="B553" s="45">
        <v>19233.355499999998</v>
      </c>
    </row>
    <row r="554" spans="1:2" x14ac:dyDescent="0.3">
      <c r="A554" s="18" t="s">
        <v>612</v>
      </c>
      <c r="B554" s="45">
        <v>4409.5168800000001</v>
      </c>
    </row>
    <row r="555" spans="1:2" x14ac:dyDescent="0.3">
      <c r="A555" s="18" t="s">
        <v>295</v>
      </c>
      <c r="B555" s="45">
        <v>19086.34</v>
      </c>
    </row>
    <row r="556" spans="1:2" x14ac:dyDescent="0.3">
      <c r="A556" s="18" t="s">
        <v>131</v>
      </c>
      <c r="B556" s="45">
        <v>765.99195000000009</v>
      </c>
    </row>
    <row r="557" spans="1:2" x14ac:dyDescent="0.3">
      <c r="A557" s="18" t="s">
        <v>188</v>
      </c>
      <c r="B557" s="45">
        <v>31556.187600000001</v>
      </c>
    </row>
    <row r="558" spans="1:2" x14ac:dyDescent="0.3">
      <c r="A558" s="18" t="s">
        <v>506</v>
      </c>
      <c r="B558" s="45">
        <v>7507.4514899999995</v>
      </c>
    </row>
    <row r="559" spans="1:2" x14ac:dyDescent="0.3">
      <c r="A559" s="18" t="s">
        <v>610</v>
      </c>
      <c r="B559" s="45">
        <v>8128.5187499999993</v>
      </c>
    </row>
    <row r="560" spans="1:2" x14ac:dyDescent="0.3">
      <c r="A560" s="18" t="s">
        <v>52</v>
      </c>
      <c r="B560" s="45">
        <v>11995.153920000001</v>
      </c>
    </row>
    <row r="561" spans="1:2" x14ac:dyDescent="0.3">
      <c r="A561" s="18" t="s">
        <v>109</v>
      </c>
      <c r="B561" s="45">
        <v>5487.6023999999998</v>
      </c>
    </row>
    <row r="562" spans="1:2" x14ac:dyDescent="0.3">
      <c r="A562" s="18" t="s">
        <v>645</v>
      </c>
      <c r="B562" s="45">
        <v>266.17821999999995</v>
      </c>
    </row>
    <row r="563" spans="1:2" x14ac:dyDescent="0.3">
      <c r="A563" s="18" t="s">
        <v>345</v>
      </c>
      <c r="B563" s="45">
        <v>8764.4065599999994</v>
      </c>
    </row>
    <row r="564" spans="1:2" x14ac:dyDescent="0.3">
      <c r="A564" s="18" t="s">
        <v>34</v>
      </c>
      <c r="B564" s="45">
        <v>39263.702919999996</v>
      </c>
    </row>
    <row r="565" spans="1:2" x14ac:dyDescent="0.3">
      <c r="A565" s="18" t="s">
        <v>617</v>
      </c>
      <c r="B565" s="45">
        <v>39810.328000000001</v>
      </c>
    </row>
    <row r="566" spans="1:2" x14ac:dyDescent="0.3">
      <c r="A566" s="18" t="s">
        <v>305</v>
      </c>
      <c r="B566" s="45">
        <v>1098.9470799999999</v>
      </c>
    </row>
    <row r="567" spans="1:2" x14ac:dyDescent="0.3">
      <c r="A567" s="18" t="s">
        <v>245</v>
      </c>
      <c r="B567" s="45">
        <v>5814.6927299999998</v>
      </c>
    </row>
    <row r="568" spans="1:2" x14ac:dyDescent="0.3">
      <c r="A568" s="18" t="s">
        <v>234</v>
      </c>
      <c r="B568" s="45">
        <v>13519.5291</v>
      </c>
    </row>
    <row r="569" spans="1:2" x14ac:dyDescent="0.3">
      <c r="A569" s="18" t="s">
        <v>74</v>
      </c>
      <c r="B569" s="45">
        <v>4569.8508000000002</v>
      </c>
    </row>
    <row r="570" spans="1:2" x14ac:dyDescent="0.3">
      <c r="A570" s="18" t="s">
        <v>70</v>
      </c>
      <c r="B570" s="45">
        <v>31680.795320000001</v>
      </c>
    </row>
    <row r="571" spans="1:2" x14ac:dyDescent="0.3">
      <c r="A571" s="18" t="s">
        <v>173</v>
      </c>
      <c r="B571" s="45">
        <v>10382.65884</v>
      </c>
    </row>
    <row r="572" spans="1:2" x14ac:dyDescent="0.3">
      <c r="A572" s="18" t="s">
        <v>546</v>
      </c>
      <c r="B572" s="45">
        <v>534.57695999999999</v>
      </c>
    </row>
    <row r="573" spans="1:2" x14ac:dyDescent="0.3">
      <c r="A573" s="18" t="s">
        <v>342</v>
      </c>
      <c r="B573" s="45">
        <v>9525.5999999999985</v>
      </c>
    </row>
    <row r="574" spans="1:2" x14ac:dyDescent="0.3">
      <c r="A574" s="18" t="s">
        <v>76</v>
      </c>
      <c r="B574" s="45">
        <v>27701.570400000004</v>
      </c>
    </row>
    <row r="575" spans="1:2" x14ac:dyDescent="0.3">
      <c r="A575" s="18" t="s">
        <v>486</v>
      </c>
      <c r="B575" s="45">
        <v>15374.563200000001</v>
      </c>
    </row>
    <row r="576" spans="1:2" x14ac:dyDescent="0.3">
      <c r="A576" s="18" t="s">
        <v>396</v>
      </c>
      <c r="B576" s="45">
        <v>37562.28</v>
      </c>
    </row>
    <row r="577" spans="1:2" x14ac:dyDescent="0.3">
      <c r="A577" s="18" t="s">
        <v>482</v>
      </c>
      <c r="B577" s="45">
        <v>25269.090000000004</v>
      </c>
    </row>
    <row r="578" spans="1:2" x14ac:dyDescent="0.3">
      <c r="A578" s="18" t="s">
        <v>440</v>
      </c>
      <c r="B578" s="45">
        <v>30435.615000000002</v>
      </c>
    </row>
    <row r="579" spans="1:2" x14ac:dyDescent="0.3">
      <c r="A579" s="18" t="s">
        <v>58</v>
      </c>
      <c r="B579" s="45">
        <v>10666.22942</v>
      </c>
    </row>
    <row r="580" spans="1:2" x14ac:dyDescent="0.3">
      <c r="A580" s="18" t="s">
        <v>395</v>
      </c>
      <c r="B580" s="45">
        <v>12881.097599999999</v>
      </c>
    </row>
    <row r="581" spans="1:2" x14ac:dyDescent="0.3">
      <c r="A581" s="18" t="s">
        <v>513</v>
      </c>
      <c r="B581" s="45">
        <v>16574.544740000001</v>
      </c>
    </row>
    <row r="582" spans="1:2" x14ac:dyDescent="0.3">
      <c r="A582" s="18" t="s">
        <v>531</v>
      </c>
      <c r="B582" s="45">
        <v>1010.3759200000001</v>
      </c>
    </row>
    <row r="583" spans="1:2" x14ac:dyDescent="0.3">
      <c r="A583" s="18" t="s">
        <v>437</v>
      </c>
      <c r="B583" s="45">
        <v>29627.320319999999</v>
      </c>
    </row>
    <row r="584" spans="1:2" x14ac:dyDescent="0.3">
      <c r="A584" s="18" t="s">
        <v>29</v>
      </c>
      <c r="B584" s="45">
        <v>7578.84</v>
      </c>
    </row>
    <row r="585" spans="1:2" x14ac:dyDescent="0.3">
      <c r="A585" s="18" t="s">
        <v>33</v>
      </c>
      <c r="B585" s="45">
        <v>38096.18406</v>
      </c>
    </row>
    <row r="586" spans="1:2" x14ac:dyDescent="0.3">
      <c r="A586" s="18" t="s">
        <v>190</v>
      </c>
      <c r="B586" s="45">
        <v>92715.25</v>
      </c>
    </row>
    <row r="587" spans="1:2" x14ac:dyDescent="0.3">
      <c r="A587" s="18" t="s">
        <v>608</v>
      </c>
      <c r="B587" s="45">
        <v>8366.02</v>
      </c>
    </row>
    <row r="588" spans="1:2" x14ac:dyDescent="0.3">
      <c r="A588" s="18" t="s">
        <v>332</v>
      </c>
      <c r="B588" s="45">
        <v>2915.4540999999999</v>
      </c>
    </row>
    <row r="589" spans="1:2" x14ac:dyDescent="0.3">
      <c r="A589" s="18" t="s">
        <v>400</v>
      </c>
      <c r="B589" s="45">
        <v>9586.8057599999993</v>
      </c>
    </row>
    <row r="590" spans="1:2" x14ac:dyDescent="0.3">
      <c r="A590" s="18" t="s">
        <v>571</v>
      </c>
      <c r="B590" s="45">
        <v>50545.319219999998</v>
      </c>
    </row>
    <row r="591" spans="1:2" x14ac:dyDescent="0.3">
      <c r="A591" s="18" t="s">
        <v>421</v>
      </c>
      <c r="B591" s="45">
        <v>21541.017959999997</v>
      </c>
    </row>
    <row r="592" spans="1:2" x14ac:dyDescent="0.3">
      <c r="A592" s="18" t="s">
        <v>279</v>
      </c>
      <c r="B592" s="45">
        <v>12597.52224</v>
      </c>
    </row>
    <row r="593" spans="1:2" x14ac:dyDescent="0.3">
      <c r="A593" s="18" t="s">
        <v>197</v>
      </c>
      <c r="B593" s="45">
        <v>7689.4560000000001</v>
      </c>
    </row>
    <row r="594" spans="1:2" x14ac:dyDescent="0.3">
      <c r="A594" s="18" t="s">
        <v>635</v>
      </c>
      <c r="B594" s="45">
        <v>2355.2113199999999</v>
      </c>
    </row>
    <row r="595" spans="1:2" x14ac:dyDescent="0.3">
      <c r="A595" s="18" t="s">
        <v>277</v>
      </c>
      <c r="B595" s="45">
        <v>560.36832000000004</v>
      </c>
    </row>
    <row r="596" spans="1:2" x14ac:dyDescent="0.3">
      <c r="A596" s="18" t="s">
        <v>418</v>
      </c>
      <c r="B596" s="45">
        <v>7832.0010999999995</v>
      </c>
    </row>
    <row r="597" spans="1:2" x14ac:dyDescent="0.3">
      <c r="A597" s="18" t="s">
        <v>393</v>
      </c>
      <c r="B597" s="45">
        <v>33200.038079999998</v>
      </c>
    </row>
    <row r="598" spans="1:2" x14ac:dyDescent="0.3">
      <c r="A598" s="18" t="s">
        <v>304</v>
      </c>
      <c r="B598" s="45">
        <v>19066.045319999997</v>
      </c>
    </row>
    <row r="599" spans="1:2" x14ac:dyDescent="0.3">
      <c r="A599" s="18" t="s">
        <v>545</v>
      </c>
      <c r="B599" s="45">
        <v>618.19979999999998</v>
      </c>
    </row>
    <row r="600" spans="1:2" x14ac:dyDescent="0.3">
      <c r="A600" s="18" t="s">
        <v>581</v>
      </c>
      <c r="B600" s="45">
        <v>44173.627960000005</v>
      </c>
    </row>
    <row r="601" spans="1:2" x14ac:dyDescent="0.3">
      <c r="A601" s="18" t="s">
        <v>71</v>
      </c>
      <c r="B601" s="45">
        <v>29659.68995</v>
      </c>
    </row>
    <row r="602" spans="1:2" x14ac:dyDescent="0.3">
      <c r="A602" s="18" t="s">
        <v>313</v>
      </c>
      <c r="B602" s="45">
        <v>12699.28</v>
      </c>
    </row>
    <row r="603" spans="1:2" x14ac:dyDescent="0.3">
      <c r="A603" s="18" t="s">
        <v>320</v>
      </c>
      <c r="B603" s="45">
        <v>43084.872000000003</v>
      </c>
    </row>
    <row r="604" spans="1:2" x14ac:dyDescent="0.3">
      <c r="A604" s="18" t="s">
        <v>261</v>
      </c>
      <c r="B604" s="45">
        <v>607.30668000000003</v>
      </c>
    </row>
    <row r="605" spans="1:2" x14ac:dyDescent="0.3">
      <c r="A605" s="18" t="s">
        <v>483</v>
      </c>
      <c r="B605" s="45">
        <v>16252.21998</v>
      </c>
    </row>
    <row r="606" spans="1:2" x14ac:dyDescent="0.3">
      <c r="A606" s="18" t="s">
        <v>370</v>
      </c>
      <c r="B606" s="45">
        <v>43907.94</v>
      </c>
    </row>
    <row r="607" spans="1:2" x14ac:dyDescent="0.3">
      <c r="A607" s="18" t="s">
        <v>134</v>
      </c>
      <c r="B607" s="45">
        <v>592.92849000000001</v>
      </c>
    </row>
    <row r="608" spans="1:2" x14ac:dyDescent="0.3">
      <c r="A608" s="18" t="s">
        <v>559</v>
      </c>
      <c r="B608" s="45">
        <v>10792.637119999999</v>
      </c>
    </row>
    <row r="609" spans="1:2" x14ac:dyDescent="0.3">
      <c r="A609" s="18" t="s">
        <v>218</v>
      </c>
      <c r="B609" s="45">
        <v>25553.782799999997</v>
      </c>
    </row>
    <row r="610" spans="1:2" x14ac:dyDescent="0.3">
      <c r="A610" s="18" t="s">
        <v>297</v>
      </c>
      <c r="B610" s="45">
        <v>11696.156879999999</v>
      </c>
    </row>
    <row r="611" spans="1:2" x14ac:dyDescent="0.3">
      <c r="A611" s="18" t="s">
        <v>605</v>
      </c>
      <c r="B611" s="45">
        <v>11742.8703</v>
      </c>
    </row>
    <row r="612" spans="1:2" x14ac:dyDescent="0.3">
      <c r="A612" s="18" t="s">
        <v>24</v>
      </c>
      <c r="B612" s="45">
        <v>60928.502359999999</v>
      </c>
    </row>
    <row r="613" spans="1:2" x14ac:dyDescent="0.3">
      <c r="A613" s="18" t="s">
        <v>1432</v>
      </c>
      <c r="B613" s="45">
        <v>10621986.735233758</v>
      </c>
    </row>
    <row r="615" spans="1:2" x14ac:dyDescent="0.3">
      <c r="B615">
        <f>AVERAGE(B4:B612)</f>
        <v>17441.685936344431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98826-2F49-4635-9E4D-5357F68CCE5E}">
  <dimension ref="A1:B12"/>
  <sheetViews>
    <sheetView workbookViewId="0">
      <selection activeCell="B1" sqref="B1"/>
    </sheetView>
  </sheetViews>
  <sheetFormatPr defaultRowHeight="14.4" x14ac:dyDescent="0.3"/>
  <cols>
    <col min="1" max="1" width="12.5546875" bestFit="1" customWidth="1"/>
    <col min="2" max="2" width="19.5546875" bestFit="1" customWidth="1"/>
  </cols>
  <sheetData>
    <row r="1" spans="1:2" x14ac:dyDescent="0.3">
      <c r="A1" s="17" t="s">
        <v>1431</v>
      </c>
      <c r="B1" t="s">
        <v>1434</v>
      </c>
    </row>
    <row r="2" spans="1:2" x14ac:dyDescent="0.3">
      <c r="A2" s="18" t="s">
        <v>971</v>
      </c>
      <c r="B2" s="45">
        <v>139277.83032000001</v>
      </c>
    </row>
    <row r="3" spans="1:2" x14ac:dyDescent="0.3">
      <c r="A3" s="18" t="s">
        <v>781</v>
      </c>
      <c r="B3" s="45">
        <v>109244</v>
      </c>
    </row>
    <row r="4" spans="1:2" x14ac:dyDescent="0.3">
      <c r="A4" s="18" t="s">
        <v>909</v>
      </c>
      <c r="B4" s="45">
        <v>92715.25</v>
      </c>
    </row>
    <row r="5" spans="1:2" x14ac:dyDescent="0.3">
      <c r="A5" s="18" t="s">
        <v>874</v>
      </c>
      <c r="B5" s="45">
        <v>87404.929919999995</v>
      </c>
    </row>
    <row r="6" spans="1:2" x14ac:dyDescent="0.3">
      <c r="A6" s="18" t="s">
        <v>899</v>
      </c>
      <c r="B6" s="45">
        <v>85637.740319999983</v>
      </c>
    </row>
    <row r="7" spans="1:2" x14ac:dyDescent="0.3">
      <c r="A7" s="18" t="s">
        <v>1198</v>
      </c>
      <c r="B7" s="45">
        <v>84136.119600000005</v>
      </c>
    </row>
    <row r="8" spans="1:2" x14ac:dyDescent="0.3">
      <c r="A8" s="18" t="s">
        <v>1096</v>
      </c>
      <c r="B8" s="45">
        <v>82514.711519999997</v>
      </c>
    </row>
    <row r="9" spans="1:2" x14ac:dyDescent="0.3">
      <c r="A9" s="18" t="s">
        <v>1345</v>
      </c>
      <c r="B9" s="45">
        <v>82141.339800000002</v>
      </c>
    </row>
    <row r="10" spans="1:2" x14ac:dyDescent="0.3">
      <c r="A10" s="18" t="s">
        <v>1010</v>
      </c>
      <c r="B10" s="45">
        <v>79548.755999999994</v>
      </c>
    </row>
    <row r="11" spans="1:2" x14ac:dyDescent="0.3">
      <c r="A11" s="18" t="s">
        <v>1080</v>
      </c>
      <c r="B11" s="45">
        <v>79082.507010000001</v>
      </c>
    </row>
    <row r="12" spans="1:2" x14ac:dyDescent="0.3">
      <c r="A12" s="18" t="s">
        <v>1432</v>
      </c>
      <c r="B12" s="45">
        <v>921703.1844899999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F0BCF-AC18-487B-8390-69F5B7CE59CF}">
  <dimension ref="A1:B26"/>
  <sheetViews>
    <sheetView topLeftCell="A7" workbookViewId="0">
      <selection activeCell="M22" sqref="M22"/>
    </sheetView>
  </sheetViews>
  <sheetFormatPr defaultRowHeight="14.4" x14ac:dyDescent="0.3"/>
  <cols>
    <col min="1" max="1" width="15.21875" bestFit="1" customWidth="1"/>
    <col min="2" max="2" width="17.33203125" bestFit="1" customWidth="1"/>
  </cols>
  <sheetData>
    <row r="1" spans="1:2" x14ac:dyDescent="0.3">
      <c r="A1" s="17" t="s">
        <v>1431</v>
      </c>
      <c r="B1" t="s">
        <v>1441</v>
      </c>
    </row>
    <row r="2" spans="1:2" x14ac:dyDescent="0.3">
      <c r="A2" s="18" t="s">
        <v>646</v>
      </c>
      <c r="B2" s="45">
        <v>805163.5408983198</v>
      </c>
    </row>
    <row r="3" spans="1:2" x14ac:dyDescent="0.3">
      <c r="A3" s="19" t="s">
        <v>711</v>
      </c>
      <c r="B3" s="45">
        <v>192186.25369999997</v>
      </c>
    </row>
    <row r="4" spans="1:2" x14ac:dyDescent="0.3">
      <c r="A4" s="19" t="s">
        <v>710</v>
      </c>
      <c r="B4" s="45">
        <v>216522.73646999997</v>
      </c>
    </row>
    <row r="5" spans="1:2" x14ac:dyDescent="0.3">
      <c r="A5" s="19" t="s">
        <v>709</v>
      </c>
      <c r="B5" s="45">
        <v>143876.27652000001</v>
      </c>
    </row>
    <row r="6" spans="1:2" x14ac:dyDescent="0.3">
      <c r="A6" s="19" t="s">
        <v>708</v>
      </c>
      <c r="B6" s="45">
        <v>98489.604229999997</v>
      </c>
    </row>
    <row r="7" spans="1:2" x14ac:dyDescent="0.3">
      <c r="A7" s="19" t="s">
        <v>707</v>
      </c>
      <c r="B7" s="45">
        <v>154088.66997831996</v>
      </c>
    </row>
    <row r="8" spans="1:2" x14ac:dyDescent="0.3">
      <c r="A8" s="18" t="s">
        <v>648</v>
      </c>
      <c r="B8" s="45">
        <v>819948.14023999986</v>
      </c>
    </row>
    <row r="9" spans="1:2" x14ac:dyDescent="0.3">
      <c r="A9" s="19" t="s">
        <v>711</v>
      </c>
      <c r="B9" s="45">
        <v>256317.66830999995</v>
      </c>
    </row>
    <row r="10" spans="1:2" x14ac:dyDescent="0.3">
      <c r="A10" s="19" t="s">
        <v>710</v>
      </c>
      <c r="B10" s="45">
        <v>153307.09861999998</v>
      </c>
    </row>
    <row r="11" spans="1:2" x14ac:dyDescent="0.3">
      <c r="A11" s="19" t="s">
        <v>709</v>
      </c>
      <c r="B11" s="45">
        <v>96609.647520000013</v>
      </c>
    </row>
    <row r="12" spans="1:2" x14ac:dyDescent="0.3">
      <c r="A12" s="19" t="s">
        <v>708</v>
      </c>
      <c r="B12" s="45">
        <v>244678.01656999998</v>
      </c>
    </row>
    <row r="13" spans="1:2" x14ac:dyDescent="0.3">
      <c r="A13" s="19" t="s">
        <v>707</v>
      </c>
      <c r="B13" s="45">
        <v>69035.70921999999</v>
      </c>
    </row>
    <row r="14" spans="1:2" x14ac:dyDescent="0.3">
      <c r="A14" s="18" t="s">
        <v>647</v>
      </c>
      <c r="B14" s="45">
        <v>846956.42220999999</v>
      </c>
    </row>
    <row r="15" spans="1:2" x14ac:dyDescent="0.3">
      <c r="A15" s="19" t="s">
        <v>711</v>
      </c>
      <c r="B15" s="45">
        <v>235267.48079999996</v>
      </c>
    </row>
    <row r="16" spans="1:2" x14ac:dyDescent="0.3">
      <c r="A16" s="19" t="s">
        <v>710</v>
      </c>
      <c r="B16" s="45">
        <v>150888.84763000003</v>
      </c>
    </row>
    <row r="17" spans="1:2" x14ac:dyDescent="0.3">
      <c r="A17" s="19" t="s">
        <v>709</v>
      </c>
      <c r="B17" s="45">
        <v>161288.40448</v>
      </c>
    </row>
    <row r="18" spans="1:2" x14ac:dyDescent="0.3">
      <c r="A18" s="19" t="s">
        <v>708</v>
      </c>
      <c r="B18" s="45">
        <v>147772.42488999999</v>
      </c>
    </row>
    <row r="19" spans="1:2" x14ac:dyDescent="0.3">
      <c r="A19" s="19" t="s">
        <v>707</v>
      </c>
      <c r="B19" s="45">
        <v>151739.26441</v>
      </c>
    </row>
    <row r="20" spans="1:2" x14ac:dyDescent="0.3">
      <c r="A20" s="18" t="s">
        <v>649</v>
      </c>
      <c r="B20" s="45">
        <v>914641.07188543992</v>
      </c>
    </row>
    <row r="21" spans="1:2" x14ac:dyDescent="0.3">
      <c r="A21" s="19" t="s">
        <v>711</v>
      </c>
      <c r="B21" s="45">
        <v>271628.66764999996</v>
      </c>
    </row>
    <row r="22" spans="1:2" x14ac:dyDescent="0.3">
      <c r="A22" s="19" t="s">
        <v>710</v>
      </c>
      <c r="B22" s="45">
        <v>105550.85219999998</v>
      </c>
    </row>
    <row r="23" spans="1:2" x14ac:dyDescent="0.3">
      <c r="A23" s="19" t="s">
        <v>709</v>
      </c>
      <c r="B23" s="45">
        <v>170139.65674999999</v>
      </c>
    </row>
    <row r="24" spans="1:2" x14ac:dyDescent="0.3">
      <c r="A24" s="19" t="s">
        <v>708</v>
      </c>
      <c r="B24" s="45">
        <v>200067.16277</v>
      </c>
    </row>
    <row r="25" spans="1:2" x14ac:dyDescent="0.3">
      <c r="A25" s="19" t="s">
        <v>707</v>
      </c>
      <c r="B25" s="45">
        <v>167254.73251544</v>
      </c>
    </row>
    <row r="26" spans="1:2" x14ac:dyDescent="0.3">
      <c r="A26" s="18" t="s">
        <v>1432</v>
      </c>
      <c r="B26" s="45">
        <v>3386709.1752337595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5144F-F400-45D1-8ACA-BCB636B20E06}">
  <dimension ref="A1:B14"/>
  <sheetViews>
    <sheetView workbookViewId="0">
      <selection activeCell="E23" sqref="E23"/>
    </sheetView>
  </sheetViews>
  <sheetFormatPr defaultRowHeight="14.4" x14ac:dyDescent="0.3"/>
  <cols>
    <col min="1" max="1" width="12.5546875" bestFit="1" customWidth="1"/>
    <col min="2" max="2" width="19.5546875" bestFit="1" customWidth="1"/>
  </cols>
  <sheetData>
    <row r="1" spans="1:2" x14ac:dyDescent="0.3">
      <c r="A1" s="17" t="s">
        <v>1431</v>
      </c>
      <c r="B1" t="s">
        <v>1434</v>
      </c>
    </row>
    <row r="2" spans="1:2" x14ac:dyDescent="0.3">
      <c r="A2" s="18" t="s">
        <v>1476</v>
      </c>
      <c r="B2" s="45">
        <v>652290.2715400001</v>
      </c>
    </row>
    <row r="3" spans="1:2" x14ac:dyDescent="0.3">
      <c r="A3" s="18" t="s">
        <v>1477</v>
      </c>
      <c r="B3" s="45">
        <v>937572.48318832018</v>
      </c>
    </row>
    <row r="4" spans="1:2" x14ac:dyDescent="0.3">
      <c r="A4" s="18" t="s">
        <v>1478</v>
      </c>
      <c r="B4" s="45">
        <v>804287.23636999982</v>
      </c>
    </row>
    <row r="5" spans="1:2" x14ac:dyDescent="0.3">
      <c r="A5" s="18" t="s">
        <v>1479</v>
      </c>
      <c r="B5" s="45">
        <v>927284.72852999996</v>
      </c>
    </row>
    <row r="6" spans="1:2" x14ac:dyDescent="0.3">
      <c r="A6" s="18" t="s">
        <v>1480</v>
      </c>
      <c r="B6" s="45">
        <v>1267781.4577499998</v>
      </c>
    </row>
    <row r="7" spans="1:2" x14ac:dyDescent="0.3">
      <c r="A7" s="18" t="s">
        <v>1481</v>
      </c>
      <c r="B7" s="45">
        <v>1242729.1669899998</v>
      </c>
    </row>
    <row r="8" spans="1:2" x14ac:dyDescent="0.3">
      <c r="A8" s="18" t="s">
        <v>1482</v>
      </c>
      <c r="B8" s="45">
        <v>1207001.4451500003</v>
      </c>
    </row>
    <row r="9" spans="1:2" x14ac:dyDescent="0.3">
      <c r="A9" s="18" t="s">
        <v>1483</v>
      </c>
      <c r="B9" s="45">
        <v>1053213.2877099998</v>
      </c>
    </row>
    <row r="10" spans="1:2" x14ac:dyDescent="0.3">
      <c r="A10" s="18" t="s">
        <v>1484</v>
      </c>
      <c r="B10" s="45">
        <v>629646.34445000009</v>
      </c>
    </row>
    <row r="11" spans="1:2" x14ac:dyDescent="0.3">
      <c r="A11" s="18" t="s">
        <v>1485</v>
      </c>
      <c r="B11" s="45">
        <v>673055.51477999985</v>
      </c>
    </row>
    <row r="12" spans="1:2" x14ac:dyDescent="0.3">
      <c r="A12" s="18" t="s">
        <v>1486</v>
      </c>
      <c r="B12" s="45">
        <v>502327.82867000008</v>
      </c>
    </row>
    <row r="13" spans="1:2" x14ac:dyDescent="0.3">
      <c r="A13" s="18" t="s">
        <v>1487</v>
      </c>
      <c r="B13" s="45">
        <v>724796.97010544012</v>
      </c>
    </row>
    <row r="14" spans="1:2" x14ac:dyDescent="0.3">
      <c r="A14" s="18" t="s">
        <v>1432</v>
      </c>
      <c r="B14" s="45">
        <v>10621986.73523376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BE22C-A3DC-4D5F-A475-0BEAEFC42093}">
  <sheetPr>
    <outlinePr summaryBelow="0"/>
  </sheetPr>
  <dimension ref="B1:G15"/>
  <sheetViews>
    <sheetView showGridLines="0" topLeftCell="A2" workbookViewId="0">
      <selection activeCell="E28" sqref="E27:E28"/>
    </sheetView>
  </sheetViews>
  <sheetFormatPr defaultRowHeight="14.4" outlineLevelRow="1" outlineLevelCol="1" x14ac:dyDescent="0.3"/>
  <cols>
    <col min="3" max="3" width="5.109375" bestFit="1" customWidth="1"/>
    <col min="4" max="7" width="16.88671875" bestFit="1" customWidth="1" outlineLevel="1"/>
  </cols>
  <sheetData>
    <row r="1" spans="2:7" ht="15" thickBot="1" x14ac:dyDescent="0.35"/>
    <row r="2" spans="2:7" ht="15.6" x14ac:dyDescent="0.3">
      <c r="B2" s="30" t="s">
        <v>1469</v>
      </c>
      <c r="C2" s="30"/>
      <c r="D2" s="35"/>
      <c r="E2" s="35"/>
      <c r="F2" s="35"/>
      <c r="G2" s="35"/>
    </row>
    <row r="3" spans="2:7" ht="15.6" collapsed="1" x14ac:dyDescent="0.3">
      <c r="B3" s="29"/>
      <c r="C3" s="29"/>
      <c r="D3" s="36" t="s">
        <v>1471</v>
      </c>
      <c r="E3" s="36" t="s">
        <v>1464</v>
      </c>
      <c r="F3" s="36" t="s">
        <v>1466</v>
      </c>
      <c r="G3" s="36" t="s">
        <v>1468</v>
      </c>
    </row>
    <row r="4" spans="2:7" ht="40.799999999999997" hidden="1" outlineLevel="1" x14ac:dyDescent="0.3">
      <c r="B4" s="32"/>
      <c r="C4" s="32"/>
      <c r="E4" s="38" t="s">
        <v>1465</v>
      </c>
      <c r="F4" s="38" t="s">
        <v>1467</v>
      </c>
      <c r="G4" s="38" t="s">
        <v>1467</v>
      </c>
    </row>
    <row r="5" spans="2:7" x14ac:dyDescent="0.3">
      <c r="B5" s="33" t="s">
        <v>1470</v>
      </c>
      <c r="C5" s="33"/>
      <c r="D5" s="31"/>
      <c r="E5" s="31"/>
      <c r="F5" s="31"/>
      <c r="G5" s="31"/>
    </row>
    <row r="6" spans="2:7" outlineLevel="1" x14ac:dyDescent="0.3">
      <c r="B6" s="32"/>
      <c r="C6" s="32" t="s">
        <v>1461</v>
      </c>
      <c r="D6" s="27">
        <v>0.2</v>
      </c>
      <c r="E6" s="37">
        <v>0.1</v>
      </c>
      <c r="F6" s="37">
        <v>0.25</v>
      </c>
      <c r="G6" s="37">
        <v>0.2</v>
      </c>
    </row>
    <row r="7" spans="2:7" outlineLevel="1" x14ac:dyDescent="0.3">
      <c r="B7" s="32"/>
      <c r="C7" s="32" t="s">
        <v>1462</v>
      </c>
      <c r="D7" s="27">
        <v>0.05</v>
      </c>
      <c r="E7" s="37">
        <v>0</v>
      </c>
      <c r="F7" s="37">
        <v>0.15</v>
      </c>
      <c r="G7" s="37">
        <v>0.05</v>
      </c>
    </row>
    <row r="8" spans="2:7" outlineLevel="1" x14ac:dyDescent="0.3">
      <c r="B8" s="32"/>
      <c r="C8" s="32" t="s">
        <v>1463</v>
      </c>
      <c r="D8" s="27">
        <v>0.1</v>
      </c>
      <c r="E8" s="37">
        <v>0.2</v>
      </c>
      <c r="F8" s="37">
        <v>0</v>
      </c>
      <c r="G8" s="37">
        <v>0.1</v>
      </c>
    </row>
    <row r="9" spans="2:7" x14ac:dyDescent="0.3">
      <c r="B9" s="33" t="s">
        <v>1472</v>
      </c>
      <c r="C9" s="33"/>
      <c r="D9" s="31"/>
      <c r="E9" s="31"/>
      <c r="F9" s="31"/>
      <c r="G9" s="31"/>
    </row>
    <row r="10" spans="2:7" outlineLevel="1" x14ac:dyDescent="0.3">
      <c r="B10" s="32"/>
      <c r="C10" s="32" t="s">
        <v>1461</v>
      </c>
      <c r="D10" s="27">
        <v>0.2</v>
      </c>
      <c r="E10" s="27">
        <v>0.1</v>
      </c>
      <c r="F10" s="27">
        <v>0.25</v>
      </c>
      <c r="G10" s="27">
        <v>0.2</v>
      </c>
    </row>
    <row r="11" spans="2:7" outlineLevel="1" x14ac:dyDescent="0.3">
      <c r="B11" s="32"/>
      <c r="C11" s="32" t="s">
        <v>1462</v>
      </c>
      <c r="D11" s="27">
        <v>0.05</v>
      </c>
      <c r="E11" s="27">
        <v>0</v>
      </c>
      <c r="F11" s="27">
        <v>0.15</v>
      </c>
      <c r="G11" s="27">
        <v>0.05</v>
      </c>
    </row>
    <row r="12" spans="2:7" ht="15" outlineLevel="1" thickBot="1" x14ac:dyDescent="0.35">
      <c r="B12" s="34"/>
      <c r="C12" s="34" t="s">
        <v>1463</v>
      </c>
      <c r="D12" s="28">
        <v>0.1</v>
      </c>
      <c r="E12" s="28">
        <v>0.2</v>
      </c>
      <c r="F12" s="28">
        <v>0</v>
      </c>
      <c r="G12" s="28">
        <v>0.1</v>
      </c>
    </row>
    <row r="13" spans="2:7" x14ac:dyDescent="0.3">
      <c r="B13" t="s">
        <v>1473</v>
      </c>
    </row>
    <row r="14" spans="2:7" x14ac:dyDescent="0.3">
      <c r="B14" t="s">
        <v>1474</v>
      </c>
    </row>
    <row r="15" spans="2:7" x14ac:dyDescent="0.3">
      <c r="B15" t="s">
        <v>1475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00337-CAA5-4751-AEBE-B8BC182DE7DE}">
  <dimension ref="A3:B9"/>
  <sheetViews>
    <sheetView topLeftCell="A2" workbookViewId="0">
      <selection activeCell="D28" sqref="D28"/>
    </sheetView>
  </sheetViews>
  <sheetFormatPr defaultRowHeight="14.4" x14ac:dyDescent="0.3"/>
  <cols>
    <col min="1" max="1" width="28.5546875" customWidth="1"/>
    <col min="2" max="2" width="21.5546875" customWidth="1"/>
    <col min="3" max="3" width="20.33203125" bestFit="1" customWidth="1"/>
    <col min="4" max="4" width="11.5546875" bestFit="1" customWidth="1"/>
  </cols>
  <sheetData>
    <row r="3" spans="1:2" ht="18" x14ac:dyDescent="0.35">
      <c r="A3" s="22" t="s">
        <v>1460</v>
      </c>
      <c r="B3" s="22"/>
    </row>
    <row r="4" spans="1:2" ht="18" x14ac:dyDescent="0.35">
      <c r="A4" s="23" t="s">
        <v>1448</v>
      </c>
      <c r="B4" s="23" t="s">
        <v>1452</v>
      </c>
    </row>
    <row r="5" spans="1:2" ht="18" x14ac:dyDescent="0.35">
      <c r="A5" s="24" t="s">
        <v>1449</v>
      </c>
      <c r="B5" s="25">
        <v>0.2</v>
      </c>
    </row>
    <row r="6" spans="1:2" ht="18" x14ac:dyDescent="0.35">
      <c r="A6" s="24" t="s">
        <v>1450</v>
      </c>
      <c r="B6" s="25">
        <v>0.05</v>
      </c>
    </row>
    <row r="7" spans="1:2" ht="18" x14ac:dyDescent="0.35">
      <c r="A7" s="24" t="s">
        <v>1451</v>
      </c>
      <c r="B7" s="25">
        <v>0.1</v>
      </c>
    </row>
    <row r="8" spans="1:2" ht="18" x14ac:dyDescent="0.35">
      <c r="A8" s="24" t="s">
        <v>1458</v>
      </c>
      <c r="B8" s="26">
        <f>SUM('Staging Table'!AE2:AE610)</f>
        <v>11751007.10225614</v>
      </c>
    </row>
    <row r="9" spans="1:2" ht="18" x14ac:dyDescent="0.35">
      <c r="A9" s="24" t="s">
        <v>1459</v>
      </c>
      <c r="B9" s="26">
        <f>SUM('Staging Table'!AF2:AF610)</f>
        <v>3394261.5204561357</v>
      </c>
    </row>
  </sheetData>
  <scenarios current="2" show="2" sqref="B5:B7">
    <scenario name="Best Case Scenario" locked="1" count="3" user="user" comment="Created by user on 8/3/2026_x000a__x000a_">
      <inputCells r="B5" val="0.1" numFmtId="9"/>
      <inputCells r="B6" val="0" numFmtId="9"/>
      <inputCells r="B7" val="0.2" numFmtId="9"/>
    </scenario>
    <scenario name="Worst Case Scenario" locked="1" count="3" user="user" comment="Created by user on 8/3/2026">
      <inputCells r="B5" val="0.25" numFmtId="9"/>
      <inputCells r="B6" val="0.15" numFmtId="9"/>
      <inputCells r="B7" val="0" numFmtId="9"/>
    </scenario>
    <scenario name="Base Case Scenario" locked="1" count="3" user="user" comment="Created by user on 8/3/2026">
      <inputCells r="B5" val="0.2" numFmtId="9"/>
      <inputCells r="B6" val="0.05" numFmtId="9"/>
      <inputCells r="B7" val="0.1" numFmtId="9"/>
    </scenario>
  </scenario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4C8D8-1448-4797-971A-03D9E1AFEF45}">
  <dimension ref="A3:F20"/>
  <sheetViews>
    <sheetView workbookViewId="0">
      <selection activeCell="F10" sqref="F10"/>
    </sheetView>
  </sheetViews>
  <sheetFormatPr defaultRowHeight="14.4" x14ac:dyDescent="0.3"/>
  <cols>
    <col min="1" max="1" width="15.21875" bestFit="1" customWidth="1"/>
    <col min="2" max="2" width="15.5546875" bestFit="1" customWidth="1"/>
    <col min="3" max="3" width="8.6640625" bestFit="1" customWidth="1"/>
    <col min="4" max="5" width="7" bestFit="1" customWidth="1"/>
    <col min="6" max="6" width="10.77734375" bestFit="1" customWidth="1"/>
    <col min="7" max="7" width="8.33203125" bestFit="1" customWidth="1"/>
    <col min="8" max="8" width="9" bestFit="1" customWidth="1"/>
    <col min="9" max="9" width="6.44140625" bestFit="1" customWidth="1"/>
    <col min="10" max="10" width="9.5546875" bestFit="1" customWidth="1"/>
    <col min="11" max="11" width="7" bestFit="1" customWidth="1"/>
    <col min="12" max="12" width="7.77734375" bestFit="1" customWidth="1"/>
    <col min="13" max="13" width="8.6640625" bestFit="1" customWidth="1"/>
    <col min="14" max="14" width="8" bestFit="1" customWidth="1"/>
    <col min="15" max="15" width="8.77734375" bestFit="1" customWidth="1"/>
    <col min="16" max="16" width="8.21875" bestFit="1" customWidth="1"/>
    <col min="17" max="17" width="10.77734375" bestFit="1" customWidth="1"/>
  </cols>
  <sheetData>
    <row r="3" spans="1:6" x14ac:dyDescent="0.3">
      <c r="A3" s="17" t="s">
        <v>1447</v>
      </c>
      <c r="B3" s="17" t="s">
        <v>1433</v>
      </c>
    </row>
    <row r="4" spans="1:6" x14ac:dyDescent="0.3">
      <c r="A4" s="17" t="s">
        <v>1431</v>
      </c>
      <c r="B4" t="s">
        <v>646</v>
      </c>
      <c r="C4" t="s">
        <v>648</v>
      </c>
      <c r="D4" t="s">
        <v>647</v>
      </c>
      <c r="E4" t="s">
        <v>649</v>
      </c>
      <c r="F4" t="s">
        <v>1432</v>
      </c>
    </row>
    <row r="5" spans="1:6" x14ac:dyDescent="0.3">
      <c r="A5" s="18" t="s">
        <v>720</v>
      </c>
      <c r="B5" s="10">
        <v>2.6272577996715927E-2</v>
      </c>
      <c r="C5" s="10">
        <v>1.3136288998357963E-2</v>
      </c>
      <c r="D5" s="10">
        <v>1.6420361247947456E-2</v>
      </c>
      <c r="E5" s="10">
        <v>1.6420361247947456E-2</v>
      </c>
      <c r="F5" s="10">
        <v>7.2249589490968796E-2</v>
      </c>
    </row>
    <row r="6" spans="1:6" x14ac:dyDescent="0.3">
      <c r="A6" s="18" t="s">
        <v>717</v>
      </c>
      <c r="B6" s="10">
        <v>1.3136288998357963E-2</v>
      </c>
      <c r="C6" s="10">
        <v>1.3136288998357963E-2</v>
      </c>
      <c r="D6" s="10">
        <v>2.4630541871921183E-2</v>
      </c>
      <c r="E6" s="10">
        <v>2.4630541871921183E-2</v>
      </c>
      <c r="F6" s="10">
        <v>7.5533661740558297E-2</v>
      </c>
    </row>
    <row r="7" spans="1:6" x14ac:dyDescent="0.3">
      <c r="A7" s="18" t="s">
        <v>712</v>
      </c>
      <c r="B7" s="10">
        <v>1.3136288998357963E-2</v>
      </c>
      <c r="C7" s="10">
        <v>2.1346469622331693E-2</v>
      </c>
      <c r="D7" s="10">
        <v>1.6420361247947456E-2</v>
      </c>
      <c r="E7" s="10">
        <v>8.2101806239737278E-3</v>
      </c>
      <c r="F7" s="10">
        <v>5.9113300492610835E-2</v>
      </c>
    </row>
    <row r="8" spans="1:6" x14ac:dyDescent="0.3">
      <c r="A8" s="18" t="s">
        <v>726</v>
      </c>
      <c r="B8" s="10">
        <v>1.6420361247947456E-2</v>
      </c>
      <c r="C8" s="10">
        <v>1.3136288998357963E-2</v>
      </c>
      <c r="D8" s="10">
        <v>1.3136288998357963E-2</v>
      </c>
      <c r="E8" s="10">
        <v>1.6420361247947456E-2</v>
      </c>
      <c r="F8" s="10">
        <v>5.9113300492610835E-2</v>
      </c>
    </row>
    <row r="9" spans="1:6" x14ac:dyDescent="0.3">
      <c r="A9" s="18" t="s">
        <v>718</v>
      </c>
      <c r="B9" s="10">
        <v>8.2101806239737278E-3</v>
      </c>
      <c r="C9" s="10">
        <v>8.2101806239737278E-3</v>
      </c>
      <c r="D9" s="10">
        <v>1.3136288998357963E-2</v>
      </c>
      <c r="E9" s="10">
        <v>2.4630541871921183E-2</v>
      </c>
      <c r="F9" s="10">
        <v>5.4187192118226604E-2</v>
      </c>
    </row>
    <row r="10" spans="1:6" x14ac:dyDescent="0.3">
      <c r="A10" s="18" t="s">
        <v>721</v>
      </c>
      <c r="B10" s="10">
        <v>2.1346469622331693E-2</v>
      </c>
      <c r="C10" s="10">
        <v>2.4630541871921183E-2</v>
      </c>
      <c r="D10" s="10">
        <v>1.9704433497536946E-2</v>
      </c>
      <c r="E10" s="10">
        <v>1.8062397372742199E-2</v>
      </c>
      <c r="F10" s="10">
        <v>8.3743842364532015E-2</v>
      </c>
    </row>
    <row r="11" spans="1:6" x14ac:dyDescent="0.3">
      <c r="A11" s="18" t="s">
        <v>715</v>
      </c>
      <c r="B11" s="10">
        <v>3.2840722495894909E-3</v>
      </c>
      <c r="C11" s="10">
        <v>1.3136288998357963E-2</v>
      </c>
      <c r="D11" s="10">
        <v>1.8062397372742199E-2</v>
      </c>
      <c r="E11" s="10">
        <v>1.3136288998357963E-2</v>
      </c>
      <c r="F11" s="10">
        <v>4.7619047619047616E-2</v>
      </c>
    </row>
    <row r="12" spans="1:6" x14ac:dyDescent="0.3">
      <c r="A12" s="18" t="s">
        <v>722</v>
      </c>
      <c r="B12" s="10">
        <v>9.852216748768473E-3</v>
      </c>
      <c r="C12" s="10">
        <v>1.4778325123152709E-2</v>
      </c>
      <c r="D12" s="10">
        <v>2.4630541871921183E-2</v>
      </c>
      <c r="E12" s="10">
        <v>2.1346469622331693E-2</v>
      </c>
      <c r="F12" s="10">
        <v>7.0607553366174053E-2</v>
      </c>
    </row>
    <row r="13" spans="1:6" x14ac:dyDescent="0.3">
      <c r="A13" s="18" t="s">
        <v>714</v>
      </c>
      <c r="B13" s="10">
        <v>1.3136288998357963E-2</v>
      </c>
      <c r="C13" s="10">
        <v>2.2988505747126436E-2</v>
      </c>
      <c r="D13" s="10">
        <v>1.3136288998357963E-2</v>
      </c>
      <c r="E13" s="10">
        <v>1.3136288998357963E-2</v>
      </c>
      <c r="F13" s="10">
        <v>6.2397372742200329E-2</v>
      </c>
    </row>
    <row r="14" spans="1:6" x14ac:dyDescent="0.3">
      <c r="A14" s="18" t="s">
        <v>713</v>
      </c>
      <c r="B14" s="10">
        <v>1.9704433497536946E-2</v>
      </c>
      <c r="C14" s="10">
        <v>1.6420361247947456E-2</v>
      </c>
      <c r="D14" s="10">
        <v>2.9556650246305417E-2</v>
      </c>
      <c r="E14" s="10">
        <v>1.4778325123152709E-2</v>
      </c>
      <c r="F14" s="10">
        <v>8.0459770114942528E-2</v>
      </c>
    </row>
    <row r="15" spans="1:6" x14ac:dyDescent="0.3">
      <c r="A15" s="18" t="s">
        <v>723</v>
      </c>
      <c r="B15" s="10">
        <v>2.1346469622331693E-2</v>
      </c>
      <c r="C15" s="10">
        <v>1.6420361247947456E-2</v>
      </c>
      <c r="D15" s="10">
        <v>1.1494252873563218E-2</v>
      </c>
      <c r="E15" s="10">
        <v>2.1346469622331693E-2</v>
      </c>
      <c r="F15" s="10">
        <v>7.0607553366174053E-2</v>
      </c>
    </row>
    <row r="16" spans="1:6" x14ac:dyDescent="0.3">
      <c r="A16" s="18" t="s">
        <v>716</v>
      </c>
      <c r="B16" s="10">
        <v>1.6420361247947456E-2</v>
      </c>
      <c r="C16" s="10">
        <v>1.9704433497536946E-2</v>
      </c>
      <c r="D16" s="10">
        <v>2.2988505747126436E-2</v>
      </c>
      <c r="E16" s="10">
        <v>1.6420361247947456E-2</v>
      </c>
      <c r="F16" s="10">
        <v>7.5533661740558297E-2</v>
      </c>
    </row>
    <row r="17" spans="1:6" x14ac:dyDescent="0.3">
      <c r="A17" s="18" t="s">
        <v>724</v>
      </c>
      <c r="B17" s="10">
        <v>2.4630541871921183E-2</v>
      </c>
      <c r="C17" s="10">
        <v>1.9704433497536946E-2</v>
      </c>
      <c r="D17" s="10">
        <v>1.6420361247947456E-2</v>
      </c>
      <c r="E17" s="10">
        <v>1.6420361247947456E-2</v>
      </c>
      <c r="F17" s="10">
        <v>7.7175697865353041E-2</v>
      </c>
    </row>
    <row r="18" spans="1:6" x14ac:dyDescent="0.3">
      <c r="A18" s="18" t="s">
        <v>725</v>
      </c>
      <c r="B18" s="10">
        <v>6.5681444991789817E-3</v>
      </c>
      <c r="C18" s="10">
        <v>1.1494252873563218E-2</v>
      </c>
      <c r="D18" s="10">
        <v>1.6420361247947456E-2</v>
      </c>
      <c r="E18" s="10">
        <v>1.8062397372742199E-2</v>
      </c>
      <c r="F18" s="10">
        <v>5.2545155993431854E-2</v>
      </c>
    </row>
    <row r="19" spans="1:6" x14ac:dyDescent="0.3">
      <c r="A19" s="18" t="s">
        <v>719</v>
      </c>
      <c r="B19" s="10">
        <v>1.4778325123152709E-2</v>
      </c>
      <c r="C19" s="10">
        <v>1.9704433497536946E-2</v>
      </c>
      <c r="D19" s="10">
        <v>1.1494252873563218E-2</v>
      </c>
      <c r="E19" s="10">
        <v>1.3136288998357963E-2</v>
      </c>
      <c r="F19" s="10">
        <v>5.9113300492610835E-2</v>
      </c>
    </row>
    <row r="20" spans="1:6" x14ac:dyDescent="0.3">
      <c r="A20" s="18" t="s">
        <v>1432</v>
      </c>
      <c r="B20" s="10">
        <v>0.22824302134646962</v>
      </c>
      <c r="C20" s="10">
        <v>0.24794745484400657</v>
      </c>
      <c r="D20" s="10">
        <v>0.26765188834154352</v>
      </c>
      <c r="E20" s="10">
        <v>0.25615763546798032</v>
      </c>
      <c r="F20" s="10">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C9BB2-8206-473B-A831-9D287706CA22}">
  <dimension ref="A3:F10"/>
  <sheetViews>
    <sheetView workbookViewId="0">
      <selection activeCell="C3" sqref="C3"/>
    </sheetView>
  </sheetViews>
  <sheetFormatPr defaultRowHeight="14.4" x14ac:dyDescent="0.3"/>
  <cols>
    <col min="1" max="1" width="19.5546875" bestFit="1" customWidth="1"/>
    <col min="2" max="2" width="15.5546875" bestFit="1" customWidth="1"/>
    <col min="3" max="6" width="12" bestFit="1" customWidth="1"/>
  </cols>
  <sheetData>
    <row r="3" spans="1:6" x14ac:dyDescent="0.3">
      <c r="A3" s="17" t="s">
        <v>1434</v>
      </c>
      <c r="B3" s="17" t="s">
        <v>1433</v>
      </c>
    </row>
    <row r="4" spans="1:6" x14ac:dyDescent="0.3">
      <c r="A4" s="17" t="s">
        <v>1431</v>
      </c>
      <c r="B4" t="s">
        <v>646</v>
      </c>
      <c r="C4" t="s">
        <v>648</v>
      </c>
      <c r="D4" t="s">
        <v>647</v>
      </c>
      <c r="E4" t="s">
        <v>649</v>
      </c>
      <c r="F4" t="s">
        <v>1432</v>
      </c>
    </row>
    <row r="5" spans="1:6" x14ac:dyDescent="0.3">
      <c r="A5" s="18" t="s">
        <v>711</v>
      </c>
      <c r="B5">
        <v>475695.39369999996</v>
      </c>
      <c r="C5">
        <v>743701.62831000006</v>
      </c>
      <c r="D5">
        <v>648332.15079999994</v>
      </c>
      <c r="E5">
        <v>803097.64764999994</v>
      </c>
      <c r="F5">
        <v>2670826.8204600001</v>
      </c>
    </row>
    <row r="6" spans="1:6" x14ac:dyDescent="0.3">
      <c r="A6" s="18" t="s">
        <v>710</v>
      </c>
      <c r="B6">
        <v>648374.49647000001</v>
      </c>
      <c r="C6">
        <v>496759.69861999992</v>
      </c>
      <c r="D6">
        <v>508677.36763000011</v>
      </c>
      <c r="E6">
        <v>318736.67219999991</v>
      </c>
      <c r="F6">
        <v>1972548.2349200002</v>
      </c>
    </row>
    <row r="7" spans="1:6" x14ac:dyDescent="0.3">
      <c r="A7" s="18" t="s">
        <v>709</v>
      </c>
      <c r="B7">
        <v>474202.36651999992</v>
      </c>
      <c r="C7">
        <v>366375.92752000003</v>
      </c>
      <c r="D7">
        <v>572278.53447999991</v>
      </c>
      <c r="E7">
        <v>628123.37675000005</v>
      </c>
      <c r="F7">
        <v>2040980.20527</v>
      </c>
    </row>
    <row r="8" spans="1:6" x14ac:dyDescent="0.3">
      <c r="A8" s="18" t="s">
        <v>708</v>
      </c>
      <c r="B8">
        <v>331283.39422999998</v>
      </c>
      <c r="C8" s="21">
        <v>654555.17657000001</v>
      </c>
      <c r="D8">
        <v>396301.70488999999</v>
      </c>
      <c r="E8" s="21">
        <v>585406.72277000011</v>
      </c>
      <c r="F8">
        <v>1967546.9984600001</v>
      </c>
    </row>
    <row r="9" spans="1:6" x14ac:dyDescent="0.3">
      <c r="A9" s="18" t="s">
        <v>707</v>
      </c>
      <c r="B9">
        <v>531639.21997832006</v>
      </c>
      <c r="C9">
        <v>302853.57922000001</v>
      </c>
      <c r="D9">
        <v>653613.00441000005</v>
      </c>
      <c r="E9">
        <v>481978.67251544003</v>
      </c>
      <c r="F9">
        <v>1970084.4761237602</v>
      </c>
    </row>
    <row r="10" spans="1:6" x14ac:dyDescent="0.3">
      <c r="A10" s="18" t="s">
        <v>1432</v>
      </c>
      <c r="B10">
        <v>2461194.8708983199</v>
      </c>
      <c r="C10">
        <v>2564246.0102400002</v>
      </c>
      <c r="D10">
        <v>2779202.7622100003</v>
      </c>
      <c r="E10">
        <v>2817343.0918854401</v>
      </c>
      <c r="F10">
        <v>10621986.73523376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1C709-BAE2-4B4E-A819-3465643390FB}">
  <dimension ref="A3:D17"/>
  <sheetViews>
    <sheetView workbookViewId="0">
      <selection activeCell="E9" sqref="E9"/>
    </sheetView>
  </sheetViews>
  <sheetFormatPr defaultRowHeight="14.4" x14ac:dyDescent="0.3"/>
  <cols>
    <col min="1" max="1" width="18.21875" bestFit="1" customWidth="1"/>
    <col min="2" max="2" width="15.5546875" bestFit="1" customWidth="1"/>
    <col min="3" max="3" width="8" bestFit="1" customWidth="1"/>
    <col min="4" max="5" width="10.77734375" bestFit="1" customWidth="1"/>
  </cols>
  <sheetData>
    <row r="3" spans="1:4" x14ac:dyDescent="0.3">
      <c r="A3" s="17" t="s">
        <v>1445</v>
      </c>
      <c r="B3" s="17" t="s">
        <v>1433</v>
      </c>
    </row>
    <row r="4" spans="1:4" x14ac:dyDescent="0.3">
      <c r="A4" s="17" t="s">
        <v>1431</v>
      </c>
      <c r="B4" t="s">
        <v>1443</v>
      </c>
      <c r="C4" t="s">
        <v>1444</v>
      </c>
      <c r="D4" t="s">
        <v>1432</v>
      </c>
    </row>
    <row r="5" spans="1:4" x14ac:dyDescent="0.3">
      <c r="A5" s="18" t="s">
        <v>655</v>
      </c>
      <c r="B5" s="10">
        <v>1.9704433497536946E-2</v>
      </c>
      <c r="C5" s="10">
        <v>7.5533661740558297E-2</v>
      </c>
      <c r="D5" s="10">
        <v>9.5238095238095233E-2</v>
      </c>
    </row>
    <row r="6" spans="1:4" x14ac:dyDescent="0.3">
      <c r="A6" s="18" t="s">
        <v>653</v>
      </c>
      <c r="B6" s="10">
        <v>9.852216748768473E-3</v>
      </c>
      <c r="C6" s="10">
        <v>6.0755336617405585E-2</v>
      </c>
      <c r="D6" s="10">
        <v>7.0607553366174053E-2</v>
      </c>
    </row>
    <row r="7" spans="1:4" x14ac:dyDescent="0.3">
      <c r="A7" s="18" t="s">
        <v>659</v>
      </c>
      <c r="B7" s="10">
        <v>1.4778325123152709E-2</v>
      </c>
      <c r="C7" s="10">
        <v>6.5681444991789822E-2</v>
      </c>
      <c r="D7" s="10">
        <v>8.0459770114942528E-2</v>
      </c>
    </row>
    <row r="8" spans="1:4" x14ac:dyDescent="0.3">
      <c r="A8" s="18" t="s">
        <v>657</v>
      </c>
      <c r="B8" s="10">
        <v>1.9704433497536946E-2</v>
      </c>
      <c r="C8" s="10">
        <v>6.7323481116584566E-2</v>
      </c>
      <c r="D8" s="10">
        <v>8.7027914614121515E-2</v>
      </c>
    </row>
    <row r="9" spans="1:4" x14ac:dyDescent="0.3">
      <c r="A9" s="18" t="s">
        <v>656</v>
      </c>
      <c r="B9" s="10">
        <v>1.8062397372742199E-2</v>
      </c>
      <c r="C9" s="10">
        <v>6.5681444991789822E-2</v>
      </c>
      <c r="D9" s="10">
        <v>8.3743842364532015E-2</v>
      </c>
    </row>
    <row r="10" spans="1:4" x14ac:dyDescent="0.3">
      <c r="A10" s="18" t="s">
        <v>654</v>
      </c>
      <c r="B10" s="10">
        <v>1.8062397372742199E-2</v>
      </c>
      <c r="C10" s="10">
        <v>7.5533661740558297E-2</v>
      </c>
      <c r="D10" s="10">
        <v>9.3596059113300489E-2</v>
      </c>
    </row>
    <row r="11" spans="1:4" x14ac:dyDescent="0.3">
      <c r="A11" s="18" t="s">
        <v>652</v>
      </c>
      <c r="B11" s="10">
        <v>1.6420361247947456E-2</v>
      </c>
      <c r="C11" s="10">
        <v>7.7175697865353041E-2</v>
      </c>
      <c r="D11" s="10">
        <v>9.3596059113300489E-2</v>
      </c>
    </row>
    <row r="12" spans="1:4" x14ac:dyDescent="0.3">
      <c r="A12" s="18" t="s">
        <v>650</v>
      </c>
      <c r="B12" s="10">
        <v>2.4630541871921183E-2</v>
      </c>
      <c r="C12" s="10">
        <v>6.5681444991789822E-2</v>
      </c>
      <c r="D12" s="10">
        <v>9.0311986863711002E-2</v>
      </c>
    </row>
    <row r="13" spans="1:4" x14ac:dyDescent="0.3">
      <c r="A13" s="18" t="s">
        <v>651</v>
      </c>
      <c r="B13" s="10">
        <v>2.1346469622331693E-2</v>
      </c>
      <c r="C13" s="10">
        <v>4.7619047619047616E-2</v>
      </c>
      <c r="D13" s="10">
        <v>6.8965517241379309E-2</v>
      </c>
    </row>
    <row r="14" spans="1:4" x14ac:dyDescent="0.3">
      <c r="A14" s="18" t="s">
        <v>661</v>
      </c>
      <c r="B14" s="10">
        <v>1.3136288998357963E-2</v>
      </c>
      <c r="C14" s="10">
        <v>5.5829228243021348E-2</v>
      </c>
      <c r="D14" s="10">
        <v>6.8965517241379309E-2</v>
      </c>
    </row>
    <row r="15" spans="1:4" x14ac:dyDescent="0.3">
      <c r="A15" s="18" t="s">
        <v>658</v>
      </c>
      <c r="B15" s="10">
        <v>2.1346469622331693E-2</v>
      </c>
      <c r="C15" s="10">
        <v>6.4039408866995079E-2</v>
      </c>
      <c r="D15" s="10">
        <v>8.5385878489326772E-2</v>
      </c>
    </row>
    <row r="16" spans="1:4" x14ac:dyDescent="0.3">
      <c r="A16" s="18" t="s">
        <v>660</v>
      </c>
      <c r="B16" s="10">
        <v>2.2988505747126436E-2</v>
      </c>
      <c r="C16" s="10">
        <v>5.9113300492610835E-2</v>
      </c>
      <c r="D16" s="10">
        <v>8.2101806239737271E-2</v>
      </c>
    </row>
    <row r="17" spans="1:4" x14ac:dyDescent="0.3">
      <c r="A17" s="18" t="s">
        <v>1432</v>
      </c>
      <c r="B17" s="10">
        <v>0.2200328407224959</v>
      </c>
      <c r="C17" s="10">
        <v>0.77996715927750415</v>
      </c>
      <c r="D17" s="10">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8EED0-E6C7-495B-BD0E-DFF15D2D3F45}">
  <dimension ref="A3:E19"/>
  <sheetViews>
    <sheetView workbookViewId="0">
      <selection activeCell="E19" sqref="E19"/>
    </sheetView>
  </sheetViews>
  <sheetFormatPr defaultRowHeight="14.4" x14ac:dyDescent="0.3"/>
  <cols>
    <col min="1" max="1" width="19.5546875" bestFit="1" customWidth="1"/>
    <col min="2" max="2" width="15.5546875" bestFit="1" customWidth="1"/>
    <col min="3" max="39" width="12" bestFit="1" customWidth="1"/>
    <col min="40" max="40" width="8.77734375" bestFit="1" customWidth="1"/>
    <col min="41" max="41" width="10" bestFit="1" customWidth="1"/>
    <col min="42" max="42" width="12" bestFit="1" customWidth="1"/>
    <col min="43" max="43" width="10" bestFit="1" customWidth="1"/>
    <col min="44" max="47" width="12" bestFit="1" customWidth="1"/>
    <col min="48" max="48" width="11" bestFit="1" customWidth="1"/>
    <col min="49" max="51" width="12" bestFit="1" customWidth="1"/>
    <col min="52" max="52" width="10" bestFit="1" customWidth="1"/>
    <col min="53" max="53" width="9.77734375" bestFit="1" customWidth="1"/>
    <col min="54" max="54" width="10" bestFit="1" customWidth="1"/>
    <col min="55" max="55" width="12" bestFit="1" customWidth="1"/>
    <col min="56" max="56" width="8.77734375" bestFit="1" customWidth="1"/>
    <col min="57" max="58" width="11" bestFit="1" customWidth="1"/>
    <col min="59" max="66" width="12" bestFit="1" customWidth="1"/>
    <col min="67" max="67" width="11" bestFit="1" customWidth="1"/>
    <col min="68" max="68" width="12" bestFit="1" customWidth="1"/>
    <col min="69" max="69" width="10" bestFit="1" customWidth="1"/>
    <col min="70" max="70" width="9" bestFit="1" customWidth="1"/>
    <col min="71" max="71" width="12" bestFit="1" customWidth="1"/>
    <col min="72" max="72" width="10" bestFit="1" customWidth="1"/>
    <col min="73" max="75" width="11" bestFit="1" customWidth="1"/>
    <col min="76" max="76" width="12" bestFit="1" customWidth="1"/>
    <col min="77" max="77" width="11" bestFit="1" customWidth="1"/>
    <col min="78" max="78" width="12" bestFit="1" customWidth="1"/>
    <col min="79" max="80" width="9.77734375" bestFit="1" customWidth="1"/>
    <col min="81" max="81" width="12" bestFit="1" customWidth="1"/>
    <col min="82" max="82" width="10" bestFit="1" customWidth="1"/>
    <col min="83" max="83" width="12" bestFit="1" customWidth="1"/>
    <col min="84" max="84" width="10" bestFit="1" customWidth="1"/>
    <col min="85" max="85" width="11" bestFit="1" customWidth="1"/>
    <col min="86" max="86" width="12" bestFit="1" customWidth="1"/>
    <col min="87" max="87" width="11" bestFit="1" customWidth="1"/>
    <col min="88" max="88" width="9" bestFit="1" customWidth="1"/>
    <col min="89" max="89" width="11" bestFit="1" customWidth="1"/>
    <col min="90" max="95" width="12" bestFit="1" customWidth="1"/>
    <col min="96" max="97" width="10" bestFit="1" customWidth="1"/>
    <col min="98" max="99" width="12" bestFit="1" customWidth="1"/>
    <col min="100" max="100" width="11" bestFit="1" customWidth="1"/>
    <col min="101" max="101" width="12" bestFit="1" customWidth="1"/>
    <col min="102" max="102" width="9" bestFit="1" customWidth="1"/>
    <col min="103" max="103" width="12" bestFit="1" customWidth="1"/>
    <col min="104" max="104" width="11" bestFit="1" customWidth="1"/>
    <col min="105" max="105" width="9.77734375" bestFit="1" customWidth="1"/>
    <col min="106" max="106" width="11" bestFit="1" customWidth="1"/>
    <col min="107" max="107" width="12" bestFit="1" customWidth="1"/>
    <col min="108" max="108" width="11" bestFit="1" customWidth="1"/>
    <col min="109" max="110" width="9.77734375" bestFit="1" customWidth="1"/>
    <col min="111" max="111" width="12" bestFit="1" customWidth="1"/>
    <col min="112" max="112" width="10" bestFit="1" customWidth="1"/>
    <col min="113" max="114" width="12" bestFit="1" customWidth="1"/>
    <col min="115" max="115" width="10" bestFit="1" customWidth="1"/>
    <col min="116" max="116" width="12" bestFit="1" customWidth="1"/>
    <col min="117" max="117" width="10" bestFit="1" customWidth="1"/>
    <col min="118" max="120" width="11" bestFit="1" customWidth="1"/>
    <col min="121" max="122" width="10" bestFit="1" customWidth="1"/>
    <col min="123" max="123" width="12" bestFit="1" customWidth="1"/>
    <col min="124" max="124" width="9.77734375" bestFit="1" customWidth="1"/>
    <col min="125" max="125" width="12" bestFit="1" customWidth="1"/>
    <col min="126" max="126" width="10" bestFit="1" customWidth="1"/>
    <col min="127" max="127" width="12" bestFit="1" customWidth="1"/>
    <col min="128" max="129" width="11" bestFit="1" customWidth="1"/>
    <col min="130" max="130" width="10.77734375" bestFit="1" customWidth="1"/>
    <col min="131" max="131" width="12" bestFit="1" customWidth="1"/>
    <col min="132" max="132" width="10.77734375" bestFit="1" customWidth="1"/>
    <col min="133" max="133" width="12" bestFit="1" customWidth="1"/>
    <col min="134" max="135" width="10.77734375" bestFit="1" customWidth="1"/>
    <col min="136" max="137" width="11" bestFit="1" customWidth="1"/>
    <col min="138" max="138" width="12" bestFit="1" customWidth="1"/>
    <col min="139" max="139" width="10.77734375" bestFit="1" customWidth="1"/>
    <col min="140" max="140" width="12" bestFit="1" customWidth="1"/>
    <col min="141" max="142" width="10.77734375" bestFit="1" customWidth="1"/>
    <col min="143" max="143" width="12" bestFit="1" customWidth="1"/>
    <col min="144" max="144" width="10" bestFit="1" customWidth="1"/>
    <col min="145" max="146" width="12" bestFit="1" customWidth="1"/>
    <col min="147" max="147" width="9.77734375" bestFit="1" customWidth="1"/>
    <col min="148" max="149" width="11" bestFit="1" customWidth="1"/>
    <col min="150" max="150" width="10.77734375" bestFit="1" customWidth="1"/>
    <col min="151" max="152" width="12" bestFit="1" customWidth="1"/>
    <col min="153" max="153" width="11" bestFit="1" customWidth="1"/>
    <col min="154" max="155" width="12" bestFit="1" customWidth="1"/>
    <col min="156" max="156" width="11" bestFit="1" customWidth="1"/>
    <col min="157" max="161" width="12" bestFit="1" customWidth="1"/>
    <col min="162" max="162" width="9" bestFit="1" customWidth="1"/>
    <col min="163" max="163" width="10" bestFit="1" customWidth="1"/>
    <col min="164" max="164" width="9.77734375" bestFit="1" customWidth="1"/>
    <col min="165" max="166" width="11" bestFit="1" customWidth="1"/>
    <col min="167" max="167" width="10" bestFit="1" customWidth="1"/>
    <col min="168" max="168" width="12" bestFit="1" customWidth="1"/>
    <col min="169" max="169" width="9.77734375" bestFit="1" customWidth="1"/>
    <col min="170" max="171" width="11" bestFit="1" customWidth="1"/>
    <col min="172" max="175" width="12" bestFit="1" customWidth="1"/>
    <col min="176" max="176" width="11" bestFit="1" customWidth="1"/>
    <col min="177" max="178" width="12" bestFit="1" customWidth="1"/>
    <col min="179" max="180" width="10" bestFit="1" customWidth="1"/>
    <col min="181" max="181" width="11" bestFit="1" customWidth="1"/>
    <col min="182" max="183" width="12" bestFit="1" customWidth="1"/>
    <col min="184" max="185" width="9.77734375" bestFit="1" customWidth="1"/>
    <col min="186" max="187" width="11" bestFit="1" customWidth="1"/>
    <col min="188" max="188" width="9" bestFit="1" customWidth="1"/>
    <col min="189" max="189" width="11" bestFit="1" customWidth="1"/>
    <col min="190" max="190" width="12" bestFit="1" customWidth="1"/>
    <col min="191" max="192" width="11" bestFit="1" customWidth="1"/>
    <col min="193" max="194" width="12" bestFit="1" customWidth="1"/>
    <col min="195" max="195" width="11" bestFit="1" customWidth="1"/>
    <col min="196" max="196" width="12" bestFit="1" customWidth="1"/>
    <col min="197" max="198" width="10" bestFit="1" customWidth="1"/>
    <col min="199" max="200" width="11" bestFit="1" customWidth="1"/>
    <col min="201" max="201" width="12" bestFit="1" customWidth="1"/>
    <col min="202" max="202" width="9.77734375" bestFit="1" customWidth="1"/>
    <col min="203" max="204" width="10" bestFit="1" customWidth="1"/>
    <col min="205" max="206" width="12" bestFit="1" customWidth="1"/>
    <col min="207" max="207" width="9" bestFit="1" customWidth="1"/>
    <col min="208" max="208" width="12" bestFit="1" customWidth="1"/>
    <col min="209" max="209" width="11" bestFit="1" customWidth="1"/>
    <col min="210" max="211" width="12" bestFit="1" customWidth="1"/>
    <col min="212" max="212" width="11" bestFit="1" customWidth="1"/>
    <col min="213" max="213" width="10" bestFit="1" customWidth="1"/>
    <col min="214" max="214" width="9.77734375" bestFit="1" customWidth="1"/>
    <col min="215" max="215" width="11" bestFit="1" customWidth="1"/>
    <col min="216" max="216" width="10" bestFit="1" customWidth="1"/>
    <col min="217" max="217" width="11" bestFit="1" customWidth="1"/>
    <col min="218" max="219" width="12" bestFit="1" customWidth="1"/>
    <col min="220" max="220" width="9" bestFit="1" customWidth="1"/>
    <col min="221" max="221" width="11" bestFit="1" customWidth="1"/>
    <col min="222" max="222" width="10" bestFit="1" customWidth="1"/>
    <col min="223" max="223" width="11" bestFit="1" customWidth="1"/>
    <col min="224" max="224" width="9.77734375" bestFit="1" customWidth="1"/>
    <col min="225" max="226" width="12" bestFit="1" customWidth="1"/>
    <col min="227" max="227" width="10" bestFit="1" customWidth="1"/>
    <col min="228" max="228" width="12" bestFit="1" customWidth="1"/>
    <col min="229" max="229" width="11" bestFit="1" customWidth="1"/>
    <col min="230" max="232" width="12" bestFit="1" customWidth="1"/>
    <col min="233" max="234" width="10" bestFit="1" customWidth="1"/>
    <col min="235" max="236" width="12" bestFit="1" customWidth="1"/>
    <col min="237" max="237" width="11" bestFit="1" customWidth="1"/>
    <col min="238" max="240" width="12" bestFit="1" customWidth="1"/>
    <col min="241" max="241" width="11" bestFit="1" customWidth="1"/>
    <col min="242" max="242" width="9" bestFit="1" customWidth="1"/>
    <col min="243" max="243" width="12" bestFit="1" customWidth="1"/>
    <col min="244" max="244" width="9.77734375" bestFit="1" customWidth="1"/>
    <col min="245" max="245" width="11" bestFit="1" customWidth="1"/>
    <col min="246" max="246" width="12" bestFit="1" customWidth="1"/>
    <col min="247" max="247" width="10" bestFit="1" customWidth="1"/>
    <col min="248" max="249" width="11" bestFit="1" customWidth="1"/>
    <col min="250" max="250" width="9.77734375" bestFit="1" customWidth="1"/>
    <col min="251" max="251" width="12" bestFit="1" customWidth="1"/>
    <col min="252" max="252" width="11" bestFit="1" customWidth="1"/>
    <col min="253" max="256" width="12" bestFit="1" customWidth="1"/>
    <col min="257" max="258" width="10" bestFit="1" customWidth="1"/>
    <col min="259" max="261" width="12" bestFit="1" customWidth="1"/>
    <col min="262" max="262" width="10" bestFit="1" customWidth="1"/>
    <col min="263" max="265" width="11" bestFit="1" customWidth="1"/>
    <col min="266" max="267" width="10" bestFit="1" customWidth="1"/>
    <col min="268" max="270" width="12" bestFit="1" customWidth="1"/>
    <col min="271" max="271" width="11" bestFit="1" customWidth="1"/>
    <col min="272" max="272" width="9.77734375" bestFit="1" customWidth="1"/>
    <col min="273" max="274" width="11" bestFit="1" customWidth="1"/>
    <col min="275" max="275" width="9.77734375" bestFit="1" customWidth="1"/>
    <col min="276" max="276" width="12" bestFit="1" customWidth="1"/>
    <col min="277" max="279" width="11" bestFit="1" customWidth="1"/>
    <col min="280" max="280" width="10" bestFit="1" customWidth="1"/>
    <col min="281" max="281" width="11" bestFit="1" customWidth="1"/>
    <col min="282" max="290" width="12" bestFit="1" customWidth="1"/>
    <col min="291" max="291" width="9.77734375" bestFit="1" customWidth="1"/>
    <col min="292" max="292" width="12" bestFit="1" customWidth="1"/>
    <col min="293" max="293" width="11" bestFit="1" customWidth="1"/>
    <col min="294" max="295" width="12" bestFit="1" customWidth="1"/>
    <col min="296" max="296" width="10" bestFit="1" customWidth="1"/>
    <col min="297" max="298" width="11" bestFit="1" customWidth="1"/>
    <col min="299" max="300" width="12" bestFit="1" customWidth="1"/>
    <col min="301" max="302" width="10.77734375" bestFit="1" customWidth="1"/>
    <col min="303" max="304" width="12" bestFit="1" customWidth="1"/>
    <col min="305" max="305" width="11" bestFit="1" customWidth="1"/>
    <col min="306" max="306" width="10.77734375" bestFit="1" customWidth="1"/>
    <col min="307" max="307" width="11" bestFit="1" customWidth="1"/>
    <col min="308" max="309" width="10.77734375" bestFit="1" customWidth="1"/>
    <col min="310" max="313" width="12" bestFit="1" customWidth="1"/>
    <col min="314" max="315" width="10" bestFit="1" customWidth="1"/>
    <col min="316" max="316" width="9.77734375" bestFit="1" customWidth="1"/>
    <col min="317" max="317" width="11" bestFit="1" customWidth="1"/>
    <col min="318" max="318" width="10.77734375" bestFit="1" customWidth="1"/>
    <col min="319" max="319" width="12" bestFit="1" customWidth="1"/>
    <col min="320" max="321" width="11" bestFit="1" customWidth="1"/>
    <col min="322" max="322" width="10.77734375" bestFit="1" customWidth="1"/>
    <col min="323" max="324" width="11" bestFit="1" customWidth="1"/>
    <col min="325" max="325" width="10" bestFit="1" customWidth="1"/>
    <col min="326" max="326" width="9.77734375" bestFit="1" customWidth="1"/>
    <col min="327" max="328" width="11" bestFit="1" customWidth="1"/>
    <col min="329" max="330" width="12" bestFit="1" customWidth="1"/>
    <col min="331" max="332" width="11" bestFit="1" customWidth="1"/>
    <col min="333" max="333" width="12" bestFit="1" customWidth="1"/>
    <col min="334" max="334" width="11" bestFit="1" customWidth="1"/>
    <col min="335" max="335" width="12" bestFit="1" customWidth="1"/>
    <col min="336" max="336" width="10.77734375" bestFit="1" customWidth="1"/>
    <col min="337" max="337" width="11" bestFit="1" customWidth="1"/>
    <col min="338" max="338" width="12" bestFit="1" customWidth="1"/>
    <col min="339" max="339" width="10.77734375" bestFit="1" customWidth="1"/>
    <col min="340" max="340" width="11" bestFit="1" customWidth="1"/>
    <col min="341" max="342" width="9" bestFit="1" customWidth="1"/>
    <col min="343" max="345" width="11" bestFit="1" customWidth="1"/>
    <col min="346" max="348" width="10" bestFit="1" customWidth="1"/>
    <col min="349" max="349" width="12" bestFit="1" customWidth="1"/>
    <col min="350" max="350" width="11" bestFit="1" customWidth="1"/>
    <col min="351" max="352" width="9.77734375" bestFit="1" customWidth="1"/>
    <col min="353" max="353" width="10" bestFit="1" customWidth="1"/>
    <col min="354" max="354" width="9" bestFit="1" customWidth="1"/>
    <col min="355" max="355" width="11" bestFit="1" customWidth="1"/>
    <col min="356" max="356" width="12" bestFit="1" customWidth="1"/>
    <col min="357" max="357" width="11" bestFit="1" customWidth="1"/>
    <col min="358" max="358" width="12" bestFit="1" customWidth="1"/>
    <col min="359" max="359" width="11" bestFit="1" customWidth="1"/>
    <col min="360" max="360" width="12" bestFit="1" customWidth="1"/>
    <col min="361" max="363" width="11" bestFit="1" customWidth="1"/>
    <col min="364" max="364" width="12" bestFit="1" customWidth="1"/>
    <col min="365" max="366" width="10" bestFit="1" customWidth="1"/>
    <col min="367" max="367" width="11" bestFit="1" customWidth="1"/>
    <col min="368" max="368" width="9" bestFit="1" customWidth="1"/>
    <col min="369" max="369" width="11" bestFit="1" customWidth="1"/>
    <col min="370" max="371" width="12" bestFit="1" customWidth="1"/>
    <col min="372" max="372" width="9.77734375" bestFit="1" customWidth="1"/>
    <col min="373" max="373" width="11" bestFit="1" customWidth="1"/>
    <col min="374" max="375" width="12" bestFit="1" customWidth="1"/>
    <col min="376" max="376" width="11" bestFit="1" customWidth="1"/>
    <col min="377" max="377" width="12" bestFit="1" customWidth="1"/>
    <col min="378" max="379" width="11" bestFit="1" customWidth="1"/>
    <col min="380" max="380" width="9.77734375" bestFit="1" customWidth="1"/>
    <col min="381" max="381" width="10" bestFit="1" customWidth="1"/>
    <col min="382" max="382" width="11" bestFit="1" customWidth="1"/>
    <col min="383" max="384" width="12" bestFit="1" customWidth="1"/>
    <col min="385" max="385" width="11" bestFit="1" customWidth="1"/>
    <col min="386" max="386" width="9.77734375" bestFit="1" customWidth="1"/>
    <col min="387" max="387" width="10" bestFit="1" customWidth="1"/>
    <col min="388" max="388" width="11" bestFit="1" customWidth="1"/>
    <col min="389" max="389" width="9.77734375" bestFit="1" customWidth="1"/>
    <col min="390" max="391" width="12" bestFit="1" customWidth="1"/>
    <col min="392" max="392" width="11" bestFit="1" customWidth="1"/>
    <col min="393" max="393" width="10" bestFit="1" customWidth="1"/>
    <col min="394" max="395" width="11" bestFit="1" customWidth="1"/>
    <col min="396" max="396" width="12" bestFit="1" customWidth="1"/>
    <col min="397" max="398" width="10" bestFit="1" customWidth="1"/>
    <col min="399" max="399" width="12" bestFit="1" customWidth="1"/>
    <col min="400" max="400" width="11" bestFit="1" customWidth="1"/>
    <col min="401" max="401" width="12" bestFit="1" customWidth="1"/>
    <col min="402" max="402" width="10" bestFit="1" customWidth="1"/>
    <col min="403" max="403" width="11" bestFit="1" customWidth="1"/>
    <col min="404" max="404" width="12" bestFit="1" customWidth="1"/>
    <col min="405" max="405" width="11" bestFit="1" customWidth="1"/>
    <col min="406" max="406" width="9.77734375" bestFit="1" customWidth="1"/>
    <col min="407" max="410" width="12" bestFit="1" customWidth="1"/>
    <col min="411" max="412" width="10" bestFit="1" customWidth="1"/>
    <col min="413" max="413" width="12" bestFit="1" customWidth="1"/>
    <col min="414" max="414" width="10" bestFit="1" customWidth="1"/>
    <col min="415" max="415" width="12" bestFit="1" customWidth="1"/>
    <col min="416" max="416" width="11" bestFit="1" customWidth="1"/>
    <col min="417" max="418" width="10" bestFit="1" customWidth="1"/>
    <col min="419" max="419" width="12" bestFit="1" customWidth="1"/>
    <col min="420" max="420" width="11" bestFit="1" customWidth="1"/>
    <col min="421" max="422" width="12" bestFit="1" customWidth="1"/>
    <col min="423" max="423" width="11" bestFit="1" customWidth="1"/>
    <col min="424" max="424" width="10" bestFit="1" customWidth="1"/>
    <col min="425" max="425" width="12" bestFit="1" customWidth="1"/>
    <col min="426" max="426" width="10" bestFit="1" customWidth="1"/>
    <col min="427" max="427" width="11" bestFit="1" customWidth="1"/>
    <col min="428" max="430" width="12" bestFit="1" customWidth="1"/>
    <col min="431" max="432" width="11" bestFit="1" customWidth="1"/>
    <col min="433" max="433" width="12" bestFit="1" customWidth="1"/>
    <col min="434" max="435" width="11" bestFit="1" customWidth="1"/>
    <col min="436" max="437" width="12" bestFit="1" customWidth="1"/>
    <col min="438" max="438" width="11" bestFit="1" customWidth="1"/>
    <col min="439" max="439" width="12" bestFit="1" customWidth="1"/>
    <col min="440" max="441" width="11" bestFit="1" customWidth="1"/>
    <col min="442" max="442" width="12" bestFit="1" customWidth="1"/>
    <col min="443" max="443" width="10" bestFit="1" customWidth="1"/>
    <col min="444" max="444" width="11" bestFit="1" customWidth="1"/>
    <col min="445" max="445" width="9.77734375" bestFit="1" customWidth="1"/>
    <col min="446" max="447" width="12" bestFit="1" customWidth="1"/>
    <col min="448" max="448" width="11" bestFit="1" customWidth="1"/>
    <col min="449" max="449" width="12" bestFit="1" customWidth="1"/>
    <col min="450" max="450" width="11" bestFit="1" customWidth="1"/>
    <col min="451" max="451" width="8.77734375" bestFit="1" customWidth="1"/>
    <col min="452" max="453" width="12" bestFit="1" customWidth="1"/>
    <col min="454" max="454" width="11" bestFit="1" customWidth="1"/>
    <col min="455" max="455" width="10" bestFit="1" customWidth="1"/>
    <col min="456" max="459" width="12" bestFit="1" customWidth="1"/>
  </cols>
  <sheetData>
    <row r="3" spans="1:5" x14ac:dyDescent="0.3">
      <c r="A3" s="17" t="s">
        <v>1434</v>
      </c>
      <c r="B3" s="17" t="s">
        <v>1433</v>
      </c>
    </row>
    <row r="4" spans="1:5" x14ac:dyDescent="0.3">
      <c r="B4" t="s">
        <v>1435</v>
      </c>
      <c r="C4" t="s">
        <v>1436</v>
      </c>
      <c r="D4" t="s">
        <v>1437</v>
      </c>
      <c r="E4" t="s">
        <v>1432</v>
      </c>
    </row>
    <row r="6" spans="1:5" x14ac:dyDescent="0.3">
      <c r="A6" s="17" t="s">
        <v>1431</v>
      </c>
    </row>
    <row r="7" spans="1:5" x14ac:dyDescent="0.3">
      <c r="A7" s="18" t="s">
        <v>655</v>
      </c>
      <c r="B7">
        <v>361577.36338</v>
      </c>
      <c r="C7">
        <v>232258.25321</v>
      </c>
      <c r="D7">
        <v>357205.44253</v>
      </c>
      <c r="E7">
        <v>951041.05911999999</v>
      </c>
    </row>
    <row r="8" spans="1:5" x14ac:dyDescent="0.3">
      <c r="A8" s="18" t="s">
        <v>653</v>
      </c>
      <c r="B8">
        <v>249507.26559999996</v>
      </c>
      <c r="C8">
        <v>327555.67992999998</v>
      </c>
      <c r="D8">
        <v>276703.55801000004</v>
      </c>
      <c r="E8">
        <v>853766.50353999995</v>
      </c>
    </row>
    <row r="9" spans="1:5" x14ac:dyDescent="0.3">
      <c r="A9" s="18" t="s">
        <v>659</v>
      </c>
      <c r="B9">
        <v>295037.37711</v>
      </c>
      <c r="C9">
        <v>431317.10412000003</v>
      </c>
      <c r="D9">
        <v>184532.58705</v>
      </c>
      <c r="E9">
        <v>910887.06828000001</v>
      </c>
    </row>
    <row r="10" spans="1:5" x14ac:dyDescent="0.3">
      <c r="A10" s="18" t="s">
        <v>657</v>
      </c>
      <c r="B10">
        <v>269344.22399000003</v>
      </c>
      <c r="C10">
        <v>332686.45244000002</v>
      </c>
      <c r="D10">
        <v>209865.14050000004</v>
      </c>
      <c r="E10">
        <v>811895.81692999997</v>
      </c>
    </row>
    <row r="11" spans="1:5" x14ac:dyDescent="0.3">
      <c r="A11" s="18" t="s">
        <v>656</v>
      </c>
      <c r="B11">
        <v>369878.67229000002</v>
      </c>
      <c r="C11">
        <v>383309.25282000005</v>
      </c>
      <c r="D11">
        <v>176236.96311000001</v>
      </c>
      <c r="E11">
        <v>929424.88822000008</v>
      </c>
    </row>
    <row r="12" spans="1:5" x14ac:dyDescent="0.3">
      <c r="A12" s="18" t="s">
        <v>654</v>
      </c>
      <c r="B12">
        <v>456495.72562000004</v>
      </c>
      <c r="C12">
        <v>374020.28078999999</v>
      </c>
      <c r="D12">
        <v>207129.61752000003</v>
      </c>
      <c r="E12">
        <v>1037645.62393</v>
      </c>
    </row>
    <row r="13" spans="1:5" x14ac:dyDescent="0.3">
      <c r="A13" s="18" t="s">
        <v>652</v>
      </c>
      <c r="B13">
        <v>183693.53390999997</v>
      </c>
      <c r="C13">
        <v>353042.13874999998</v>
      </c>
      <c r="D13">
        <v>293934.39734000002</v>
      </c>
      <c r="E13">
        <v>830670.07</v>
      </c>
    </row>
    <row r="14" spans="1:5" x14ac:dyDescent="0.3">
      <c r="A14" s="18" t="s">
        <v>650</v>
      </c>
      <c r="B14">
        <v>275192.36435832002</v>
      </c>
      <c r="C14">
        <v>563786.69727999996</v>
      </c>
      <c r="D14">
        <v>144878.38527999999</v>
      </c>
      <c r="E14">
        <v>983857.44691831991</v>
      </c>
    </row>
    <row r="15" spans="1:5" x14ac:dyDescent="0.3">
      <c r="A15" s="18" t="s">
        <v>651</v>
      </c>
      <c r="B15">
        <v>236085.65053999997</v>
      </c>
      <c r="C15">
        <v>276445.19975999999</v>
      </c>
      <c r="D15">
        <v>240025.99049</v>
      </c>
      <c r="E15">
        <v>752556.84078999993</v>
      </c>
    </row>
    <row r="16" spans="1:5" x14ac:dyDescent="0.3">
      <c r="A16" s="18" t="s">
        <v>661</v>
      </c>
      <c r="B16">
        <v>340606.41067999997</v>
      </c>
      <c r="C16">
        <v>191518.50866999998</v>
      </c>
      <c r="D16">
        <v>192655.66383999999</v>
      </c>
      <c r="E16">
        <v>724780.58318999992</v>
      </c>
    </row>
    <row r="17" spans="1:5" x14ac:dyDescent="0.3">
      <c r="A17" s="18" t="s">
        <v>658</v>
      </c>
      <c r="B17">
        <v>276400.40976000001</v>
      </c>
      <c r="C17">
        <v>510158.47726544004</v>
      </c>
      <c r="D17">
        <v>289463.49971</v>
      </c>
      <c r="E17">
        <v>1076022.3867354402</v>
      </c>
    </row>
    <row r="18" spans="1:5" x14ac:dyDescent="0.3">
      <c r="A18" s="18" t="s">
        <v>660</v>
      </c>
      <c r="B18">
        <v>288079.88713000005</v>
      </c>
      <c r="C18">
        <v>387432.32359000004</v>
      </c>
      <c r="D18">
        <v>83926.236860000005</v>
      </c>
      <c r="E18">
        <v>759438.44758000015</v>
      </c>
    </row>
    <row r="19" spans="1:5" x14ac:dyDescent="0.3">
      <c r="A19" s="18" t="s">
        <v>1432</v>
      </c>
      <c r="B19">
        <v>3601898.8843683195</v>
      </c>
      <c r="C19">
        <v>4363530.3686254397</v>
      </c>
      <c r="D19">
        <v>2656557.4822400003</v>
      </c>
      <c r="E19">
        <v>10621986.73523376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CB6AF-CAFE-4D28-97C6-EBB05E043DB2}">
  <dimension ref="A3:I446"/>
  <sheetViews>
    <sheetView topLeftCell="A4" workbookViewId="0">
      <selection activeCell="D32" sqref="D32"/>
    </sheetView>
  </sheetViews>
  <sheetFormatPr defaultRowHeight="14.4" x14ac:dyDescent="0.3"/>
  <cols>
    <col min="1" max="1" width="14" bestFit="1" customWidth="1"/>
    <col min="2" max="2" width="19.5546875" bestFit="1" customWidth="1"/>
    <col min="3" max="3" width="12.21875" bestFit="1" customWidth="1"/>
    <col min="4" max="4" width="10.109375" bestFit="1" customWidth="1"/>
    <col min="5" max="6" width="12" bestFit="1" customWidth="1"/>
    <col min="7" max="7" width="11" bestFit="1" customWidth="1"/>
    <col min="8" max="8" width="12" bestFit="1" customWidth="1"/>
    <col min="9" max="9" width="11" bestFit="1" customWidth="1"/>
    <col min="10" max="10" width="10" bestFit="1" customWidth="1"/>
    <col min="11" max="11" width="12" bestFit="1" customWidth="1"/>
    <col min="12" max="12" width="9.6640625" bestFit="1" customWidth="1"/>
    <col min="13" max="14" width="12" bestFit="1" customWidth="1"/>
    <col min="15" max="15" width="11" bestFit="1" customWidth="1"/>
    <col min="16" max="16" width="12" bestFit="1" customWidth="1"/>
    <col min="17" max="17" width="11" bestFit="1" customWidth="1"/>
    <col min="18" max="19" width="12" bestFit="1" customWidth="1"/>
    <col min="20" max="20" width="10" bestFit="1" customWidth="1"/>
    <col min="21" max="21" width="12" bestFit="1" customWidth="1"/>
    <col min="22" max="23" width="11" bestFit="1" customWidth="1"/>
    <col min="24" max="25" width="12" bestFit="1" customWidth="1"/>
    <col min="26" max="26" width="9" bestFit="1" customWidth="1"/>
    <col min="27" max="27" width="11" bestFit="1" customWidth="1"/>
    <col min="28" max="29" width="12" bestFit="1" customWidth="1"/>
    <col min="30" max="30" width="9.33203125" bestFit="1" customWidth="1"/>
    <col min="31" max="32" width="12" bestFit="1" customWidth="1"/>
    <col min="33" max="35" width="11" bestFit="1" customWidth="1"/>
    <col min="36" max="36" width="12" bestFit="1" customWidth="1"/>
    <col min="37" max="37" width="10" bestFit="1" customWidth="1"/>
    <col min="38" max="38" width="9.109375" bestFit="1" customWidth="1"/>
    <col min="39" max="39" width="12" bestFit="1" customWidth="1"/>
    <col min="40" max="40" width="9.21875" bestFit="1" customWidth="1"/>
    <col min="41" max="41" width="12" bestFit="1" customWidth="1"/>
    <col min="42" max="42" width="9.21875" bestFit="1" customWidth="1"/>
    <col min="43" max="44" width="12" bestFit="1" customWidth="1"/>
    <col min="45" max="45" width="10" bestFit="1" customWidth="1"/>
    <col min="46" max="46" width="12" bestFit="1" customWidth="1"/>
    <col min="47" max="47" width="11" bestFit="1" customWidth="1"/>
    <col min="48" max="49" width="12" bestFit="1" customWidth="1"/>
    <col min="50" max="50" width="11" bestFit="1" customWidth="1"/>
    <col min="51" max="51" width="10" bestFit="1" customWidth="1"/>
    <col min="52" max="54" width="12" bestFit="1" customWidth="1"/>
    <col min="55" max="55" width="11" bestFit="1" customWidth="1"/>
    <col min="56" max="56" width="9.21875" bestFit="1" customWidth="1"/>
    <col min="57" max="57" width="12" bestFit="1" customWidth="1"/>
    <col min="58" max="58" width="10" bestFit="1" customWidth="1"/>
    <col min="59" max="59" width="11" bestFit="1" customWidth="1"/>
    <col min="60" max="61" width="12" bestFit="1" customWidth="1"/>
    <col min="62" max="62" width="9.109375" bestFit="1" customWidth="1"/>
    <col min="63" max="65" width="12" bestFit="1" customWidth="1"/>
    <col min="66" max="66" width="9.21875" bestFit="1" customWidth="1"/>
    <col min="67" max="68" width="12" bestFit="1" customWidth="1"/>
    <col min="69" max="69" width="10" bestFit="1" customWidth="1"/>
    <col min="70" max="72" width="12" bestFit="1" customWidth="1"/>
    <col min="73" max="73" width="11" bestFit="1" customWidth="1"/>
    <col min="74" max="75" width="10" bestFit="1" customWidth="1"/>
    <col min="76" max="76" width="11" bestFit="1" customWidth="1"/>
    <col min="77" max="78" width="12" bestFit="1" customWidth="1"/>
    <col min="79" max="79" width="9" bestFit="1" customWidth="1"/>
    <col min="80" max="80" width="9.109375" bestFit="1" customWidth="1"/>
    <col min="81" max="82" width="12" bestFit="1" customWidth="1"/>
    <col min="83" max="84" width="11" bestFit="1" customWidth="1"/>
    <col min="85" max="85" width="9.21875" bestFit="1" customWidth="1"/>
    <col min="86" max="86" width="9.6640625" bestFit="1" customWidth="1"/>
    <col min="87" max="87" width="12" bestFit="1" customWidth="1"/>
    <col min="88" max="88" width="11" bestFit="1" customWidth="1"/>
    <col min="89" max="89" width="12" bestFit="1" customWidth="1"/>
    <col min="90" max="90" width="9.33203125" bestFit="1" customWidth="1"/>
    <col min="91" max="92" width="11" bestFit="1" customWidth="1"/>
    <col min="93" max="97" width="12" bestFit="1" customWidth="1"/>
    <col min="98" max="98" width="11" bestFit="1" customWidth="1"/>
    <col min="99" max="101" width="12" bestFit="1" customWidth="1"/>
    <col min="102" max="102" width="11" bestFit="1" customWidth="1"/>
    <col min="103" max="105" width="12" bestFit="1" customWidth="1"/>
    <col min="106" max="106" width="10" bestFit="1" customWidth="1"/>
    <col min="107" max="108" width="12" bestFit="1" customWidth="1"/>
    <col min="109" max="109" width="11" bestFit="1" customWidth="1"/>
    <col min="110" max="112" width="12" bestFit="1" customWidth="1"/>
    <col min="113" max="113" width="10.109375" bestFit="1" customWidth="1"/>
    <col min="114" max="114" width="12" bestFit="1" customWidth="1"/>
    <col min="115" max="115" width="9.33203125" bestFit="1" customWidth="1"/>
    <col min="116" max="119" width="12" bestFit="1" customWidth="1"/>
    <col min="120" max="120" width="10" bestFit="1" customWidth="1"/>
    <col min="121" max="121" width="11" bestFit="1" customWidth="1"/>
    <col min="122" max="122" width="9.6640625" bestFit="1" customWidth="1"/>
    <col min="123" max="123" width="12" bestFit="1" customWidth="1"/>
    <col min="124" max="124" width="9.6640625" bestFit="1" customWidth="1"/>
    <col min="125" max="125" width="9.33203125" bestFit="1" customWidth="1"/>
    <col min="126" max="129" width="12" bestFit="1" customWidth="1"/>
    <col min="130" max="130" width="10" bestFit="1" customWidth="1"/>
    <col min="131" max="133" width="12" bestFit="1" customWidth="1"/>
    <col min="134" max="134" width="11" bestFit="1" customWidth="1"/>
    <col min="135" max="136" width="12" bestFit="1" customWidth="1"/>
    <col min="137" max="137" width="11" bestFit="1" customWidth="1"/>
    <col min="138" max="139" width="12" bestFit="1" customWidth="1"/>
    <col min="140" max="140" width="9.33203125" bestFit="1" customWidth="1"/>
    <col min="141" max="141" width="9.6640625" bestFit="1" customWidth="1"/>
    <col min="142" max="143" width="12" bestFit="1" customWidth="1"/>
    <col min="144" max="144" width="10" bestFit="1" customWidth="1"/>
    <col min="145" max="148" width="12" bestFit="1" customWidth="1"/>
    <col min="149" max="149" width="9.6640625" bestFit="1" customWidth="1"/>
    <col min="150" max="150" width="12" bestFit="1" customWidth="1"/>
    <col min="151" max="151" width="9.33203125" bestFit="1" customWidth="1"/>
    <col min="152" max="153" width="11" bestFit="1" customWidth="1"/>
    <col min="154" max="156" width="12" bestFit="1" customWidth="1"/>
    <col min="157" max="157" width="9.109375" bestFit="1" customWidth="1"/>
    <col min="158" max="163" width="12" bestFit="1" customWidth="1"/>
    <col min="164" max="164" width="11" bestFit="1" customWidth="1"/>
    <col min="165" max="165" width="9.109375" bestFit="1" customWidth="1"/>
    <col min="166" max="166" width="11" bestFit="1" customWidth="1"/>
    <col min="167" max="167" width="10" bestFit="1" customWidth="1"/>
    <col min="168" max="168" width="12" bestFit="1" customWidth="1"/>
    <col min="169" max="170" width="11" bestFit="1" customWidth="1"/>
    <col min="171" max="171" width="12" bestFit="1" customWidth="1"/>
    <col min="172" max="173" width="11" bestFit="1" customWidth="1"/>
    <col min="174" max="175" width="9.21875" bestFit="1" customWidth="1"/>
    <col min="176" max="176" width="12" bestFit="1" customWidth="1"/>
    <col min="177" max="178" width="11" bestFit="1" customWidth="1"/>
    <col min="179" max="180" width="12" bestFit="1" customWidth="1"/>
    <col min="181" max="181" width="9.33203125" bestFit="1" customWidth="1"/>
    <col min="182" max="182" width="10" bestFit="1" customWidth="1"/>
    <col min="183" max="183" width="12" bestFit="1" customWidth="1"/>
    <col min="184" max="184" width="11" bestFit="1" customWidth="1"/>
    <col min="185" max="185" width="12" bestFit="1" customWidth="1"/>
    <col min="186" max="186" width="11" bestFit="1" customWidth="1"/>
    <col min="187" max="187" width="12" bestFit="1" customWidth="1"/>
    <col min="188" max="188" width="11" bestFit="1" customWidth="1"/>
    <col min="189" max="190" width="12" bestFit="1" customWidth="1"/>
    <col min="191" max="191" width="9.21875" bestFit="1" customWidth="1"/>
    <col min="192" max="194" width="12" bestFit="1" customWidth="1"/>
    <col min="195" max="195" width="11" bestFit="1" customWidth="1"/>
    <col min="196" max="196" width="10" bestFit="1" customWidth="1"/>
    <col min="197" max="197" width="9" bestFit="1" customWidth="1"/>
    <col min="198" max="199" width="12" bestFit="1" customWidth="1"/>
    <col min="200" max="200" width="10" bestFit="1" customWidth="1"/>
    <col min="201" max="201" width="11" bestFit="1" customWidth="1"/>
    <col min="202" max="202" width="12" bestFit="1" customWidth="1"/>
    <col min="203" max="203" width="9" bestFit="1" customWidth="1"/>
    <col min="204" max="208" width="12" bestFit="1" customWidth="1"/>
    <col min="209" max="209" width="11" bestFit="1" customWidth="1"/>
    <col min="210" max="210" width="12" bestFit="1" customWidth="1"/>
    <col min="211" max="211" width="11" bestFit="1" customWidth="1"/>
    <col min="212" max="214" width="12" bestFit="1" customWidth="1"/>
    <col min="215" max="215" width="11" bestFit="1" customWidth="1"/>
    <col min="216" max="217" width="12" bestFit="1" customWidth="1"/>
    <col min="218" max="218" width="11" bestFit="1" customWidth="1"/>
    <col min="219" max="219" width="10" bestFit="1" customWidth="1"/>
    <col min="220" max="220" width="10.109375" bestFit="1" customWidth="1"/>
    <col min="221" max="222" width="12" bestFit="1" customWidth="1"/>
    <col min="223" max="223" width="11" bestFit="1" customWidth="1"/>
    <col min="224" max="224" width="12" bestFit="1" customWidth="1"/>
    <col min="225" max="225" width="11" bestFit="1" customWidth="1"/>
    <col min="226" max="226" width="12" bestFit="1" customWidth="1"/>
    <col min="227" max="227" width="9.33203125" bestFit="1" customWidth="1"/>
    <col min="228" max="236" width="12" bestFit="1" customWidth="1"/>
    <col min="237" max="237" width="11" bestFit="1" customWidth="1"/>
    <col min="238" max="239" width="12" bestFit="1" customWidth="1"/>
    <col min="240" max="240" width="11" bestFit="1" customWidth="1"/>
    <col min="241" max="245" width="12" bestFit="1" customWidth="1"/>
    <col min="246" max="246" width="11" bestFit="1" customWidth="1"/>
    <col min="247" max="247" width="10" bestFit="1" customWidth="1"/>
    <col min="248" max="251" width="11" bestFit="1" customWidth="1"/>
    <col min="252" max="252" width="12" bestFit="1" customWidth="1"/>
    <col min="253" max="254" width="11" bestFit="1" customWidth="1"/>
    <col min="255" max="255" width="10" bestFit="1" customWidth="1"/>
    <col min="256" max="256" width="12" bestFit="1" customWidth="1"/>
    <col min="257" max="257" width="11" bestFit="1" customWidth="1"/>
    <col min="258" max="259" width="10" bestFit="1" customWidth="1"/>
    <col min="260" max="263" width="12" bestFit="1" customWidth="1"/>
    <col min="264" max="264" width="11" bestFit="1" customWidth="1"/>
    <col min="265" max="265" width="12" bestFit="1" customWidth="1"/>
    <col min="266" max="266" width="11" bestFit="1" customWidth="1"/>
    <col min="267" max="268" width="12" bestFit="1" customWidth="1"/>
    <col min="269" max="269" width="11" bestFit="1" customWidth="1"/>
    <col min="270" max="270" width="12" bestFit="1" customWidth="1"/>
    <col min="271" max="272" width="11" bestFit="1" customWidth="1"/>
    <col min="273" max="273" width="12" bestFit="1" customWidth="1"/>
    <col min="274" max="274" width="11" bestFit="1" customWidth="1"/>
    <col min="275" max="275" width="12" bestFit="1" customWidth="1"/>
    <col min="276" max="276" width="10" bestFit="1" customWidth="1"/>
    <col min="277" max="277" width="9" bestFit="1" customWidth="1"/>
    <col min="278" max="278" width="10" bestFit="1" customWidth="1"/>
    <col min="279" max="279" width="11" bestFit="1" customWidth="1"/>
    <col min="280" max="280" width="10.109375" bestFit="1" customWidth="1"/>
    <col min="281" max="281" width="12" bestFit="1" customWidth="1"/>
    <col min="282" max="282" width="9.109375" bestFit="1" customWidth="1"/>
    <col min="283" max="283" width="9.21875" bestFit="1" customWidth="1"/>
    <col min="284" max="284" width="12" bestFit="1" customWidth="1"/>
    <col min="285" max="285" width="10" bestFit="1" customWidth="1"/>
    <col min="286" max="286" width="11" bestFit="1" customWidth="1"/>
    <col min="287" max="291" width="12" bestFit="1" customWidth="1"/>
    <col min="292" max="292" width="11" bestFit="1" customWidth="1"/>
    <col min="293" max="293" width="12" bestFit="1" customWidth="1"/>
    <col min="294" max="294" width="9.109375" bestFit="1" customWidth="1"/>
    <col min="295" max="299" width="12" bestFit="1" customWidth="1"/>
    <col min="300" max="300" width="9.33203125" bestFit="1" customWidth="1"/>
    <col min="301" max="301" width="10" bestFit="1" customWidth="1"/>
    <col min="302" max="302" width="11" bestFit="1" customWidth="1"/>
    <col min="303" max="303" width="10.109375" bestFit="1" customWidth="1"/>
    <col min="304" max="304" width="11" bestFit="1" customWidth="1"/>
    <col min="305" max="305" width="12" bestFit="1" customWidth="1"/>
    <col min="306" max="307" width="11" bestFit="1" customWidth="1"/>
    <col min="308" max="311" width="12" bestFit="1" customWidth="1"/>
    <col min="312" max="312" width="11" bestFit="1" customWidth="1"/>
    <col min="313" max="313" width="12" bestFit="1" customWidth="1"/>
    <col min="314" max="315" width="11" bestFit="1" customWidth="1"/>
    <col min="316" max="316" width="12" bestFit="1" customWidth="1"/>
    <col min="317" max="317" width="11" bestFit="1" customWidth="1"/>
    <col min="318" max="318" width="12" bestFit="1" customWidth="1"/>
    <col min="319" max="319" width="11" bestFit="1" customWidth="1"/>
    <col min="320" max="320" width="9.21875" bestFit="1" customWidth="1"/>
    <col min="321" max="322" width="12" bestFit="1" customWidth="1"/>
    <col min="323" max="325" width="11" bestFit="1" customWidth="1"/>
    <col min="326" max="326" width="10" bestFit="1" customWidth="1"/>
    <col min="327" max="327" width="10.109375" bestFit="1" customWidth="1"/>
    <col min="328" max="328" width="10" bestFit="1" customWidth="1"/>
    <col min="329" max="329" width="11" bestFit="1" customWidth="1"/>
    <col min="330" max="330" width="12" bestFit="1" customWidth="1"/>
    <col min="331" max="331" width="9" bestFit="1" customWidth="1"/>
    <col min="332" max="332" width="11" bestFit="1" customWidth="1"/>
    <col min="333" max="336" width="12" bestFit="1" customWidth="1"/>
    <col min="337" max="337" width="11" bestFit="1" customWidth="1"/>
    <col min="338" max="338" width="9" bestFit="1" customWidth="1"/>
    <col min="339" max="342" width="12" bestFit="1" customWidth="1"/>
    <col min="343" max="343" width="9.109375" bestFit="1" customWidth="1"/>
    <col min="344" max="344" width="12" bestFit="1" customWidth="1"/>
    <col min="345" max="345" width="9.33203125" bestFit="1" customWidth="1"/>
    <col min="346" max="346" width="12" bestFit="1" customWidth="1"/>
    <col min="347" max="348" width="11" bestFit="1" customWidth="1"/>
    <col min="349" max="349" width="12" bestFit="1" customWidth="1"/>
    <col min="350" max="350" width="10" bestFit="1" customWidth="1"/>
    <col min="351" max="355" width="11" bestFit="1" customWidth="1"/>
    <col min="356" max="356" width="10" bestFit="1" customWidth="1"/>
    <col min="357" max="358" width="11" bestFit="1" customWidth="1"/>
    <col min="359" max="359" width="10" bestFit="1" customWidth="1"/>
    <col min="360" max="360" width="11" bestFit="1" customWidth="1"/>
    <col min="361" max="361" width="10" bestFit="1" customWidth="1"/>
    <col min="362" max="362" width="11" bestFit="1" customWidth="1"/>
    <col min="363" max="364" width="10.109375" bestFit="1" customWidth="1"/>
    <col min="365" max="368" width="11" bestFit="1" customWidth="1"/>
    <col min="369" max="369" width="9.109375" bestFit="1" customWidth="1"/>
    <col min="370" max="370" width="11" bestFit="1" customWidth="1"/>
    <col min="371" max="372" width="10" bestFit="1" customWidth="1"/>
    <col min="373" max="374" width="11" bestFit="1" customWidth="1"/>
    <col min="375" max="375" width="10" bestFit="1" customWidth="1"/>
    <col min="376" max="376" width="9.6640625" bestFit="1" customWidth="1"/>
    <col min="377" max="377" width="10" bestFit="1" customWidth="1"/>
    <col min="378" max="378" width="11" bestFit="1" customWidth="1"/>
    <col min="379" max="379" width="10.109375" bestFit="1" customWidth="1"/>
    <col min="380" max="381" width="11" bestFit="1" customWidth="1"/>
    <col min="382" max="382" width="10" bestFit="1" customWidth="1"/>
    <col min="383" max="384" width="11" bestFit="1" customWidth="1"/>
    <col min="385" max="385" width="10.109375" bestFit="1" customWidth="1"/>
    <col min="386" max="386" width="10" bestFit="1" customWidth="1"/>
    <col min="387" max="387" width="11" bestFit="1" customWidth="1"/>
    <col min="388" max="388" width="9.109375" bestFit="1" customWidth="1"/>
    <col min="389" max="389" width="11" bestFit="1" customWidth="1"/>
    <col min="390" max="390" width="10" bestFit="1" customWidth="1"/>
    <col min="391" max="392" width="11" bestFit="1" customWidth="1"/>
    <col min="393" max="395" width="10" bestFit="1" customWidth="1"/>
    <col min="396" max="397" width="11" bestFit="1" customWidth="1"/>
    <col min="398" max="399" width="10" bestFit="1" customWidth="1"/>
    <col min="400" max="402" width="11" bestFit="1" customWidth="1"/>
    <col min="403" max="403" width="10" bestFit="1" customWidth="1"/>
    <col min="404" max="406" width="11" bestFit="1" customWidth="1"/>
    <col min="407" max="407" width="9.109375" bestFit="1" customWidth="1"/>
    <col min="408" max="408" width="10" bestFit="1" customWidth="1"/>
    <col min="409" max="409" width="9" bestFit="1" customWidth="1"/>
    <col min="410" max="410" width="9.109375" bestFit="1" customWidth="1"/>
    <col min="411" max="411" width="11" bestFit="1" customWidth="1"/>
    <col min="412" max="416" width="10" bestFit="1" customWidth="1"/>
    <col min="417" max="417" width="9.109375" bestFit="1" customWidth="1"/>
    <col min="418" max="419" width="11" bestFit="1" customWidth="1"/>
    <col min="420" max="421" width="10" bestFit="1" customWidth="1"/>
    <col min="422" max="422" width="11" bestFit="1" customWidth="1"/>
    <col min="423" max="423" width="9.21875" bestFit="1" customWidth="1"/>
    <col min="424" max="424" width="11" bestFit="1" customWidth="1"/>
    <col min="425" max="425" width="10" bestFit="1" customWidth="1"/>
    <col min="426" max="426" width="10.109375" bestFit="1" customWidth="1"/>
    <col min="427" max="427" width="10" bestFit="1" customWidth="1"/>
    <col min="428" max="429" width="11" bestFit="1" customWidth="1"/>
    <col min="430" max="430" width="9.33203125" bestFit="1" customWidth="1"/>
    <col min="431" max="432" width="11" bestFit="1" customWidth="1"/>
    <col min="433" max="433" width="10.109375" bestFit="1" customWidth="1"/>
    <col min="434" max="435" width="9.6640625" bestFit="1" customWidth="1"/>
    <col min="436" max="438" width="10" bestFit="1" customWidth="1"/>
    <col min="439" max="439" width="9.6640625" bestFit="1" customWidth="1"/>
    <col min="440" max="443" width="11" bestFit="1" customWidth="1"/>
    <col min="444" max="444" width="10" bestFit="1" customWidth="1"/>
    <col min="445" max="445" width="11" bestFit="1" customWidth="1"/>
    <col min="446" max="446" width="10" bestFit="1" customWidth="1"/>
    <col min="447" max="447" width="9.6640625" bestFit="1" customWidth="1"/>
    <col min="448" max="450" width="11" bestFit="1" customWidth="1"/>
    <col min="451" max="451" width="9.109375" bestFit="1" customWidth="1"/>
    <col min="452" max="452" width="11" bestFit="1" customWidth="1"/>
    <col min="453" max="453" width="10" bestFit="1" customWidth="1"/>
    <col min="454" max="454" width="11" bestFit="1" customWidth="1"/>
    <col min="455" max="455" width="8.88671875" bestFit="1" customWidth="1"/>
    <col min="456" max="457" width="10.109375" bestFit="1" customWidth="1"/>
    <col min="458" max="459" width="10" bestFit="1" customWidth="1"/>
    <col min="460" max="461" width="11" bestFit="1" customWidth="1"/>
    <col min="462" max="462" width="9.109375" bestFit="1" customWidth="1"/>
    <col min="463" max="466" width="10" bestFit="1" customWidth="1"/>
    <col min="467" max="469" width="11" bestFit="1" customWidth="1"/>
    <col min="470" max="470" width="10" bestFit="1" customWidth="1"/>
    <col min="471" max="471" width="11" bestFit="1" customWidth="1"/>
    <col min="472" max="472" width="10" bestFit="1" customWidth="1"/>
    <col min="473" max="476" width="11" bestFit="1" customWidth="1"/>
    <col min="477" max="477" width="9.6640625" bestFit="1" customWidth="1"/>
    <col min="478" max="478" width="11" bestFit="1" customWidth="1"/>
    <col min="479" max="479" width="10" bestFit="1" customWidth="1"/>
    <col min="480" max="481" width="11" bestFit="1" customWidth="1"/>
    <col min="482" max="483" width="10" bestFit="1" customWidth="1"/>
    <col min="484" max="486" width="11" bestFit="1" customWidth="1"/>
    <col min="487" max="487" width="10" bestFit="1" customWidth="1"/>
    <col min="488" max="488" width="9.109375" bestFit="1" customWidth="1"/>
    <col min="489" max="491" width="10" bestFit="1" customWidth="1"/>
    <col min="492" max="496" width="11" bestFit="1" customWidth="1"/>
    <col min="497" max="497" width="10.109375" bestFit="1" customWidth="1"/>
    <col min="498" max="501" width="11" bestFit="1" customWidth="1"/>
    <col min="502" max="502" width="10" bestFit="1" customWidth="1"/>
    <col min="503" max="503" width="8.88671875" bestFit="1" customWidth="1"/>
    <col min="504" max="504" width="10" bestFit="1" customWidth="1"/>
    <col min="505" max="507" width="11" bestFit="1" customWidth="1"/>
    <col min="508" max="508" width="9.109375" bestFit="1" customWidth="1"/>
    <col min="509" max="509" width="10" bestFit="1" customWidth="1"/>
    <col min="510" max="510" width="11" bestFit="1" customWidth="1"/>
    <col min="511" max="512" width="10" bestFit="1" customWidth="1"/>
    <col min="513" max="513" width="11" bestFit="1" customWidth="1"/>
    <col min="514" max="514" width="10" bestFit="1" customWidth="1"/>
    <col min="515" max="515" width="9.33203125" bestFit="1" customWidth="1"/>
    <col min="516" max="516" width="11" bestFit="1" customWidth="1"/>
    <col min="517" max="517" width="10" bestFit="1" customWidth="1"/>
    <col min="518" max="519" width="11" bestFit="1" customWidth="1"/>
    <col min="520" max="520" width="9" bestFit="1" customWidth="1"/>
    <col min="521" max="521" width="10" bestFit="1" customWidth="1"/>
    <col min="522" max="525" width="11" bestFit="1" customWidth="1"/>
    <col min="526" max="526" width="9" bestFit="1" customWidth="1"/>
    <col min="527" max="528" width="11" bestFit="1" customWidth="1"/>
    <col min="529" max="529" width="9.21875" bestFit="1" customWidth="1"/>
    <col min="530" max="530" width="10" bestFit="1" customWidth="1"/>
    <col min="531" max="531" width="10.109375" bestFit="1" customWidth="1"/>
    <col min="532" max="533" width="11" bestFit="1" customWidth="1"/>
    <col min="534" max="534" width="10" bestFit="1" customWidth="1"/>
    <col min="535" max="536" width="11" bestFit="1" customWidth="1"/>
    <col min="537" max="538" width="10" bestFit="1" customWidth="1"/>
    <col min="539" max="539" width="10.109375" bestFit="1" customWidth="1"/>
    <col min="540" max="541" width="10" bestFit="1" customWidth="1"/>
    <col min="542" max="545" width="11" bestFit="1" customWidth="1"/>
    <col min="546" max="546" width="10" bestFit="1" customWidth="1"/>
    <col min="547" max="547" width="11" bestFit="1" customWidth="1"/>
    <col min="548" max="548" width="9.33203125" bestFit="1" customWidth="1"/>
    <col min="549" max="549" width="11" bestFit="1" customWidth="1"/>
    <col min="550" max="550" width="10" bestFit="1" customWidth="1"/>
    <col min="551" max="551" width="9.6640625" bestFit="1" customWidth="1"/>
    <col min="552" max="552" width="11" bestFit="1" customWidth="1"/>
    <col min="553" max="553" width="10" bestFit="1" customWidth="1"/>
    <col min="554" max="558" width="11" bestFit="1" customWidth="1"/>
    <col min="559" max="560" width="10.109375" bestFit="1" customWidth="1"/>
    <col min="561" max="561" width="9.21875" bestFit="1" customWidth="1"/>
    <col min="562" max="562" width="11" bestFit="1" customWidth="1"/>
    <col min="563" max="563" width="9" bestFit="1" customWidth="1"/>
    <col min="564" max="564" width="11" bestFit="1" customWidth="1"/>
    <col min="565" max="565" width="9.109375" bestFit="1" customWidth="1"/>
    <col min="566" max="566" width="9" bestFit="1" customWidth="1"/>
    <col min="567" max="569" width="10" bestFit="1" customWidth="1"/>
    <col min="570" max="570" width="11" bestFit="1" customWidth="1"/>
    <col min="571" max="572" width="10" bestFit="1" customWidth="1"/>
    <col min="573" max="573" width="11" bestFit="1" customWidth="1"/>
    <col min="574" max="575" width="10" bestFit="1" customWidth="1"/>
    <col min="576" max="576" width="9.109375" bestFit="1" customWidth="1"/>
    <col min="577" max="577" width="9" bestFit="1" customWidth="1"/>
    <col min="578" max="582" width="10" bestFit="1" customWidth="1"/>
    <col min="583" max="583" width="9.6640625" bestFit="1" customWidth="1"/>
    <col min="584" max="584" width="10" bestFit="1" customWidth="1"/>
    <col min="585" max="585" width="9.33203125" bestFit="1" customWidth="1"/>
    <col min="586" max="586" width="10" bestFit="1" customWidth="1"/>
    <col min="587" max="587" width="10.109375" bestFit="1" customWidth="1"/>
    <col min="588" max="588" width="9.33203125" bestFit="1" customWidth="1"/>
    <col min="589" max="590" width="10.109375" bestFit="1" customWidth="1"/>
    <col min="591" max="592" width="10" bestFit="1" customWidth="1"/>
    <col min="593" max="593" width="9.109375" bestFit="1" customWidth="1"/>
    <col min="594" max="595" width="10.109375" bestFit="1" customWidth="1"/>
    <col min="596" max="596" width="10" bestFit="1" customWidth="1"/>
    <col min="597" max="597" width="9.6640625" bestFit="1" customWidth="1"/>
    <col min="598" max="598" width="10" bestFit="1" customWidth="1"/>
    <col min="599" max="599" width="9.33203125" bestFit="1" customWidth="1"/>
    <col min="600" max="601" width="10" bestFit="1" customWidth="1"/>
    <col min="602" max="602" width="9" bestFit="1" customWidth="1"/>
    <col min="603" max="603" width="9.33203125" bestFit="1" customWidth="1"/>
    <col min="604" max="604" width="9.6640625" bestFit="1" customWidth="1"/>
    <col min="605" max="605" width="9.33203125" bestFit="1" customWidth="1"/>
    <col min="606" max="606" width="10.109375" bestFit="1" customWidth="1"/>
    <col min="607" max="607" width="9" bestFit="1" customWidth="1"/>
    <col min="608" max="608" width="9.109375" bestFit="1" customWidth="1"/>
    <col min="609" max="609" width="12" bestFit="1" customWidth="1"/>
  </cols>
  <sheetData>
    <row r="3" spans="1:9" x14ac:dyDescent="0.3">
      <c r="A3" s="17" t="s">
        <v>1431</v>
      </c>
      <c r="B3" t="s">
        <v>1434</v>
      </c>
    </row>
    <row r="4" spans="1:9" x14ac:dyDescent="0.3">
      <c r="A4" s="18" t="s">
        <v>733</v>
      </c>
      <c r="B4">
        <v>1311026.8504100007</v>
      </c>
    </row>
    <row r="5" spans="1:9" x14ac:dyDescent="0.3">
      <c r="A5" s="18" t="s">
        <v>727</v>
      </c>
      <c r="B5">
        <v>1545849.32865</v>
      </c>
      <c r="I5" s="10">
        <f>AVERAGE('Staging Table'!X2:X610)</f>
        <v>0.24546922776782548</v>
      </c>
    </row>
    <row r="6" spans="1:9" x14ac:dyDescent="0.3">
      <c r="A6" s="18" t="s">
        <v>731</v>
      </c>
      <c r="B6">
        <v>1595752.9355599999</v>
      </c>
    </row>
    <row r="7" spans="1:9" x14ac:dyDescent="0.3">
      <c r="A7" s="19" t="s">
        <v>1096</v>
      </c>
      <c r="B7">
        <v>82514.711519999997</v>
      </c>
    </row>
    <row r="8" spans="1:9" x14ac:dyDescent="0.3">
      <c r="A8" s="19" t="s">
        <v>851</v>
      </c>
      <c r="B8">
        <v>65119.329599999997</v>
      </c>
    </row>
    <row r="9" spans="1:9" x14ac:dyDescent="0.3">
      <c r="A9" s="19" t="s">
        <v>1121</v>
      </c>
      <c r="B9">
        <v>65066.934229999999</v>
      </c>
    </row>
    <row r="10" spans="1:9" x14ac:dyDescent="0.3">
      <c r="A10" s="19" t="s">
        <v>1254</v>
      </c>
      <c r="B10">
        <v>64192.976999999999</v>
      </c>
    </row>
    <row r="11" spans="1:9" x14ac:dyDescent="0.3">
      <c r="A11" s="19" t="s">
        <v>1261</v>
      </c>
      <c r="B11">
        <v>58526.83122</v>
      </c>
    </row>
    <row r="12" spans="1:9" x14ac:dyDescent="0.3">
      <c r="A12" s="19" t="s">
        <v>1164</v>
      </c>
      <c r="B12">
        <v>58057.65</v>
      </c>
    </row>
    <row r="13" spans="1:9" x14ac:dyDescent="0.3">
      <c r="A13" s="19" t="s">
        <v>1299</v>
      </c>
      <c r="B13">
        <v>44173.627960000005</v>
      </c>
    </row>
    <row r="14" spans="1:9" x14ac:dyDescent="0.3">
      <c r="A14" s="19" t="s">
        <v>1267</v>
      </c>
      <c r="B14">
        <v>42433.254400000005</v>
      </c>
    </row>
    <row r="15" spans="1:9" x14ac:dyDescent="0.3">
      <c r="A15" s="19" t="s">
        <v>1211</v>
      </c>
      <c r="B15">
        <v>41914.215840000004</v>
      </c>
    </row>
    <row r="16" spans="1:9" x14ac:dyDescent="0.3">
      <c r="A16" s="19" t="s">
        <v>1315</v>
      </c>
      <c r="B16">
        <v>40563.321749999996</v>
      </c>
    </row>
    <row r="17" spans="1:2" x14ac:dyDescent="0.3">
      <c r="A17" s="19" t="s">
        <v>998</v>
      </c>
      <c r="B17">
        <v>40139.874619999995</v>
      </c>
    </row>
    <row r="18" spans="1:2" x14ac:dyDescent="0.3">
      <c r="A18" s="19" t="s">
        <v>753</v>
      </c>
      <c r="B18">
        <v>39263.702919999996</v>
      </c>
    </row>
    <row r="19" spans="1:2" x14ac:dyDescent="0.3">
      <c r="A19" s="19" t="s">
        <v>1215</v>
      </c>
      <c r="B19">
        <v>36161.097000000002</v>
      </c>
    </row>
    <row r="20" spans="1:2" x14ac:dyDescent="0.3">
      <c r="A20" s="19" t="s">
        <v>976</v>
      </c>
      <c r="B20">
        <v>34082.864639999993</v>
      </c>
    </row>
    <row r="21" spans="1:2" x14ac:dyDescent="0.3">
      <c r="A21" s="19" t="s">
        <v>1332</v>
      </c>
      <c r="B21">
        <v>33938.142760000002</v>
      </c>
    </row>
    <row r="22" spans="1:2" x14ac:dyDescent="0.3">
      <c r="A22" s="19" t="s">
        <v>907</v>
      </c>
      <c r="B22">
        <v>31556.187599999997</v>
      </c>
    </row>
    <row r="23" spans="1:2" x14ac:dyDescent="0.3">
      <c r="A23" s="19" t="s">
        <v>1159</v>
      </c>
      <c r="B23">
        <v>30435.614999999998</v>
      </c>
    </row>
    <row r="24" spans="1:2" x14ac:dyDescent="0.3">
      <c r="A24" s="19" t="s">
        <v>845</v>
      </c>
      <c r="B24">
        <v>30151.675319999998</v>
      </c>
    </row>
    <row r="25" spans="1:2" x14ac:dyDescent="0.3">
      <c r="A25" s="19" t="s">
        <v>790</v>
      </c>
      <c r="B25">
        <v>29659.68995</v>
      </c>
    </row>
    <row r="26" spans="1:2" x14ac:dyDescent="0.3">
      <c r="A26" s="19" t="s">
        <v>1063</v>
      </c>
      <c r="B26">
        <v>27756.432000000001</v>
      </c>
    </row>
    <row r="27" spans="1:2" x14ac:dyDescent="0.3">
      <c r="A27" s="19" t="s">
        <v>798</v>
      </c>
      <c r="B27">
        <v>26304.275999999998</v>
      </c>
    </row>
    <row r="28" spans="1:2" x14ac:dyDescent="0.3">
      <c r="A28" s="19" t="s">
        <v>833</v>
      </c>
      <c r="B28">
        <v>25502.910479999999</v>
      </c>
    </row>
    <row r="29" spans="1:2" x14ac:dyDescent="0.3">
      <c r="A29" s="19" t="s">
        <v>926</v>
      </c>
      <c r="B29">
        <v>24374.594880000001</v>
      </c>
    </row>
    <row r="30" spans="1:2" x14ac:dyDescent="0.3">
      <c r="A30" s="19" t="s">
        <v>989</v>
      </c>
      <c r="B30">
        <v>24161.205600000001</v>
      </c>
    </row>
    <row r="31" spans="1:2" x14ac:dyDescent="0.3">
      <c r="A31" s="19" t="s">
        <v>754</v>
      </c>
      <c r="B31">
        <v>23782.310720000001</v>
      </c>
    </row>
    <row r="32" spans="1:2" x14ac:dyDescent="0.3">
      <c r="A32" s="19" t="s">
        <v>1118</v>
      </c>
      <c r="B32">
        <v>22064.910300000003</v>
      </c>
    </row>
    <row r="33" spans="1:2" x14ac:dyDescent="0.3">
      <c r="A33" s="19" t="s">
        <v>885</v>
      </c>
      <c r="B33">
        <v>21572.590500000002</v>
      </c>
    </row>
    <row r="34" spans="1:2" x14ac:dyDescent="0.3">
      <c r="A34" s="19" t="s">
        <v>1029</v>
      </c>
      <c r="B34">
        <v>20455.985130000001</v>
      </c>
    </row>
    <row r="35" spans="1:2" x14ac:dyDescent="0.3">
      <c r="A35" s="19" t="s">
        <v>757</v>
      </c>
      <c r="B35">
        <v>20225.2248</v>
      </c>
    </row>
    <row r="36" spans="1:2" x14ac:dyDescent="0.3">
      <c r="A36" s="19" t="s">
        <v>806</v>
      </c>
      <c r="B36">
        <v>20171.63305</v>
      </c>
    </row>
    <row r="37" spans="1:2" x14ac:dyDescent="0.3">
      <c r="A37" s="19" t="s">
        <v>1120</v>
      </c>
      <c r="B37">
        <v>19773.362699999998</v>
      </c>
    </row>
    <row r="38" spans="1:2" x14ac:dyDescent="0.3">
      <c r="A38" s="19" t="s">
        <v>1273</v>
      </c>
      <c r="B38">
        <v>19581.87</v>
      </c>
    </row>
    <row r="39" spans="1:2" x14ac:dyDescent="0.3">
      <c r="A39" s="19" t="s">
        <v>924</v>
      </c>
      <c r="B39">
        <v>19542.975350000001</v>
      </c>
    </row>
    <row r="40" spans="1:2" x14ac:dyDescent="0.3">
      <c r="A40" s="19" t="s">
        <v>1305</v>
      </c>
      <c r="B40">
        <v>19139.594240000002</v>
      </c>
    </row>
    <row r="41" spans="1:2" x14ac:dyDescent="0.3">
      <c r="A41" s="19" t="s">
        <v>1130</v>
      </c>
      <c r="B41">
        <v>18641.222160000001</v>
      </c>
    </row>
    <row r="42" spans="1:2" x14ac:dyDescent="0.3">
      <c r="A42" s="19" t="s">
        <v>985</v>
      </c>
      <c r="B42">
        <v>17453.3436</v>
      </c>
    </row>
    <row r="43" spans="1:2" x14ac:dyDescent="0.3">
      <c r="A43" s="19" t="s">
        <v>1018</v>
      </c>
      <c r="B43">
        <v>15505.479600000001</v>
      </c>
    </row>
    <row r="44" spans="1:2" x14ac:dyDescent="0.3">
      <c r="A44" s="19" t="s">
        <v>958</v>
      </c>
      <c r="B44">
        <v>15490.527</v>
      </c>
    </row>
    <row r="45" spans="1:2" x14ac:dyDescent="0.3">
      <c r="A45" s="19" t="s">
        <v>1158</v>
      </c>
      <c r="B45">
        <v>15366.983199999999</v>
      </c>
    </row>
    <row r="46" spans="1:2" x14ac:dyDescent="0.3">
      <c r="A46" s="19" t="s">
        <v>1268</v>
      </c>
      <c r="B46">
        <v>15155.326800000001</v>
      </c>
    </row>
    <row r="47" spans="1:2" x14ac:dyDescent="0.3">
      <c r="A47" s="19" t="s">
        <v>1327</v>
      </c>
      <c r="B47">
        <v>14910.609600000002</v>
      </c>
    </row>
    <row r="48" spans="1:2" x14ac:dyDescent="0.3">
      <c r="A48" s="19" t="s">
        <v>900</v>
      </c>
      <c r="B48">
        <v>14448.298699999998</v>
      </c>
    </row>
    <row r="49" spans="1:2" x14ac:dyDescent="0.3">
      <c r="A49" s="19" t="s">
        <v>1276</v>
      </c>
      <c r="B49">
        <v>14114.068500000001</v>
      </c>
    </row>
    <row r="50" spans="1:2" x14ac:dyDescent="0.3">
      <c r="A50" s="19" t="s">
        <v>1102</v>
      </c>
      <c r="B50">
        <v>13784.586000000001</v>
      </c>
    </row>
    <row r="51" spans="1:2" x14ac:dyDescent="0.3">
      <c r="A51" s="19" t="s">
        <v>836</v>
      </c>
      <c r="B51">
        <v>13669.81</v>
      </c>
    </row>
    <row r="52" spans="1:2" x14ac:dyDescent="0.3">
      <c r="A52" s="19" t="s">
        <v>1079</v>
      </c>
      <c r="B52">
        <v>13637.287999999999</v>
      </c>
    </row>
    <row r="53" spans="1:2" x14ac:dyDescent="0.3">
      <c r="A53" s="19" t="s">
        <v>879</v>
      </c>
      <c r="B53">
        <v>12954.358080000002</v>
      </c>
    </row>
    <row r="54" spans="1:2" x14ac:dyDescent="0.3">
      <c r="A54" s="19" t="s">
        <v>838</v>
      </c>
      <c r="B54">
        <v>12335.654849999999</v>
      </c>
    </row>
    <row r="55" spans="1:2" x14ac:dyDescent="0.3">
      <c r="A55" s="19" t="s">
        <v>1083</v>
      </c>
      <c r="B55">
        <v>12236.874600000001</v>
      </c>
    </row>
    <row r="56" spans="1:2" x14ac:dyDescent="0.3">
      <c r="A56" s="19" t="s">
        <v>1017</v>
      </c>
      <c r="B56">
        <v>11696.156879999999</v>
      </c>
    </row>
    <row r="57" spans="1:2" x14ac:dyDescent="0.3">
      <c r="A57" s="19" t="s">
        <v>1248</v>
      </c>
      <c r="B57">
        <v>10859.64</v>
      </c>
    </row>
    <row r="58" spans="1:2" x14ac:dyDescent="0.3">
      <c r="A58" s="19" t="s">
        <v>1043</v>
      </c>
      <c r="B58">
        <v>9847.2358600000007</v>
      </c>
    </row>
    <row r="59" spans="1:2" x14ac:dyDescent="0.3">
      <c r="A59" s="19" t="s">
        <v>980</v>
      </c>
      <c r="B59">
        <v>9774.3888000000006</v>
      </c>
    </row>
    <row r="60" spans="1:2" x14ac:dyDescent="0.3">
      <c r="A60" s="19" t="s">
        <v>1179</v>
      </c>
      <c r="B60">
        <v>9771.4483199999995</v>
      </c>
    </row>
    <row r="61" spans="1:2" x14ac:dyDescent="0.3">
      <c r="A61" s="19" t="s">
        <v>1013</v>
      </c>
      <c r="B61">
        <v>8907.6924999999992</v>
      </c>
    </row>
    <row r="62" spans="1:2" x14ac:dyDescent="0.3">
      <c r="A62" s="19" t="s">
        <v>1009</v>
      </c>
      <c r="B62">
        <v>8567.3924999999999</v>
      </c>
    </row>
    <row r="63" spans="1:2" x14ac:dyDescent="0.3">
      <c r="A63" s="19" t="s">
        <v>866</v>
      </c>
      <c r="B63">
        <v>8336.8896000000004</v>
      </c>
    </row>
    <row r="64" spans="1:2" x14ac:dyDescent="0.3">
      <c r="A64" s="19" t="s">
        <v>1242</v>
      </c>
      <c r="B64">
        <v>8297.4286000000011</v>
      </c>
    </row>
    <row r="65" spans="1:2" x14ac:dyDescent="0.3">
      <c r="A65" s="19" t="s">
        <v>1191</v>
      </c>
      <c r="B65">
        <v>7643.2649999999994</v>
      </c>
    </row>
    <row r="66" spans="1:2" x14ac:dyDescent="0.3">
      <c r="A66" s="19" t="s">
        <v>749</v>
      </c>
      <c r="B66">
        <v>7090.5672000000004</v>
      </c>
    </row>
    <row r="67" spans="1:2" x14ac:dyDescent="0.3">
      <c r="A67" s="19" t="s">
        <v>1337</v>
      </c>
      <c r="B67">
        <v>7071.6331400000008</v>
      </c>
    </row>
    <row r="68" spans="1:2" x14ac:dyDescent="0.3">
      <c r="A68" s="19" t="s">
        <v>805</v>
      </c>
      <c r="B68">
        <v>6393.0952799999995</v>
      </c>
    </row>
    <row r="69" spans="1:2" x14ac:dyDescent="0.3">
      <c r="A69" s="19" t="s">
        <v>1038</v>
      </c>
      <c r="B69">
        <v>5932.7856000000002</v>
      </c>
    </row>
    <row r="70" spans="1:2" x14ac:dyDescent="0.3">
      <c r="A70" s="19" t="s">
        <v>786</v>
      </c>
      <c r="B70">
        <v>5785.8</v>
      </c>
    </row>
    <row r="71" spans="1:2" x14ac:dyDescent="0.3">
      <c r="A71" s="19" t="s">
        <v>1143</v>
      </c>
      <c r="B71">
        <v>5323.9903199999999</v>
      </c>
    </row>
    <row r="72" spans="1:2" x14ac:dyDescent="0.3">
      <c r="A72" s="19" t="s">
        <v>1136</v>
      </c>
      <c r="B72">
        <v>5250.4239000000007</v>
      </c>
    </row>
    <row r="73" spans="1:2" x14ac:dyDescent="0.3">
      <c r="A73" s="19" t="s">
        <v>1141</v>
      </c>
      <c r="B73">
        <v>4679.7141600000004</v>
      </c>
    </row>
    <row r="74" spans="1:2" x14ac:dyDescent="0.3">
      <c r="A74" s="19" t="s">
        <v>1297</v>
      </c>
      <c r="B74">
        <v>4229.4321199999995</v>
      </c>
    </row>
    <row r="75" spans="1:2" x14ac:dyDescent="0.3">
      <c r="A75" s="19" t="s">
        <v>739</v>
      </c>
      <c r="B75">
        <v>4141.7599999999993</v>
      </c>
    </row>
    <row r="76" spans="1:2" x14ac:dyDescent="0.3">
      <c r="A76" s="19" t="s">
        <v>1104</v>
      </c>
      <c r="B76">
        <v>4133.25108</v>
      </c>
    </row>
    <row r="77" spans="1:2" x14ac:dyDescent="0.3">
      <c r="A77" s="19" t="s">
        <v>1241</v>
      </c>
      <c r="B77">
        <v>3921.1744000000008</v>
      </c>
    </row>
    <row r="78" spans="1:2" x14ac:dyDescent="0.3">
      <c r="A78" s="19" t="s">
        <v>1316</v>
      </c>
      <c r="B78">
        <v>3823.6151599999998</v>
      </c>
    </row>
    <row r="79" spans="1:2" x14ac:dyDescent="0.3">
      <c r="A79" s="19" t="s">
        <v>973</v>
      </c>
      <c r="B79">
        <v>3823.5108</v>
      </c>
    </row>
    <row r="80" spans="1:2" x14ac:dyDescent="0.3">
      <c r="A80" s="19" t="s">
        <v>880</v>
      </c>
      <c r="B80">
        <v>3562.9028999999996</v>
      </c>
    </row>
    <row r="81" spans="1:2" x14ac:dyDescent="0.3">
      <c r="A81" s="19" t="s">
        <v>787</v>
      </c>
      <c r="B81">
        <v>2518.8755800000004</v>
      </c>
    </row>
    <row r="82" spans="1:2" x14ac:dyDescent="0.3">
      <c r="A82" s="19" t="s">
        <v>1209</v>
      </c>
      <c r="B82">
        <v>1009.2969000000002</v>
      </c>
    </row>
    <row r="83" spans="1:2" x14ac:dyDescent="0.3">
      <c r="A83" s="19" t="s">
        <v>853</v>
      </c>
      <c r="B83">
        <v>592.92849000000001</v>
      </c>
    </row>
    <row r="84" spans="1:2" x14ac:dyDescent="0.3">
      <c r="A84" s="19" t="s">
        <v>1122</v>
      </c>
      <c r="B84">
        <v>434.45248000000004</v>
      </c>
    </row>
    <row r="85" spans="1:2" x14ac:dyDescent="0.3">
      <c r="A85" s="19" t="s">
        <v>1363</v>
      </c>
      <c r="B85">
        <v>266.17821999999995</v>
      </c>
    </row>
    <row r="86" spans="1:2" x14ac:dyDescent="0.3">
      <c r="A86" s="18" t="s">
        <v>732</v>
      </c>
      <c r="B86">
        <v>1529582.4117154395</v>
      </c>
    </row>
    <row r="87" spans="1:2" x14ac:dyDescent="0.3">
      <c r="A87" s="19" t="s">
        <v>909</v>
      </c>
      <c r="B87">
        <v>92715.25</v>
      </c>
    </row>
    <row r="88" spans="1:2" x14ac:dyDescent="0.3">
      <c r="A88" s="19" t="s">
        <v>874</v>
      </c>
      <c r="B88">
        <v>87404.929919999995</v>
      </c>
    </row>
    <row r="89" spans="1:2" x14ac:dyDescent="0.3">
      <c r="A89" s="19" t="s">
        <v>899</v>
      </c>
      <c r="B89">
        <v>85637.740319999997</v>
      </c>
    </row>
    <row r="90" spans="1:2" x14ac:dyDescent="0.3">
      <c r="A90" s="19" t="s">
        <v>797</v>
      </c>
      <c r="B90">
        <v>72665.817450000002</v>
      </c>
    </row>
    <row r="91" spans="1:2" x14ac:dyDescent="0.3">
      <c r="A91" s="19" t="s">
        <v>1129</v>
      </c>
      <c r="B91">
        <v>56176.777799999996</v>
      </c>
    </row>
    <row r="92" spans="1:2" x14ac:dyDescent="0.3">
      <c r="A92" s="19" t="s">
        <v>1181</v>
      </c>
      <c r="B92">
        <v>45547.183360000003</v>
      </c>
    </row>
    <row r="93" spans="1:2" x14ac:dyDescent="0.3">
      <c r="A93" s="19" t="s">
        <v>774</v>
      </c>
      <c r="B93">
        <v>41106.800970000004</v>
      </c>
    </row>
    <row r="94" spans="1:2" x14ac:dyDescent="0.3">
      <c r="A94" s="19" t="s">
        <v>1000</v>
      </c>
      <c r="B94">
        <v>38818.760160000005</v>
      </c>
    </row>
    <row r="95" spans="1:2" x14ac:dyDescent="0.3">
      <c r="A95" s="19" t="s">
        <v>1006</v>
      </c>
      <c r="B95">
        <v>34632.106319999999</v>
      </c>
    </row>
    <row r="96" spans="1:2" x14ac:dyDescent="0.3">
      <c r="A96" s="19" t="s">
        <v>1106</v>
      </c>
      <c r="B96">
        <v>32280.32474</v>
      </c>
    </row>
    <row r="97" spans="1:2" x14ac:dyDescent="0.3">
      <c r="A97" s="19" t="s">
        <v>789</v>
      </c>
      <c r="B97">
        <v>31680.795320000001</v>
      </c>
    </row>
    <row r="98" spans="1:2" x14ac:dyDescent="0.3">
      <c r="A98" s="19" t="s">
        <v>929</v>
      </c>
      <c r="B98">
        <v>31191.64716</v>
      </c>
    </row>
    <row r="99" spans="1:2" x14ac:dyDescent="0.3">
      <c r="A99" s="19" t="s">
        <v>1044</v>
      </c>
      <c r="B99">
        <v>30799.273800000003</v>
      </c>
    </row>
    <row r="100" spans="1:2" x14ac:dyDescent="0.3">
      <c r="A100" s="19" t="s">
        <v>1274</v>
      </c>
      <c r="B100">
        <v>30652.403519999996</v>
      </c>
    </row>
    <row r="101" spans="1:2" x14ac:dyDescent="0.3">
      <c r="A101" s="19" t="s">
        <v>1007</v>
      </c>
      <c r="B101">
        <v>29536.716</v>
      </c>
    </row>
    <row r="102" spans="1:2" x14ac:dyDescent="0.3">
      <c r="A102" s="19" t="s">
        <v>922</v>
      </c>
      <c r="B102">
        <v>28072.190160000002</v>
      </c>
    </row>
    <row r="103" spans="1:2" x14ac:dyDescent="0.3">
      <c r="A103" s="19" t="s">
        <v>869</v>
      </c>
      <c r="B103">
        <v>27370.540859999997</v>
      </c>
    </row>
    <row r="104" spans="1:2" x14ac:dyDescent="0.3">
      <c r="A104" s="19" t="s">
        <v>918</v>
      </c>
      <c r="B104">
        <v>26408.63841</v>
      </c>
    </row>
    <row r="105" spans="1:2" x14ac:dyDescent="0.3">
      <c r="A105" s="19" t="s">
        <v>939</v>
      </c>
      <c r="B105">
        <v>26131.70736</v>
      </c>
    </row>
    <row r="106" spans="1:2" x14ac:dyDescent="0.3">
      <c r="A106" s="19" t="s">
        <v>938</v>
      </c>
      <c r="B106">
        <v>25553.782800000001</v>
      </c>
    </row>
    <row r="107" spans="1:2" x14ac:dyDescent="0.3">
      <c r="A107" s="19" t="s">
        <v>1300</v>
      </c>
      <c r="B107">
        <v>25079.480689999997</v>
      </c>
    </row>
    <row r="108" spans="1:2" x14ac:dyDescent="0.3">
      <c r="A108" s="19" t="s">
        <v>849</v>
      </c>
      <c r="B108">
        <v>24523.006720000001</v>
      </c>
    </row>
    <row r="109" spans="1:2" x14ac:dyDescent="0.3">
      <c r="A109" s="19" t="s">
        <v>1187</v>
      </c>
      <c r="B109">
        <v>23132.398349999996</v>
      </c>
    </row>
    <row r="110" spans="1:2" x14ac:dyDescent="0.3">
      <c r="A110" s="19" t="s">
        <v>855</v>
      </c>
      <c r="B110">
        <v>22983.34563</v>
      </c>
    </row>
    <row r="111" spans="1:2" x14ac:dyDescent="0.3">
      <c r="A111" s="19" t="s">
        <v>894</v>
      </c>
      <c r="B111">
        <v>22044.871499999997</v>
      </c>
    </row>
    <row r="112" spans="1:2" x14ac:dyDescent="0.3">
      <c r="A112" s="19" t="s">
        <v>1233</v>
      </c>
      <c r="B112">
        <v>20332.775539999999</v>
      </c>
    </row>
    <row r="113" spans="1:2" x14ac:dyDescent="0.3">
      <c r="A113" s="19" t="s">
        <v>986</v>
      </c>
      <c r="B113">
        <v>17689.623</v>
      </c>
    </row>
    <row r="114" spans="1:2" x14ac:dyDescent="0.3">
      <c r="A114" s="19" t="s">
        <v>1014</v>
      </c>
      <c r="B114">
        <v>17441.021520000002</v>
      </c>
    </row>
    <row r="115" spans="1:2" x14ac:dyDescent="0.3">
      <c r="A115" s="19" t="s">
        <v>1232</v>
      </c>
      <c r="B115">
        <v>16574.544740000001</v>
      </c>
    </row>
    <row r="116" spans="1:2" x14ac:dyDescent="0.3">
      <c r="A116" s="19" t="s">
        <v>1085</v>
      </c>
      <c r="B116">
        <v>16487.22781</v>
      </c>
    </row>
    <row r="117" spans="1:2" x14ac:dyDescent="0.3">
      <c r="A117" s="19" t="s">
        <v>1349</v>
      </c>
      <c r="B117">
        <v>16321.907265440001</v>
      </c>
    </row>
    <row r="118" spans="1:2" x14ac:dyDescent="0.3">
      <c r="A118" s="19" t="s">
        <v>1123</v>
      </c>
      <c r="B118">
        <v>16142.527829999999</v>
      </c>
    </row>
    <row r="119" spans="1:2" x14ac:dyDescent="0.3">
      <c r="A119" s="19" t="s">
        <v>1256</v>
      </c>
      <c r="B119">
        <v>16121.273400000002</v>
      </c>
    </row>
    <row r="120" spans="1:2" x14ac:dyDescent="0.3">
      <c r="A120" s="19" t="s">
        <v>1117</v>
      </c>
      <c r="B120">
        <v>15257.51748</v>
      </c>
    </row>
    <row r="121" spans="1:2" x14ac:dyDescent="0.3">
      <c r="A121" s="19" t="s">
        <v>742</v>
      </c>
      <c r="B121">
        <v>14714.12934</v>
      </c>
    </row>
    <row r="122" spans="1:2" x14ac:dyDescent="0.3">
      <c r="A122" s="19" t="s">
        <v>1306</v>
      </c>
      <c r="B122">
        <v>14466.95104</v>
      </c>
    </row>
    <row r="123" spans="1:2" x14ac:dyDescent="0.3">
      <c r="A123" s="19" t="s">
        <v>801</v>
      </c>
      <c r="B123">
        <v>14287.896349999999</v>
      </c>
    </row>
    <row r="124" spans="1:2" x14ac:dyDescent="0.3">
      <c r="A124" s="19" t="s">
        <v>1161</v>
      </c>
      <c r="B124">
        <v>13450.74</v>
      </c>
    </row>
    <row r="125" spans="1:2" x14ac:dyDescent="0.3">
      <c r="A125" s="19" t="s">
        <v>1138</v>
      </c>
      <c r="B125">
        <v>13437.300239999999</v>
      </c>
    </row>
    <row r="126" spans="1:2" x14ac:dyDescent="0.3">
      <c r="A126" s="19" t="s">
        <v>1132</v>
      </c>
      <c r="B126">
        <v>12972.00222</v>
      </c>
    </row>
    <row r="127" spans="1:2" x14ac:dyDescent="0.3">
      <c r="A127" s="19" t="s">
        <v>1166</v>
      </c>
      <c r="B127">
        <v>12967.958640000001</v>
      </c>
    </row>
    <row r="128" spans="1:2" x14ac:dyDescent="0.3">
      <c r="A128" s="19" t="s">
        <v>901</v>
      </c>
      <c r="B128">
        <v>12413.98458</v>
      </c>
    </row>
    <row r="129" spans="1:2" x14ac:dyDescent="0.3">
      <c r="A129" s="19" t="s">
        <v>897</v>
      </c>
      <c r="B129">
        <v>12194.714</v>
      </c>
    </row>
    <row r="130" spans="1:2" x14ac:dyDescent="0.3">
      <c r="A130" s="19" t="s">
        <v>822</v>
      </c>
      <c r="B130">
        <v>11842.8464</v>
      </c>
    </row>
    <row r="131" spans="1:2" x14ac:dyDescent="0.3">
      <c r="A131" s="19" t="s">
        <v>983</v>
      </c>
      <c r="B131">
        <v>11813.604160000001</v>
      </c>
    </row>
    <row r="132" spans="1:2" x14ac:dyDescent="0.3">
      <c r="A132" s="19" t="s">
        <v>1281</v>
      </c>
      <c r="B132">
        <v>10937.519999999999</v>
      </c>
    </row>
    <row r="133" spans="1:2" x14ac:dyDescent="0.3">
      <c r="A133" s="19" t="s">
        <v>1290</v>
      </c>
      <c r="B133">
        <v>10519.776450000001</v>
      </c>
    </row>
    <row r="134" spans="1:2" x14ac:dyDescent="0.3">
      <c r="A134" s="19" t="s">
        <v>1062</v>
      </c>
      <c r="B134">
        <v>9525.5999999999985</v>
      </c>
    </row>
    <row r="135" spans="1:2" x14ac:dyDescent="0.3">
      <c r="A135" s="19" t="s">
        <v>1152</v>
      </c>
      <c r="B135">
        <v>9509.2865999999995</v>
      </c>
    </row>
    <row r="136" spans="1:2" x14ac:dyDescent="0.3">
      <c r="A136" s="19" t="s">
        <v>1243</v>
      </c>
      <c r="B136">
        <v>9232.2830599999998</v>
      </c>
    </row>
    <row r="137" spans="1:2" x14ac:dyDescent="0.3">
      <c r="A137" s="19" t="s">
        <v>925</v>
      </c>
      <c r="B137">
        <v>8763.2849999999999</v>
      </c>
    </row>
    <row r="138" spans="1:2" x14ac:dyDescent="0.3">
      <c r="A138" s="19" t="s">
        <v>917</v>
      </c>
      <c r="B138">
        <v>8698.8768300000011</v>
      </c>
    </row>
    <row r="139" spans="1:2" x14ac:dyDescent="0.3">
      <c r="A139" s="19" t="s">
        <v>802</v>
      </c>
      <c r="B139">
        <v>8671.7354400000004</v>
      </c>
    </row>
    <row r="140" spans="1:2" x14ac:dyDescent="0.3">
      <c r="A140" s="19" t="s">
        <v>923</v>
      </c>
      <c r="B140">
        <v>8590.7094000000016</v>
      </c>
    </row>
    <row r="141" spans="1:2" x14ac:dyDescent="0.3">
      <c r="A141" s="19" t="s">
        <v>1295</v>
      </c>
      <c r="B141">
        <v>8520.2954399999999</v>
      </c>
    </row>
    <row r="142" spans="1:2" x14ac:dyDescent="0.3">
      <c r="A142" s="19" t="s">
        <v>1206</v>
      </c>
      <c r="B142">
        <v>8330.2513199999994</v>
      </c>
    </row>
    <row r="143" spans="1:2" x14ac:dyDescent="0.3">
      <c r="A143" s="19" t="s">
        <v>1190</v>
      </c>
      <c r="B143">
        <v>7854.6931199999999</v>
      </c>
    </row>
    <row r="144" spans="1:2" x14ac:dyDescent="0.3">
      <c r="A144" s="19" t="s">
        <v>950</v>
      </c>
      <c r="B144">
        <v>7738.9596900000006</v>
      </c>
    </row>
    <row r="145" spans="1:2" x14ac:dyDescent="0.3">
      <c r="A145" s="19" t="s">
        <v>864</v>
      </c>
      <c r="B145">
        <v>7703.8640800000003</v>
      </c>
    </row>
    <row r="146" spans="1:2" x14ac:dyDescent="0.3">
      <c r="A146" s="19" t="s">
        <v>1097</v>
      </c>
      <c r="B146">
        <v>7327.9533600000004</v>
      </c>
    </row>
    <row r="147" spans="1:2" x14ac:dyDescent="0.3">
      <c r="A147" s="19" t="s">
        <v>1005</v>
      </c>
      <c r="B147">
        <v>7120.6486400000003</v>
      </c>
    </row>
    <row r="148" spans="1:2" x14ac:dyDescent="0.3">
      <c r="A148" s="19" t="s">
        <v>912</v>
      </c>
      <c r="B148">
        <v>7098.5495999999994</v>
      </c>
    </row>
    <row r="149" spans="1:2" x14ac:dyDescent="0.3">
      <c r="A149" s="19" t="s">
        <v>902</v>
      </c>
      <c r="B149">
        <v>6824.2884000000004</v>
      </c>
    </row>
    <row r="150" spans="1:2" x14ac:dyDescent="0.3">
      <c r="A150" s="19" t="s">
        <v>988</v>
      </c>
      <c r="B150">
        <v>6468.2751599999992</v>
      </c>
    </row>
    <row r="151" spans="1:2" x14ac:dyDescent="0.3">
      <c r="A151" s="19" t="s">
        <v>1331</v>
      </c>
      <c r="B151">
        <v>5962.1422499999999</v>
      </c>
    </row>
    <row r="152" spans="1:2" x14ac:dyDescent="0.3">
      <c r="A152" s="19" t="s">
        <v>852</v>
      </c>
      <c r="B152">
        <v>5769.2758000000003</v>
      </c>
    </row>
    <row r="153" spans="1:2" x14ac:dyDescent="0.3">
      <c r="A153" s="19" t="s">
        <v>1325</v>
      </c>
      <c r="B153">
        <v>5725.6496000000006</v>
      </c>
    </row>
    <row r="154" spans="1:2" x14ac:dyDescent="0.3">
      <c r="A154" s="19" t="s">
        <v>1180</v>
      </c>
      <c r="B154">
        <v>5565.3272500000003</v>
      </c>
    </row>
    <row r="155" spans="1:2" x14ac:dyDescent="0.3">
      <c r="A155" s="19" t="s">
        <v>967</v>
      </c>
      <c r="B155">
        <v>5280.8577599999999</v>
      </c>
    </row>
    <row r="156" spans="1:2" x14ac:dyDescent="0.3">
      <c r="A156" s="19" t="s">
        <v>1359</v>
      </c>
      <c r="B156">
        <v>5096.4790800000001</v>
      </c>
    </row>
    <row r="157" spans="1:2" x14ac:dyDescent="0.3">
      <c r="A157" s="19" t="s">
        <v>1048</v>
      </c>
      <c r="B157">
        <v>5032.4433599999993</v>
      </c>
    </row>
    <row r="158" spans="1:2" x14ac:dyDescent="0.3">
      <c r="A158" s="19" t="s">
        <v>813</v>
      </c>
      <c r="B158">
        <v>4877.1379800000004</v>
      </c>
    </row>
    <row r="159" spans="1:2" x14ac:dyDescent="0.3">
      <c r="A159" s="19" t="s">
        <v>1278</v>
      </c>
      <c r="B159">
        <v>4826.5396199999996</v>
      </c>
    </row>
    <row r="160" spans="1:2" x14ac:dyDescent="0.3">
      <c r="A160" s="19" t="s">
        <v>1228</v>
      </c>
      <c r="B160">
        <v>4682.9519799999998</v>
      </c>
    </row>
    <row r="161" spans="1:2" x14ac:dyDescent="0.3">
      <c r="A161" s="19" t="s">
        <v>992</v>
      </c>
      <c r="B161">
        <v>4375.3620000000001</v>
      </c>
    </row>
    <row r="162" spans="1:2" x14ac:dyDescent="0.3">
      <c r="A162" s="19" t="s">
        <v>1031</v>
      </c>
      <c r="B162">
        <v>3190.8713200000002</v>
      </c>
    </row>
    <row r="163" spans="1:2" x14ac:dyDescent="0.3">
      <c r="A163" s="19" t="s">
        <v>1052</v>
      </c>
      <c r="B163">
        <v>2915.4540999999999</v>
      </c>
    </row>
    <row r="164" spans="1:2" x14ac:dyDescent="0.3">
      <c r="A164" s="19" t="s">
        <v>740</v>
      </c>
      <c r="B164">
        <v>2886.4496399999998</v>
      </c>
    </row>
    <row r="165" spans="1:2" x14ac:dyDescent="0.3">
      <c r="A165" s="19" t="s">
        <v>1165</v>
      </c>
      <c r="B165">
        <v>2627.6239999999998</v>
      </c>
    </row>
    <row r="166" spans="1:2" x14ac:dyDescent="0.3">
      <c r="A166" s="19" t="s">
        <v>951</v>
      </c>
      <c r="B166">
        <v>2231.6467200000002</v>
      </c>
    </row>
    <row r="167" spans="1:2" x14ac:dyDescent="0.3">
      <c r="A167" s="19" t="s">
        <v>1283</v>
      </c>
      <c r="B167">
        <v>1846.8040799999999</v>
      </c>
    </row>
    <row r="168" spans="1:2" x14ac:dyDescent="0.3">
      <c r="A168" s="19" t="s">
        <v>1314</v>
      </c>
      <c r="B168">
        <v>1801.4076000000002</v>
      </c>
    </row>
    <row r="169" spans="1:2" x14ac:dyDescent="0.3">
      <c r="A169" s="19" t="s">
        <v>945</v>
      </c>
      <c r="B169">
        <v>1774.8072</v>
      </c>
    </row>
    <row r="170" spans="1:2" x14ac:dyDescent="0.3">
      <c r="A170" s="19" t="s">
        <v>1039</v>
      </c>
      <c r="B170">
        <v>1641.7107199999998</v>
      </c>
    </row>
    <row r="171" spans="1:2" x14ac:dyDescent="0.3">
      <c r="A171" s="19" t="s">
        <v>823</v>
      </c>
      <c r="B171">
        <v>624.43503999999996</v>
      </c>
    </row>
    <row r="172" spans="1:2" x14ac:dyDescent="0.3">
      <c r="A172" s="19" t="s">
        <v>981</v>
      </c>
      <c r="B172">
        <v>607.30668000000003</v>
      </c>
    </row>
    <row r="173" spans="1:2" x14ac:dyDescent="0.3">
      <c r="A173" s="19" t="s">
        <v>785</v>
      </c>
      <c r="B173">
        <v>599.53200000000004</v>
      </c>
    </row>
    <row r="174" spans="1:2" x14ac:dyDescent="0.3">
      <c r="A174" s="19" t="s">
        <v>1265</v>
      </c>
      <c r="B174">
        <v>534.57695999999999</v>
      </c>
    </row>
    <row r="175" spans="1:2" x14ac:dyDescent="0.3">
      <c r="A175" s="19" t="s">
        <v>817</v>
      </c>
      <c r="B175">
        <v>524.81174999999996</v>
      </c>
    </row>
    <row r="176" spans="1:2" x14ac:dyDescent="0.3">
      <c r="A176" s="19" t="s">
        <v>1032</v>
      </c>
      <c r="B176">
        <v>66.920760000000001</v>
      </c>
    </row>
    <row r="177" spans="1:2" x14ac:dyDescent="0.3">
      <c r="A177" s="18" t="s">
        <v>729</v>
      </c>
      <c r="B177">
        <v>1743736.7169183204</v>
      </c>
    </row>
    <row r="178" spans="1:2" x14ac:dyDescent="0.3">
      <c r="A178" s="19" t="s">
        <v>781</v>
      </c>
      <c r="B178">
        <v>109244</v>
      </c>
    </row>
    <row r="179" spans="1:2" x14ac:dyDescent="0.3">
      <c r="A179" s="19" t="s">
        <v>1345</v>
      </c>
      <c r="B179">
        <v>82141.339799999987</v>
      </c>
    </row>
    <row r="180" spans="1:2" x14ac:dyDescent="0.3">
      <c r="A180" s="19" t="s">
        <v>1010</v>
      </c>
      <c r="B180">
        <v>79548.755999999994</v>
      </c>
    </row>
    <row r="181" spans="1:2" x14ac:dyDescent="0.3">
      <c r="A181" s="19" t="s">
        <v>957</v>
      </c>
      <c r="B181">
        <v>66988.771199999988</v>
      </c>
    </row>
    <row r="182" spans="1:2" x14ac:dyDescent="0.3">
      <c r="A182" s="19" t="s">
        <v>814</v>
      </c>
      <c r="B182">
        <v>60292.805299999993</v>
      </c>
    </row>
    <row r="183" spans="1:2" x14ac:dyDescent="0.3">
      <c r="A183" s="19" t="s">
        <v>1324</v>
      </c>
      <c r="B183">
        <v>51768.181920000003</v>
      </c>
    </row>
    <row r="184" spans="1:2" x14ac:dyDescent="0.3">
      <c r="A184" s="19" t="s">
        <v>1356</v>
      </c>
      <c r="B184">
        <v>50090.397499999999</v>
      </c>
    </row>
    <row r="185" spans="1:2" x14ac:dyDescent="0.3">
      <c r="A185" s="19" t="s">
        <v>1091</v>
      </c>
      <c r="B185">
        <v>49336.511399999996</v>
      </c>
    </row>
    <row r="186" spans="1:2" x14ac:dyDescent="0.3">
      <c r="A186" s="19" t="s">
        <v>937</v>
      </c>
      <c r="B186">
        <v>47962.717579999997</v>
      </c>
    </row>
    <row r="187" spans="1:2" x14ac:dyDescent="0.3">
      <c r="A187" s="19" t="s">
        <v>1116</v>
      </c>
      <c r="B187">
        <v>47693.373</v>
      </c>
    </row>
    <row r="188" spans="1:2" x14ac:dyDescent="0.3">
      <c r="A188" s="19" t="s">
        <v>1110</v>
      </c>
      <c r="B188">
        <v>43553.493060000001</v>
      </c>
    </row>
    <row r="189" spans="1:2" x14ac:dyDescent="0.3">
      <c r="A189" s="19" t="s">
        <v>1213</v>
      </c>
      <c r="B189">
        <v>40488.792960000006</v>
      </c>
    </row>
    <row r="190" spans="1:2" x14ac:dyDescent="0.3">
      <c r="A190" s="19" t="s">
        <v>1036</v>
      </c>
      <c r="B190">
        <v>39686.4182</v>
      </c>
    </row>
    <row r="191" spans="1:2" x14ac:dyDescent="0.3">
      <c r="A191" s="19" t="s">
        <v>1056</v>
      </c>
      <c r="B191">
        <v>39546.774539999999</v>
      </c>
    </row>
    <row r="192" spans="1:2" x14ac:dyDescent="0.3">
      <c r="A192" s="19" t="s">
        <v>782</v>
      </c>
      <c r="B192">
        <v>35621.302319999995</v>
      </c>
    </row>
    <row r="193" spans="1:2" x14ac:dyDescent="0.3">
      <c r="A193" s="19" t="s">
        <v>1087</v>
      </c>
      <c r="B193">
        <v>34816.968000000001</v>
      </c>
    </row>
    <row r="194" spans="1:2" x14ac:dyDescent="0.3">
      <c r="A194" s="19" t="s">
        <v>1301</v>
      </c>
      <c r="B194">
        <v>34307.159999999996</v>
      </c>
    </row>
    <row r="195" spans="1:2" x14ac:dyDescent="0.3">
      <c r="A195" s="19" t="s">
        <v>1113</v>
      </c>
      <c r="B195">
        <v>33200.038079999998</v>
      </c>
    </row>
    <row r="196" spans="1:2" x14ac:dyDescent="0.3">
      <c r="A196" s="19" t="s">
        <v>1357</v>
      </c>
      <c r="B196">
        <v>32704.386400000003</v>
      </c>
    </row>
    <row r="197" spans="1:2" x14ac:dyDescent="0.3">
      <c r="A197" s="19" t="s">
        <v>779</v>
      </c>
      <c r="B197">
        <v>32506.559399999998</v>
      </c>
    </row>
    <row r="198" spans="1:2" x14ac:dyDescent="0.3">
      <c r="A198" s="19" t="s">
        <v>1147</v>
      </c>
      <c r="B198">
        <v>31513.423040000001</v>
      </c>
    </row>
    <row r="199" spans="1:2" x14ac:dyDescent="0.3">
      <c r="A199" s="19" t="s">
        <v>1229</v>
      </c>
      <c r="B199">
        <v>30692.47896</v>
      </c>
    </row>
    <row r="200" spans="1:2" x14ac:dyDescent="0.3">
      <c r="A200" s="19" t="s">
        <v>960</v>
      </c>
      <c r="B200">
        <v>30479.418970000002</v>
      </c>
    </row>
    <row r="201" spans="1:2" x14ac:dyDescent="0.3">
      <c r="A201" s="19" t="s">
        <v>1354</v>
      </c>
      <c r="B201">
        <v>30229.994880000002</v>
      </c>
    </row>
    <row r="202" spans="1:2" x14ac:dyDescent="0.3">
      <c r="A202" s="19" t="s">
        <v>1282</v>
      </c>
      <c r="B202">
        <v>29673.454499999993</v>
      </c>
    </row>
    <row r="203" spans="1:2" x14ac:dyDescent="0.3">
      <c r="A203" s="19" t="s">
        <v>878</v>
      </c>
      <c r="B203">
        <v>25672.127039999999</v>
      </c>
    </row>
    <row r="204" spans="1:2" x14ac:dyDescent="0.3">
      <c r="A204" s="19" t="s">
        <v>1230</v>
      </c>
      <c r="B204">
        <v>25249.613219999999</v>
      </c>
    </row>
    <row r="205" spans="1:2" x14ac:dyDescent="0.3">
      <c r="A205" s="19" t="s">
        <v>1217</v>
      </c>
      <c r="B205">
        <v>21908.731650000002</v>
      </c>
    </row>
    <row r="206" spans="1:2" x14ac:dyDescent="0.3">
      <c r="A206" s="19" t="s">
        <v>818</v>
      </c>
      <c r="B206">
        <v>21062.61248</v>
      </c>
    </row>
    <row r="207" spans="1:2" x14ac:dyDescent="0.3">
      <c r="A207" s="19" t="s">
        <v>763</v>
      </c>
      <c r="B207">
        <v>20084.133720000002</v>
      </c>
    </row>
    <row r="208" spans="1:2" x14ac:dyDescent="0.3">
      <c r="A208" s="19" t="s">
        <v>1021</v>
      </c>
      <c r="B208">
        <v>20028.787380000002</v>
      </c>
    </row>
    <row r="209" spans="1:2" x14ac:dyDescent="0.3">
      <c r="A209" s="19" t="s">
        <v>755</v>
      </c>
      <c r="B209">
        <v>19903.585040000002</v>
      </c>
    </row>
    <row r="210" spans="1:2" x14ac:dyDescent="0.3">
      <c r="A210" s="19" t="s">
        <v>1015</v>
      </c>
      <c r="B210">
        <v>19086.34</v>
      </c>
    </row>
    <row r="211" spans="1:2" x14ac:dyDescent="0.3">
      <c r="A211" s="19" t="s">
        <v>1284</v>
      </c>
      <c r="B211">
        <v>18830.12472</v>
      </c>
    </row>
    <row r="212" spans="1:2" x14ac:dyDescent="0.3">
      <c r="A212" s="19" t="s">
        <v>1346</v>
      </c>
      <c r="B212">
        <v>18500.693520000001</v>
      </c>
    </row>
    <row r="213" spans="1:2" x14ac:dyDescent="0.3">
      <c r="A213" s="19" t="s">
        <v>1133</v>
      </c>
      <c r="B213">
        <v>17731.623</v>
      </c>
    </row>
    <row r="214" spans="1:2" x14ac:dyDescent="0.3">
      <c r="A214" s="19" t="s">
        <v>1051</v>
      </c>
      <c r="B214">
        <v>16306.59375</v>
      </c>
    </row>
    <row r="215" spans="1:2" x14ac:dyDescent="0.3">
      <c r="A215" s="19" t="s">
        <v>863</v>
      </c>
      <c r="B215">
        <v>16071.44868</v>
      </c>
    </row>
    <row r="216" spans="1:2" x14ac:dyDescent="0.3">
      <c r="A216" s="19" t="s">
        <v>1240</v>
      </c>
      <c r="B216">
        <v>15323.926799999999</v>
      </c>
    </row>
    <row r="217" spans="1:2" x14ac:dyDescent="0.3">
      <c r="A217" s="19" t="s">
        <v>949</v>
      </c>
      <c r="B217">
        <v>15253.069799999999</v>
      </c>
    </row>
    <row r="218" spans="1:2" x14ac:dyDescent="0.3">
      <c r="A218" s="19" t="s">
        <v>1200</v>
      </c>
      <c r="B218">
        <v>14261.92439</v>
      </c>
    </row>
    <row r="219" spans="1:2" x14ac:dyDescent="0.3">
      <c r="A219" s="19" t="s">
        <v>1309</v>
      </c>
      <c r="B219">
        <v>13882.6016</v>
      </c>
    </row>
    <row r="220" spans="1:2" x14ac:dyDescent="0.3">
      <c r="A220" s="19" t="s">
        <v>736</v>
      </c>
      <c r="B220">
        <v>13237.307788319999</v>
      </c>
    </row>
    <row r="221" spans="1:2" x14ac:dyDescent="0.3">
      <c r="A221" s="19" t="s">
        <v>1114</v>
      </c>
      <c r="B221">
        <v>12881.097599999999</v>
      </c>
    </row>
    <row r="222" spans="1:2" x14ac:dyDescent="0.3">
      <c r="A222" s="19" t="s">
        <v>1308</v>
      </c>
      <c r="B222">
        <v>12091.190399999999</v>
      </c>
    </row>
    <row r="223" spans="1:2" x14ac:dyDescent="0.3">
      <c r="A223" s="19" t="s">
        <v>857</v>
      </c>
      <c r="B223">
        <v>10817.3416</v>
      </c>
    </row>
    <row r="224" spans="1:2" x14ac:dyDescent="0.3">
      <c r="A224" s="19" t="s">
        <v>1277</v>
      </c>
      <c r="B224">
        <v>10792.637119999999</v>
      </c>
    </row>
    <row r="225" spans="1:2" x14ac:dyDescent="0.3">
      <c r="A225" s="19" t="s">
        <v>1348</v>
      </c>
      <c r="B225">
        <v>10786.32144</v>
      </c>
    </row>
    <row r="226" spans="1:2" x14ac:dyDescent="0.3">
      <c r="A226" s="19" t="s">
        <v>775</v>
      </c>
      <c r="B226">
        <v>10558.74</v>
      </c>
    </row>
    <row r="227" spans="1:2" x14ac:dyDescent="0.3">
      <c r="A227" s="19" t="s">
        <v>1237</v>
      </c>
      <c r="B227">
        <v>10189.8891</v>
      </c>
    </row>
    <row r="228" spans="1:2" x14ac:dyDescent="0.3">
      <c r="A228" s="19" t="s">
        <v>1296</v>
      </c>
      <c r="B228">
        <v>10166.535600000001</v>
      </c>
    </row>
    <row r="229" spans="1:2" x14ac:dyDescent="0.3">
      <c r="A229" s="19" t="s">
        <v>1251</v>
      </c>
      <c r="B229">
        <v>9807.7842799999999</v>
      </c>
    </row>
    <row r="230" spans="1:2" x14ac:dyDescent="0.3">
      <c r="A230" s="19" t="s">
        <v>766</v>
      </c>
      <c r="B230">
        <v>9647.3852800000004</v>
      </c>
    </row>
    <row r="231" spans="1:2" x14ac:dyDescent="0.3">
      <c r="A231" s="19" t="s">
        <v>807</v>
      </c>
      <c r="B231">
        <v>9373.460219999999</v>
      </c>
    </row>
    <row r="232" spans="1:2" x14ac:dyDescent="0.3">
      <c r="A232" s="19" t="s">
        <v>1263</v>
      </c>
      <c r="B232">
        <v>9262.0686600000008</v>
      </c>
    </row>
    <row r="233" spans="1:2" x14ac:dyDescent="0.3">
      <c r="A233" s="19" t="s">
        <v>889</v>
      </c>
      <c r="B233">
        <v>8909.6646800000017</v>
      </c>
    </row>
    <row r="234" spans="1:2" x14ac:dyDescent="0.3">
      <c r="A234" s="19" t="s">
        <v>1065</v>
      </c>
      <c r="B234">
        <v>8764.4065599999994</v>
      </c>
    </row>
    <row r="235" spans="1:2" x14ac:dyDescent="0.3">
      <c r="A235" s="19" t="s">
        <v>1236</v>
      </c>
      <c r="B235">
        <v>8637.1874499999994</v>
      </c>
    </row>
    <row r="236" spans="1:2" x14ac:dyDescent="0.3">
      <c r="A236" s="19" t="s">
        <v>932</v>
      </c>
      <c r="B236">
        <v>8349.2224200000001</v>
      </c>
    </row>
    <row r="237" spans="1:2" x14ac:dyDescent="0.3">
      <c r="A237" s="19" t="s">
        <v>824</v>
      </c>
      <c r="B237">
        <v>8324.8326000000015</v>
      </c>
    </row>
    <row r="238" spans="1:2" x14ac:dyDescent="0.3">
      <c r="A238" s="19" t="s">
        <v>1269</v>
      </c>
      <c r="B238">
        <v>7823.4472399999995</v>
      </c>
    </row>
    <row r="239" spans="1:2" x14ac:dyDescent="0.3">
      <c r="A239" s="19" t="s">
        <v>1055</v>
      </c>
      <c r="B239">
        <v>7493.1076000000012</v>
      </c>
    </row>
    <row r="240" spans="1:2" x14ac:dyDescent="0.3">
      <c r="A240" s="19" t="s">
        <v>890</v>
      </c>
      <c r="B240">
        <v>7203.8047000000006</v>
      </c>
    </row>
    <row r="241" spans="1:2" x14ac:dyDescent="0.3">
      <c r="A241" s="19" t="s">
        <v>1112</v>
      </c>
      <c r="B241">
        <v>6576.298960000001</v>
      </c>
    </row>
    <row r="242" spans="1:2" x14ac:dyDescent="0.3">
      <c r="A242" s="19" t="s">
        <v>1169</v>
      </c>
      <c r="B242">
        <v>5546.4642200000008</v>
      </c>
    </row>
    <row r="243" spans="1:2" x14ac:dyDescent="0.3">
      <c r="A243" s="19" t="s">
        <v>832</v>
      </c>
      <c r="B243">
        <v>5328.4890400000004</v>
      </c>
    </row>
    <row r="244" spans="1:2" x14ac:dyDescent="0.3">
      <c r="A244" s="19" t="s">
        <v>1311</v>
      </c>
      <c r="B244">
        <v>4280.6786400000001</v>
      </c>
    </row>
    <row r="245" spans="1:2" x14ac:dyDescent="0.3">
      <c r="A245" s="19" t="s">
        <v>928</v>
      </c>
      <c r="B245">
        <v>3928.3797600000003</v>
      </c>
    </row>
    <row r="246" spans="1:2" x14ac:dyDescent="0.3">
      <c r="A246" s="19" t="s">
        <v>1041</v>
      </c>
      <c r="B246">
        <v>3644.3212800000006</v>
      </c>
    </row>
    <row r="247" spans="1:2" x14ac:dyDescent="0.3">
      <c r="A247" s="19" t="s">
        <v>982</v>
      </c>
      <c r="B247">
        <v>3592.04</v>
      </c>
    </row>
    <row r="248" spans="1:2" x14ac:dyDescent="0.3">
      <c r="A248" s="19" t="s">
        <v>1272</v>
      </c>
      <c r="B248">
        <v>3340.6370000000002</v>
      </c>
    </row>
    <row r="249" spans="1:2" x14ac:dyDescent="0.3">
      <c r="A249" s="19" t="s">
        <v>1078</v>
      </c>
      <c r="B249">
        <v>3175.1547799999998</v>
      </c>
    </row>
    <row r="250" spans="1:2" x14ac:dyDescent="0.3">
      <c r="A250" s="19" t="s">
        <v>1172</v>
      </c>
      <c r="B250">
        <v>2795.6384399999997</v>
      </c>
    </row>
    <row r="251" spans="1:2" x14ac:dyDescent="0.3">
      <c r="A251" s="19" t="s">
        <v>991</v>
      </c>
      <c r="B251">
        <v>2394.1605599999998</v>
      </c>
    </row>
    <row r="252" spans="1:2" x14ac:dyDescent="0.3">
      <c r="A252" s="19" t="s">
        <v>1353</v>
      </c>
      <c r="B252">
        <v>2355.2113199999999</v>
      </c>
    </row>
    <row r="253" spans="1:2" x14ac:dyDescent="0.3">
      <c r="A253" s="19" t="s">
        <v>1167</v>
      </c>
      <c r="B253">
        <v>1950.0031200000001</v>
      </c>
    </row>
    <row r="254" spans="1:2" x14ac:dyDescent="0.3">
      <c r="A254" s="19" t="s">
        <v>842</v>
      </c>
      <c r="B254">
        <v>1660.3999999999999</v>
      </c>
    </row>
    <row r="255" spans="1:2" x14ac:dyDescent="0.3">
      <c r="A255" s="19" t="s">
        <v>848</v>
      </c>
      <c r="B255">
        <v>1499.22</v>
      </c>
    </row>
    <row r="256" spans="1:2" x14ac:dyDescent="0.3">
      <c r="A256" s="19" t="s">
        <v>1075</v>
      </c>
      <c r="B256">
        <v>1115.1975999999997</v>
      </c>
    </row>
    <row r="257" spans="1:2" x14ac:dyDescent="0.3">
      <c r="A257" s="19" t="s">
        <v>1334</v>
      </c>
      <c r="B257">
        <v>1062.5902000000001</v>
      </c>
    </row>
    <row r="258" spans="1:2" x14ac:dyDescent="0.3">
      <c r="A258" s="19" t="s">
        <v>1045</v>
      </c>
      <c r="B258">
        <v>879.05840000000001</v>
      </c>
    </row>
    <row r="259" spans="1:2" x14ac:dyDescent="0.3">
      <c r="A259" s="19" t="s">
        <v>788</v>
      </c>
      <c r="B259">
        <v>215.19839999999996</v>
      </c>
    </row>
    <row r="260" spans="1:2" x14ac:dyDescent="0.3">
      <c r="A260" s="19" t="s">
        <v>846</v>
      </c>
      <c r="B260">
        <v>34.689059999999998</v>
      </c>
    </row>
    <row r="261" spans="1:2" x14ac:dyDescent="0.3">
      <c r="A261" s="18" t="s">
        <v>730</v>
      </c>
      <c r="B261">
        <v>1361029.3870599999</v>
      </c>
    </row>
    <row r="262" spans="1:2" x14ac:dyDescent="0.3">
      <c r="A262" s="19" t="s">
        <v>1320</v>
      </c>
      <c r="B262">
        <v>68665.574250000005</v>
      </c>
    </row>
    <row r="263" spans="1:2" x14ac:dyDescent="0.3">
      <c r="A263" s="19" t="s">
        <v>834</v>
      </c>
      <c r="B263">
        <v>52780.07</v>
      </c>
    </row>
    <row r="264" spans="1:2" x14ac:dyDescent="0.3">
      <c r="A264" s="19" t="s">
        <v>883</v>
      </c>
      <c r="B264">
        <v>42495.805439999996</v>
      </c>
    </row>
    <row r="265" spans="1:2" x14ac:dyDescent="0.3">
      <c r="A265" s="19" t="s">
        <v>915</v>
      </c>
      <c r="B265">
        <v>41352.246200000009</v>
      </c>
    </row>
    <row r="266" spans="1:2" x14ac:dyDescent="0.3">
      <c r="A266" s="19" t="s">
        <v>1162</v>
      </c>
      <c r="B266">
        <v>41138.261999999995</v>
      </c>
    </row>
    <row r="267" spans="1:2" x14ac:dyDescent="0.3">
      <c r="A267" s="19" t="s">
        <v>1109</v>
      </c>
      <c r="B267">
        <v>38422.022320000004</v>
      </c>
    </row>
    <row r="268" spans="1:2" x14ac:dyDescent="0.3">
      <c r="A268" s="19" t="s">
        <v>970</v>
      </c>
      <c r="B268">
        <v>37038.581760000001</v>
      </c>
    </row>
    <row r="269" spans="1:2" x14ac:dyDescent="0.3">
      <c r="A269" s="19" t="s">
        <v>751</v>
      </c>
      <c r="B269">
        <v>35367.211040000002</v>
      </c>
    </row>
    <row r="270" spans="1:2" x14ac:dyDescent="0.3">
      <c r="A270" s="19" t="s">
        <v>1012</v>
      </c>
      <c r="B270">
        <v>34840.344000000005</v>
      </c>
    </row>
    <row r="271" spans="1:2" x14ac:dyDescent="0.3">
      <c r="A271" s="19" t="s">
        <v>1239</v>
      </c>
      <c r="B271">
        <v>34800.431400000001</v>
      </c>
    </row>
    <row r="272" spans="1:2" x14ac:dyDescent="0.3">
      <c r="A272" s="19" t="s">
        <v>1287</v>
      </c>
      <c r="B272">
        <v>33551.927499999998</v>
      </c>
    </row>
    <row r="273" spans="1:2" x14ac:dyDescent="0.3">
      <c r="A273" s="19" t="s">
        <v>1294</v>
      </c>
      <c r="B273">
        <v>33071.3145</v>
      </c>
    </row>
    <row r="274" spans="1:2" x14ac:dyDescent="0.3">
      <c r="A274" s="19" t="s">
        <v>1360</v>
      </c>
      <c r="B274">
        <v>33017.42</v>
      </c>
    </row>
    <row r="275" spans="1:2" x14ac:dyDescent="0.3">
      <c r="A275" s="19" t="s">
        <v>1108</v>
      </c>
      <c r="B275">
        <v>31005.24768</v>
      </c>
    </row>
    <row r="276" spans="1:2" x14ac:dyDescent="0.3">
      <c r="A276" s="19" t="s">
        <v>1156</v>
      </c>
      <c r="B276">
        <v>29627.320319999999</v>
      </c>
    </row>
    <row r="277" spans="1:2" x14ac:dyDescent="0.3">
      <c r="A277" s="19" t="s">
        <v>893</v>
      </c>
      <c r="B277">
        <v>29263.754519999995</v>
      </c>
    </row>
    <row r="278" spans="1:2" x14ac:dyDescent="0.3">
      <c r="A278" s="19" t="s">
        <v>1160</v>
      </c>
      <c r="B278">
        <v>28626.48</v>
      </c>
    </row>
    <row r="279" spans="1:2" x14ac:dyDescent="0.3">
      <c r="A279" s="19" t="s">
        <v>1070</v>
      </c>
      <c r="B279">
        <v>28247.74656</v>
      </c>
    </row>
    <row r="280" spans="1:2" x14ac:dyDescent="0.3">
      <c r="A280" s="19" t="s">
        <v>1168</v>
      </c>
      <c r="B280">
        <v>27249</v>
      </c>
    </row>
    <row r="281" spans="1:2" x14ac:dyDescent="0.3">
      <c r="A281" s="19" t="s">
        <v>765</v>
      </c>
      <c r="B281">
        <v>26150.364320000001</v>
      </c>
    </row>
    <row r="282" spans="1:2" x14ac:dyDescent="0.3">
      <c r="A282" s="19" t="s">
        <v>936</v>
      </c>
      <c r="B282">
        <v>25299.040000000001</v>
      </c>
    </row>
    <row r="283" spans="1:2" x14ac:dyDescent="0.3">
      <c r="A283" s="19" t="s">
        <v>947</v>
      </c>
      <c r="B283">
        <v>24223.05</v>
      </c>
    </row>
    <row r="284" spans="1:2" x14ac:dyDescent="0.3">
      <c r="A284" s="19" t="s">
        <v>841</v>
      </c>
      <c r="B284">
        <v>23687.524440000001</v>
      </c>
    </row>
    <row r="285" spans="1:2" x14ac:dyDescent="0.3">
      <c r="A285" s="19" t="s">
        <v>1317</v>
      </c>
      <c r="B285">
        <v>22676.312610000001</v>
      </c>
    </row>
    <row r="286" spans="1:2" x14ac:dyDescent="0.3">
      <c r="A286" s="19" t="s">
        <v>1054</v>
      </c>
      <c r="B286">
        <v>22380.204000000002</v>
      </c>
    </row>
    <row r="287" spans="1:2" x14ac:dyDescent="0.3">
      <c r="A287" s="19" t="s">
        <v>930</v>
      </c>
      <c r="B287">
        <v>21679.749799999998</v>
      </c>
    </row>
    <row r="288" spans="1:2" x14ac:dyDescent="0.3">
      <c r="A288" s="19" t="s">
        <v>959</v>
      </c>
      <c r="B288">
        <v>21573.6495</v>
      </c>
    </row>
    <row r="289" spans="1:2" x14ac:dyDescent="0.3">
      <c r="A289" s="19" t="s">
        <v>1140</v>
      </c>
      <c r="B289">
        <v>21541.017959999997</v>
      </c>
    </row>
    <row r="290" spans="1:2" x14ac:dyDescent="0.3">
      <c r="A290" s="19" t="s">
        <v>1189</v>
      </c>
      <c r="B290">
        <v>20797.98</v>
      </c>
    </row>
    <row r="291" spans="1:2" x14ac:dyDescent="0.3">
      <c r="A291" s="19" t="s">
        <v>1100</v>
      </c>
      <c r="B291">
        <v>19547.329920000004</v>
      </c>
    </row>
    <row r="292" spans="1:2" x14ac:dyDescent="0.3">
      <c r="A292" s="19" t="s">
        <v>825</v>
      </c>
      <c r="B292">
        <v>19510.808000000001</v>
      </c>
    </row>
    <row r="293" spans="1:2" x14ac:dyDescent="0.3">
      <c r="A293" s="19" t="s">
        <v>1207</v>
      </c>
      <c r="B293">
        <v>19233.355499999998</v>
      </c>
    </row>
    <row r="294" spans="1:2" x14ac:dyDescent="0.3">
      <c r="A294" s="19" t="s">
        <v>1105</v>
      </c>
      <c r="B294">
        <v>16873.45</v>
      </c>
    </row>
    <row r="295" spans="1:2" x14ac:dyDescent="0.3">
      <c r="A295" s="19" t="s">
        <v>1146</v>
      </c>
      <c r="B295">
        <v>16134.22069</v>
      </c>
    </row>
    <row r="296" spans="1:2" x14ac:dyDescent="0.3">
      <c r="A296" s="19" t="s">
        <v>856</v>
      </c>
      <c r="B296">
        <v>16061.972879999999</v>
      </c>
    </row>
    <row r="297" spans="1:2" x14ac:dyDescent="0.3">
      <c r="A297" s="19" t="s">
        <v>934</v>
      </c>
      <c r="B297">
        <v>14963.769179999999</v>
      </c>
    </row>
    <row r="298" spans="1:2" x14ac:dyDescent="0.3">
      <c r="A298" s="19" t="s">
        <v>1153</v>
      </c>
      <c r="B298">
        <v>14527.748400000002</v>
      </c>
    </row>
    <row r="299" spans="1:2" x14ac:dyDescent="0.3">
      <c r="A299" s="19" t="s">
        <v>1174</v>
      </c>
      <c r="B299">
        <v>12668.50728</v>
      </c>
    </row>
    <row r="300" spans="1:2" x14ac:dyDescent="0.3">
      <c r="A300" s="19" t="s">
        <v>1182</v>
      </c>
      <c r="B300">
        <v>12289.2</v>
      </c>
    </row>
    <row r="301" spans="1:2" x14ac:dyDescent="0.3">
      <c r="A301" s="19" t="s">
        <v>978</v>
      </c>
      <c r="B301">
        <v>12248.675999999999</v>
      </c>
    </row>
    <row r="302" spans="1:2" x14ac:dyDescent="0.3">
      <c r="A302" s="19" t="s">
        <v>799</v>
      </c>
      <c r="B302">
        <v>12153.267360000002</v>
      </c>
    </row>
    <row r="303" spans="1:2" x14ac:dyDescent="0.3">
      <c r="A303" s="19" t="s">
        <v>1186</v>
      </c>
      <c r="B303">
        <v>11984.891250000001</v>
      </c>
    </row>
    <row r="304" spans="1:2" x14ac:dyDescent="0.3">
      <c r="A304" s="19" t="s">
        <v>1266</v>
      </c>
      <c r="B304">
        <v>11924.0978</v>
      </c>
    </row>
    <row r="305" spans="1:2" x14ac:dyDescent="0.3">
      <c r="A305" s="19" t="s">
        <v>931</v>
      </c>
      <c r="B305">
        <v>11326.846439999999</v>
      </c>
    </row>
    <row r="306" spans="1:2" x14ac:dyDescent="0.3">
      <c r="A306" s="19" t="s">
        <v>1126</v>
      </c>
      <c r="B306">
        <v>11285.764020000001</v>
      </c>
    </row>
    <row r="307" spans="1:2" x14ac:dyDescent="0.3">
      <c r="A307" s="19" t="s">
        <v>796</v>
      </c>
      <c r="B307">
        <v>10947.904</v>
      </c>
    </row>
    <row r="308" spans="1:2" x14ac:dyDescent="0.3">
      <c r="A308" s="19" t="s">
        <v>745</v>
      </c>
      <c r="B308">
        <v>10370.549999999999</v>
      </c>
    </row>
    <row r="309" spans="1:2" x14ac:dyDescent="0.3">
      <c r="A309" s="19" t="s">
        <v>1154</v>
      </c>
      <c r="B309">
        <v>9984.7160999999978</v>
      </c>
    </row>
    <row r="310" spans="1:2" x14ac:dyDescent="0.3">
      <c r="A310" s="19" t="s">
        <v>975</v>
      </c>
      <c r="B310">
        <v>9684.8756000000012</v>
      </c>
    </row>
    <row r="311" spans="1:2" x14ac:dyDescent="0.3">
      <c r="A311" s="19" t="s">
        <v>1222</v>
      </c>
      <c r="B311">
        <v>9614.4403999999995</v>
      </c>
    </row>
    <row r="312" spans="1:2" x14ac:dyDescent="0.3">
      <c r="A312" s="19" t="s">
        <v>1050</v>
      </c>
      <c r="B312">
        <v>9062.34692</v>
      </c>
    </row>
    <row r="313" spans="1:2" x14ac:dyDescent="0.3">
      <c r="A313" s="19" t="s">
        <v>1077</v>
      </c>
      <c r="B313">
        <v>8938.8996600000009</v>
      </c>
    </row>
    <row r="314" spans="1:2" x14ac:dyDescent="0.3">
      <c r="A314" s="19" t="s">
        <v>875</v>
      </c>
      <c r="B314">
        <v>8211.6342000000004</v>
      </c>
    </row>
    <row r="315" spans="1:2" x14ac:dyDescent="0.3">
      <c r="A315" s="19" t="s">
        <v>896</v>
      </c>
      <c r="B315">
        <v>8154.5511600000009</v>
      </c>
    </row>
    <row r="316" spans="1:2" x14ac:dyDescent="0.3">
      <c r="A316" s="19" t="s">
        <v>1037</v>
      </c>
      <c r="B316">
        <v>8093.4784</v>
      </c>
    </row>
    <row r="317" spans="1:2" x14ac:dyDescent="0.3">
      <c r="A317" s="19" t="s">
        <v>1234</v>
      </c>
      <c r="B317">
        <v>7428.1108999999988</v>
      </c>
    </row>
    <row r="318" spans="1:2" x14ac:dyDescent="0.3">
      <c r="A318" s="19" t="s">
        <v>1312</v>
      </c>
      <c r="B318">
        <v>7173.3342799999991</v>
      </c>
    </row>
    <row r="319" spans="1:2" x14ac:dyDescent="0.3">
      <c r="A319" s="19" t="s">
        <v>1002</v>
      </c>
      <c r="B319">
        <v>6946.8</v>
      </c>
    </row>
    <row r="320" spans="1:2" x14ac:dyDescent="0.3">
      <c r="A320" s="19" t="s">
        <v>972</v>
      </c>
      <c r="B320">
        <v>6684.1875</v>
      </c>
    </row>
    <row r="321" spans="1:2" x14ac:dyDescent="0.3">
      <c r="A321" s="19" t="s">
        <v>965</v>
      </c>
      <c r="B321">
        <v>5814.6927299999998</v>
      </c>
    </row>
    <row r="322" spans="1:2" x14ac:dyDescent="0.3">
      <c r="A322" s="19" t="s">
        <v>828</v>
      </c>
      <c r="B322">
        <v>5487.6023999999998</v>
      </c>
    </row>
    <row r="323" spans="1:2" x14ac:dyDescent="0.3">
      <c r="A323" s="19" t="s">
        <v>737</v>
      </c>
      <c r="B323">
        <v>5225.2710400000005</v>
      </c>
    </row>
    <row r="324" spans="1:2" x14ac:dyDescent="0.3">
      <c r="A324" s="19" t="s">
        <v>1246</v>
      </c>
      <c r="B324">
        <v>5189.8836000000001</v>
      </c>
    </row>
    <row r="325" spans="1:2" x14ac:dyDescent="0.3">
      <c r="A325" s="19" t="s">
        <v>1219</v>
      </c>
      <c r="B325">
        <v>5159.7893599999998</v>
      </c>
    </row>
    <row r="326" spans="1:2" x14ac:dyDescent="0.3">
      <c r="A326" s="19" t="s">
        <v>1216</v>
      </c>
      <c r="B326">
        <v>5127.0390600000001</v>
      </c>
    </row>
    <row r="327" spans="1:2" x14ac:dyDescent="0.3">
      <c r="A327" s="19" t="s">
        <v>1095</v>
      </c>
      <c r="B327">
        <v>4804.4682400000002</v>
      </c>
    </row>
    <row r="328" spans="1:2" x14ac:dyDescent="0.3">
      <c r="A328" s="19" t="s">
        <v>871</v>
      </c>
      <c r="B328">
        <v>4336.2427499999994</v>
      </c>
    </row>
    <row r="329" spans="1:2" x14ac:dyDescent="0.3">
      <c r="A329" s="19" t="s">
        <v>761</v>
      </c>
      <c r="B329">
        <v>3980.7075</v>
      </c>
    </row>
    <row r="330" spans="1:2" x14ac:dyDescent="0.3">
      <c r="A330" s="19" t="s">
        <v>1019</v>
      </c>
      <c r="B330">
        <v>3978.6474000000003</v>
      </c>
    </row>
    <row r="331" spans="1:2" x14ac:dyDescent="0.3">
      <c r="A331" s="19" t="s">
        <v>762</v>
      </c>
      <c r="B331">
        <v>3913.2000000000003</v>
      </c>
    </row>
    <row r="332" spans="1:2" x14ac:dyDescent="0.3">
      <c r="A332" s="19" t="s">
        <v>1061</v>
      </c>
      <c r="B332">
        <v>3799.8031499999997</v>
      </c>
    </row>
    <row r="333" spans="1:2" x14ac:dyDescent="0.3">
      <c r="A333" s="19" t="s">
        <v>867</v>
      </c>
      <c r="B333">
        <v>3494.4040799999998</v>
      </c>
    </row>
    <row r="334" spans="1:2" x14ac:dyDescent="0.3">
      <c r="A334" s="19" t="s">
        <v>979</v>
      </c>
      <c r="B334">
        <v>2909.8689199999999</v>
      </c>
    </row>
    <row r="335" spans="1:2" x14ac:dyDescent="0.3">
      <c r="A335" s="19" t="s">
        <v>862</v>
      </c>
      <c r="B335">
        <v>2642.1686999999997</v>
      </c>
    </row>
    <row r="336" spans="1:2" x14ac:dyDescent="0.3">
      <c r="A336" s="19" t="s">
        <v>1064</v>
      </c>
      <c r="B336">
        <v>2537.2908000000002</v>
      </c>
    </row>
    <row r="337" spans="1:2" x14ac:dyDescent="0.3">
      <c r="A337" s="19" t="s">
        <v>1081</v>
      </c>
      <c r="B337">
        <v>2206.8000000000002</v>
      </c>
    </row>
    <row r="338" spans="1:2" x14ac:dyDescent="0.3">
      <c r="A338" s="19" t="s">
        <v>1145</v>
      </c>
      <c r="B338">
        <v>2059.0056</v>
      </c>
    </row>
    <row r="339" spans="1:2" x14ac:dyDescent="0.3">
      <c r="A339" s="19" t="s">
        <v>1304</v>
      </c>
      <c r="B339">
        <v>841.00536</v>
      </c>
    </row>
    <row r="340" spans="1:2" x14ac:dyDescent="0.3">
      <c r="A340" s="19" t="s">
        <v>1016</v>
      </c>
      <c r="B340">
        <v>667.74</v>
      </c>
    </row>
    <row r="341" spans="1:2" x14ac:dyDescent="0.3">
      <c r="A341" s="19" t="s">
        <v>1264</v>
      </c>
      <c r="B341">
        <v>618.19979999999987</v>
      </c>
    </row>
    <row r="342" spans="1:2" x14ac:dyDescent="0.3">
      <c r="A342" s="19" t="s">
        <v>997</v>
      </c>
      <c r="B342">
        <v>560.36831999999993</v>
      </c>
    </row>
    <row r="343" spans="1:2" x14ac:dyDescent="0.3">
      <c r="A343" s="19" t="s">
        <v>840</v>
      </c>
      <c r="B343">
        <v>518.65436999999997</v>
      </c>
    </row>
    <row r="344" spans="1:2" x14ac:dyDescent="0.3">
      <c r="A344" s="19" t="s">
        <v>1318</v>
      </c>
      <c r="B344">
        <v>370.86</v>
      </c>
    </row>
    <row r="345" spans="1:2" x14ac:dyDescent="0.3">
      <c r="A345" s="19" t="s">
        <v>1226</v>
      </c>
      <c r="B345">
        <v>110.14919999999999</v>
      </c>
    </row>
    <row r="346" spans="1:2" x14ac:dyDescent="0.3">
      <c r="A346" s="19" t="s">
        <v>1020</v>
      </c>
      <c r="B346">
        <v>76.138720000000006</v>
      </c>
    </row>
    <row r="347" spans="1:2" x14ac:dyDescent="0.3">
      <c r="A347" s="18" t="s">
        <v>728</v>
      </c>
      <c r="B347">
        <v>1535009.1049199991</v>
      </c>
    </row>
    <row r="348" spans="1:2" x14ac:dyDescent="0.3">
      <c r="A348" s="19" t="s">
        <v>1271</v>
      </c>
      <c r="B348">
        <v>66260.314239999992</v>
      </c>
    </row>
    <row r="349" spans="1:2" x14ac:dyDescent="0.3">
      <c r="A349" s="19" t="s">
        <v>1157</v>
      </c>
      <c r="B349">
        <v>58091.634960000003</v>
      </c>
    </row>
    <row r="350" spans="1:2" x14ac:dyDescent="0.3">
      <c r="A350" s="19" t="s">
        <v>933</v>
      </c>
      <c r="B350">
        <v>55880.483749999999</v>
      </c>
    </row>
    <row r="351" spans="1:2" x14ac:dyDescent="0.3">
      <c r="A351" s="19" t="s">
        <v>1289</v>
      </c>
      <c r="B351">
        <v>50545.319219999998</v>
      </c>
    </row>
    <row r="352" spans="1:2" x14ac:dyDescent="0.3">
      <c r="A352" s="19" t="s">
        <v>776</v>
      </c>
      <c r="B352">
        <v>44863</v>
      </c>
    </row>
    <row r="353" spans="1:2" x14ac:dyDescent="0.3">
      <c r="A353" s="19" t="s">
        <v>1090</v>
      </c>
      <c r="B353">
        <v>43907.94</v>
      </c>
    </row>
    <row r="354" spans="1:2" x14ac:dyDescent="0.3">
      <c r="A354" s="19" t="s">
        <v>829</v>
      </c>
      <c r="B354">
        <v>43209.006119999991</v>
      </c>
    </row>
    <row r="355" spans="1:2" x14ac:dyDescent="0.3">
      <c r="A355" s="19" t="s">
        <v>1047</v>
      </c>
      <c r="B355">
        <v>40325.31</v>
      </c>
    </row>
    <row r="356" spans="1:2" x14ac:dyDescent="0.3">
      <c r="A356" s="19" t="s">
        <v>1335</v>
      </c>
      <c r="B356">
        <v>39810.328000000001</v>
      </c>
    </row>
    <row r="357" spans="1:2" x14ac:dyDescent="0.3">
      <c r="A357" s="19" t="s">
        <v>1115</v>
      </c>
      <c r="B357">
        <v>37562.28</v>
      </c>
    </row>
    <row r="358" spans="1:2" x14ac:dyDescent="0.3">
      <c r="A358" s="19" t="s">
        <v>1204</v>
      </c>
      <c r="B358">
        <v>36549.429260000004</v>
      </c>
    </row>
    <row r="359" spans="1:2" x14ac:dyDescent="0.3">
      <c r="A359" s="19" t="s">
        <v>872</v>
      </c>
      <c r="B359">
        <v>35567.737920000007</v>
      </c>
    </row>
    <row r="360" spans="1:2" x14ac:dyDescent="0.3">
      <c r="A360" s="19" t="s">
        <v>783</v>
      </c>
      <c r="B360">
        <v>34444.462359999998</v>
      </c>
    </row>
    <row r="361" spans="1:2" x14ac:dyDescent="0.3">
      <c r="A361" s="19" t="s">
        <v>1262</v>
      </c>
      <c r="B361">
        <v>33421.1</v>
      </c>
    </row>
    <row r="362" spans="1:2" x14ac:dyDescent="0.3">
      <c r="A362" s="19" t="s">
        <v>1280</v>
      </c>
      <c r="B362">
        <v>31822.023930000003</v>
      </c>
    </row>
    <row r="363" spans="1:2" x14ac:dyDescent="0.3">
      <c r="A363" s="19" t="s">
        <v>887</v>
      </c>
      <c r="B363">
        <v>29654.83008</v>
      </c>
    </row>
    <row r="364" spans="1:2" x14ac:dyDescent="0.3">
      <c r="A364" s="19" t="s">
        <v>953</v>
      </c>
      <c r="B364">
        <v>28211.92124</v>
      </c>
    </row>
    <row r="365" spans="1:2" x14ac:dyDescent="0.3">
      <c r="A365" s="19" t="s">
        <v>1208</v>
      </c>
      <c r="B365">
        <v>27194.152039999997</v>
      </c>
    </row>
    <row r="366" spans="1:2" x14ac:dyDescent="0.3">
      <c r="A366" s="19" t="s">
        <v>750</v>
      </c>
      <c r="B366">
        <v>25948.414799999995</v>
      </c>
    </row>
    <row r="367" spans="1:2" x14ac:dyDescent="0.3">
      <c r="A367" s="19" t="s">
        <v>987</v>
      </c>
      <c r="B367">
        <v>25483.91488</v>
      </c>
    </row>
    <row r="368" spans="1:2" x14ac:dyDescent="0.3">
      <c r="A368" s="19" t="s">
        <v>1350</v>
      </c>
      <c r="B368">
        <v>25174.028880000002</v>
      </c>
    </row>
    <row r="369" spans="1:2" x14ac:dyDescent="0.3">
      <c r="A369" s="19" t="s">
        <v>1139</v>
      </c>
      <c r="B369">
        <v>22457.143800000002</v>
      </c>
    </row>
    <row r="370" spans="1:2" x14ac:dyDescent="0.3">
      <c r="A370" s="19" t="s">
        <v>1249</v>
      </c>
      <c r="B370">
        <v>22201.762229999997</v>
      </c>
    </row>
    <row r="371" spans="1:2" x14ac:dyDescent="0.3">
      <c r="A371" s="19" t="s">
        <v>1177</v>
      </c>
      <c r="B371">
        <v>21664.440000000002</v>
      </c>
    </row>
    <row r="372" spans="1:2" x14ac:dyDescent="0.3">
      <c r="A372" s="19" t="s">
        <v>747</v>
      </c>
      <c r="B372">
        <v>21585.15</v>
      </c>
    </row>
    <row r="373" spans="1:2" x14ac:dyDescent="0.3">
      <c r="A373" s="19" t="s">
        <v>1173</v>
      </c>
      <c r="B373">
        <v>20672.289000000001</v>
      </c>
    </row>
    <row r="374" spans="1:2" x14ac:dyDescent="0.3">
      <c r="A374" s="19" t="s">
        <v>1076</v>
      </c>
      <c r="B374">
        <v>20053.439999999999</v>
      </c>
    </row>
    <row r="375" spans="1:2" x14ac:dyDescent="0.3">
      <c r="A375" s="19" t="s">
        <v>1148</v>
      </c>
      <c r="B375">
        <v>18411.4084</v>
      </c>
    </row>
    <row r="376" spans="1:2" x14ac:dyDescent="0.3">
      <c r="A376" s="19" t="s">
        <v>815</v>
      </c>
      <c r="B376">
        <v>18258.868320000001</v>
      </c>
    </row>
    <row r="377" spans="1:2" x14ac:dyDescent="0.3">
      <c r="A377" s="19" t="s">
        <v>1343</v>
      </c>
      <c r="B377">
        <v>18003.847679999999</v>
      </c>
    </row>
    <row r="378" spans="1:2" x14ac:dyDescent="0.3">
      <c r="A378" s="19" t="s">
        <v>735</v>
      </c>
      <c r="B378">
        <v>17960.432489999999</v>
      </c>
    </row>
    <row r="379" spans="1:2" x14ac:dyDescent="0.3">
      <c r="A379" s="19" t="s">
        <v>1134</v>
      </c>
      <c r="B379">
        <v>17427.164800000002</v>
      </c>
    </row>
    <row r="380" spans="1:2" x14ac:dyDescent="0.3">
      <c r="A380" s="19" t="s">
        <v>962</v>
      </c>
      <c r="B380">
        <v>16609.090809999998</v>
      </c>
    </row>
    <row r="381" spans="1:2" x14ac:dyDescent="0.3">
      <c r="A381" s="19" t="s">
        <v>1202</v>
      </c>
      <c r="B381">
        <v>16252.219979999998</v>
      </c>
    </row>
    <row r="382" spans="1:2" x14ac:dyDescent="0.3">
      <c r="A382" s="19" t="s">
        <v>1069</v>
      </c>
      <c r="B382">
        <v>16219.34496</v>
      </c>
    </row>
    <row r="383" spans="1:2" x14ac:dyDescent="0.3">
      <c r="A383" s="19" t="s">
        <v>942</v>
      </c>
      <c r="B383">
        <v>15825.399369999997</v>
      </c>
    </row>
    <row r="384" spans="1:2" x14ac:dyDescent="0.3">
      <c r="A384" s="19" t="s">
        <v>910</v>
      </c>
      <c r="B384">
        <v>15656.47056</v>
      </c>
    </row>
    <row r="385" spans="1:2" x14ac:dyDescent="0.3">
      <c r="A385" s="19" t="s">
        <v>772</v>
      </c>
      <c r="B385">
        <v>14968.239</v>
      </c>
    </row>
    <row r="386" spans="1:2" x14ac:dyDescent="0.3">
      <c r="A386" s="19" t="s">
        <v>882</v>
      </c>
      <c r="B386">
        <v>14877.464000000002</v>
      </c>
    </row>
    <row r="387" spans="1:2" x14ac:dyDescent="0.3">
      <c r="A387" s="19" t="s">
        <v>1093</v>
      </c>
      <c r="B387">
        <v>14813.731920000002</v>
      </c>
    </row>
    <row r="388" spans="1:2" x14ac:dyDescent="0.3">
      <c r="A388" s="19" t="s">
        <v>1292</v>
      </c>
      <c r="B388">
        <v>13251.48</v>
      </c>
    </row>
    <row r="389" spans="1:2" x14ac:dyDescent="0.3">
      <c r="A389" s="19" t="s">
        <v>1163</v>
      </c>
      <c r="B389">
        <v>12955.824749999998</v>
      </c>
    </row>
    <row r="390" spans="1:2" x14ac:dyDescent="0.3">
      <c r="A390" s="19" t="s">
        <v>1098</v>
      </c>
      <c r="B390">
        <v>12717.311040000001</v>
      </c>
    </row>
    <row r="391" spans="1:2" x14ac:dyDescent="0.3">
      <c r="A391" s="19" t="s">
        <v>999</v>
      </c>
      <c r="B391">
        <v>12597.52224</v>
      </c>
    </row>
    <row r="392" spans="1:2" x14ac:dyDescent="0.3">
      <c r="A392" s="19" t="s">
        <v>1183</v>
      </c>
      <c r="B392">
        <v>12462.65055</v>
      </c>
    </row>
    <row r="393" spans="1:2" x14ac:dyDescent="0.3">
      <c r="A393" s="19" t="s">
        <v>868</v>
      </c>
      <c r="B393">
        <v>12031.491680000001</v>
      </c>
    </row>
    <row r="394" spans="1:2" x14ac:dyDescent="0.3">
      <c r="A394" s="19" t="s">
        <v>898</v>
      </c>
      <c r="B394">
        <v>11851.806399999999</v>
      </c>
    </row>
    <row r="395" spans="1:2" x14ac:dyDescent="0.3">
      <c r="A395" s="19" t="s">
        <v>1008</v>
      </c>
      <c r="B395">
        <v>11417.429099999999</v>
      </c>
    </row>
    <row r="396" spans="1:2" x14ac:dyDescent="0.3">
      <c r="A396" s="19" t="s">
        <v>1260</v>
      </c>
      <c r="B396">
        <v>11406.96</v>
      </c>
    </row>
    <row r="397" spans="1:2" x14ac:dyDescent="0.3">
      <c r="A397" s="19" t="s">
        <v>738</v>
      </c>
      <c r="B397">
        <v>10957.9797</v>
      </c>
    </row>
    <row r="398" spans="1:2" x14ac:dyDescent="0.3">
      <c r="A398" s="19" t="s">
        <v>1235</v>
      </c>
      <c r="B398">
        <v>10869.182940000001</v>
      </c>
    </row>
    <row r="399" spans="1:2" x14ac:dyDescent="0.3">
      <c r="A399" s="19" t="s">
        <v>777</v>
      </c>
      <c r="B399">
        <v>10666.229420000001</v>
      </c>
    </row>
    <row r="400" spans="1:2" x14ac:dyDescent="0.3">
      <c r="A400" s="19" t="s">
        <v>1347</v>
      </c>
      <c r="B400">
        <v>10464.138360000001</v>
      </c>
    </row>
    <row r="401" spans="1:2" x14ac:dyDescent="0.3">
      <c r="A401" s="19" t="s">
        <v>1203</v>
      </c>
      <c r="B401">
        <v>10428.057360000001</v>
      </c>
    </row>
    <row r="402" spans="1:2" x14ac:dyDescent="0.3">
      <c r="A402" s="19" t="s">
        <v>1342</v>
      </c>
      <c r="B402">
        <v>10260.060159999999</v>
      </c>
    </row>
    <row r="403" spans="1:2" x14ac:dyDescent="0.3">
      <c r="A403" s="19" t="s">
        <v>826</v>
      </c>
      <c r="B403">
        <v>10161.46624</v>
      </c>
    </row>
    <row r="404" spans="1:2" x14ac:dyDescent="0.3">
      <c r="A404" s="19" t="s">
        <v>877</v>
      </c>
      <c r="B404">
        <v>9969.4201499999999</v>
      </c>
    </row>
    <row r="405" spans="1:2" x14ac:dyDescent="0.3">
      <c r="A405" s="19" t="s">
        <v>1119</v>
      </c>
      <c r="B405">
        <v>9586.8057599999993</v>
      </c>
    </row>
    <row r="406" spans="1:2" x14ac:dyDescent="0.3">
      <c r="A406" s="19" t="s">
        <v>1258</v>
      </c>
      <c r="B406">
        <v>8326.6852500000005</v>
      </c>
    </row>
    <row r="407" spans="1:2" x14ac:dyDescent="0.3">
      <c r="A407" s="19" t="s">
        <v>884</v>
      </c>
      <c r="B407">
        <v>7901.5041599999995</v>
      </c>
    </row>
    <row r="408" spans="1:2" x14ac:dyDescent="0.3">
      <c r="A408" s="19" t="s">
        <v>1003</v>
      </c>
      <c r="B408">
        <v>7678.2113999999992</v>
      </c>
    </row>
    <row r="409" spans="1:2" x14ac:dyDescent="0.3">
      <c r="A409" s="19" t="s">
        <v>1333</v>
      </c>
      <c r="B409">
        <v>7466.3063999999986</v>
      </c>
    </row>
    <row r="410" spans="1:2" x14ac:dyDescent="0.3">
      <c r="A410" s="19" t="s">
        <v>963</v>
      </c>
      <c r="B410">
        <v>7446.5209000000004</v>
      </c>
    </row>
    <row r="411" spans="1:2" x14ac:dyDescent="0.3">
      <c r="A411" s="19" t="s">
        <v>780</v>
      </c>
      <c r="B411">
        <v>7135.57</v>
      </c>
    </row>
    <row r="412" spans="1:2" x14ac:dyDescent="0.3">
      <c r="A412" s="19" t="s">
        <v>946</v>
      </c>
      <c r="B412">
        <v>6984.8246399999998</v>
      </c>
    </row>
    <row r="413" spans="1:2" x14ac:dyDescent="0.3">
      <c r="A413" s="19" t="s">
        <v>1144</v>
      </c>
      <c r="B413">
        <v>6899.8804600000003</v>
      </c>
    </row>
    <row r="414" spans="1:2" x14ac:dyDescent="0.3">
      <c r="A414" s="19" t="s">
        <v>769</v>
      </c>
      <c r="B414">
        <v>6631.6443100000006</v>
      </c>
    </row>
    <row r="415" spans="1:2" x14ac:dyDescent="0.3">
      <c r="A415" s="19" t="s">
        <v>952</v>
      </c>
      <c r="B415">
        <v>6535.6324800000002</v>
      </c>
    </row>
    <row r="416" spans="1:2" x14ac:dyDescent="0.3">
      <c r="A416" s="19" t="s">
        <v>1176</v>
      </c>
      <c r="B416">
        <v>5960.04288</v>
      </c>
    </row>
    <row r="417" spans="1:2" x14ac:dyDescent="0.3">
      <c r="A417" s="19" t="s">
        <v>1336</v>
      </c>
      <c r="B417">
        <v>5457.4317000000001</v>
      </c>
    </row>
    <row r="418" spans="1:2" x14ac:dyDescent="0.3">
      <c r="A418" s="19" t="s">
        <v>1042</v>
      </c>
      <c r="B418">
        <v>5334.9141999999993</v>
      </c>
    </row>
    <row r="419" spans="1:2" x14ac:dyDescent="0.3">
      <c r="A419" s="19" t="s">
        <v>1214</v>
      </c>
      <c r="B419">
        <v>4738.5261</v>
      </c>
    </row>
    <row r="420" spans="1:2" x14ac:dyDescent="0.3">
      <c r="A420" s="19" t="s">
        <v>935</v>
      </c>
      <c r="B420">
        <v>4637.7968000000001</v>
      </c>
    </row>
    <row r="421" spans="1:2" x14ac:dyDescent="0.3">
      <c r="A421" s="19" t="s">
        <v>1103</v>
      </c>
      <c r="B421">
        <v>4569.5735999999997</v>
      </c>
    </row>
    <row r="422" spans="1:2" x14ac:dyDescent="0.3">
      <c r="A422" s="19" t="s">
        <v>974</v>
      </c>
      <c r="B422">
        <v>4436.6291200000005</v>
      </c>
    </row>
    <row r="423" spans="1:2" x14ac:dyDescent="0.3">
      <c r="A423" s="19" t="s">
        <v>913</v>
      </c>
      <c r="B423">
        <v>4420.5961799999995</v>
      </c>
    </row>
    <row r="424" spans="1:2" x14ac:dyDescent="0.3">
      <c r="A424" s="19" t="s">
        <v>1330</v>
      </c>
      <c r="B424">
        <v>4409.5168800000001</v>
      </c>
    </row>
    <row r="425" spans="1:2" x14ac:dyDescent="0.3">
      <c r="A425" s="19" t="s">
        <v>927</v>
      </c>
      <c r="B425">
        <v>4402.1164799999997</v>
      </c>
    </row>
    <row r="426" spans="1:2" x14ac:dyDescent="0.3">
      <c r="A426" s="19" t="s">
        <v>1030</v>
      </c>
      <c r="B426">
        <v>4241.88105</v>
      </c>
    </row>
    <row r="427" spans="1:2" x14ac:dyDescent="0.3">
      <c r="A427" s="19" t="s">
        <v>886</v>
      </c>
      <c r="B427">
        <v>4139.8127999999997</v>
      </c>
    </row>
    <row r="428" spans="1:2" x14ac:dyDescent="0.3">
      <c r="A428" s="19" t="s">
        <v>1084</v>
      </c>
      <c r="B428">
        <v>4132.0325200000007</v>
      </c>
    </row>
    <row r="429" spans="1:2" x14ac:dyDescent="0.3">
      <c r="A429" s="19" t="s">
        <v>1107</v>
      </c>
      <c r="B429">
        <v>4117.4880599999997</v>
      </c>
    </row>
    <row r="430" spans="1:2" x14ac:dyDescent="0.3">
      <c r="A430" s="19" t="s">
        <v>1195</v>
      </c>
      <c r="B430">
        <v>4055.5175999999997</v>
      </c>
    </row>
    <row r="431" spans="1:2" x14ac:dyDescent="0.3">
      <c r="A431" s="19" t="s">
        <v>1221</v>
      </c>
      <c r="B431">
        <v>4025.8565599999993</v>
      </c>
    </row>
    <row r="432" spans="1:2" x14ac:dyDescent="0.3">
      <c r="A432" s="19" t="s">
        <v>773</v>
      </c>
      <c r="B432">
        <v>3562.1983800000003</v>
      </c>
    </row>
    <row r="433" spans="1:2" x14ac:dyDescent="0.3">
      <c r="A433" s="19" t="s">
        <v>1329</v>
      </c>
      <c r="B433">
        <v>3116.21</v>
      </c>
    </row>
    <row r="434" spans="1:2" x14ac:dyDescent="0.3">
      <c r="A434" s="19" t="s">
        <v>966</v>
      </c>
      <c r="B434">
        <v>2879.9836</v>
      </c>
    </row>
    <row r="435" spans="1:2" x14ac:dyDescent="0.3">
      <c r="A435" s="19" t="s">
        <v>1340</v>
      </c>
      <c r="B435">
        <v>2736.27018</v>
      </c>
    </row>
    <row r="436" spans="1:2" x14ac:dyDescent="0.3">
      <c r="A436" s="19" t="s">
        <v>1124</v>
      </c>
      <c r="B436">
        <v>2525.0635000000002</v>
      </c>
    </row>
    <row r="437" spans="1:2" x14ac:dyDescent="0.3">
      <c r="A437" s="19" t="s">
        <v>1259</v>
      </c>
      <c r="B437">
        <v>2146.5580500000001</v>
      </c>
    </row>
    <row r="438" spans="1:2" x14ac:dyDescent="0.3">
      <c r="A438" s="19" t="s">
        <v>908</v>
      </c>
      <c r="B438">
        <v>1952.6356799999999</v>
      </c>
    </row>
    <row r="439" spans="1:2" x14ac:dyDescent="0.3">
      <c r="A439" s="19" t="s">
        <v>1178</v>
      </c>
      <c r="B439">
        <v>1925.29872</v>
      </c>
    </row>
    <row r="440" spans="1:2" x14ac:dyDescent="0.3">
      <c r="A440" s="19" t="s">
        <v>760</v>
      </c>
      <c r="B440">
        <v>1756.6999999999998</v>
      </c>
    </row>
    <row r="441" spans="1:2" x14ac:dyDescent="0.3">
      <c r="A441" s="19" t="s">
        <v>1088</v>
      </c>
      <c r="B441">
        <v>1122.0896000000002</v>
      </c>
    </row>
    <row r="442" spans="1:2" x14ac:dyDescent="0.3">
      <c r="A442" s="19" t="s">
        <v>1025</v>
      </c>
      <c r="B442">
        <v>1098.9470800000001</v>
      </c>
    </row>
    <row r="443" spans="1:2" x14ac:dyDescent="0.3">
      <c r="A443" s="19" t="s">
        <v>850</v>
      </c>
      <c r="B443">
        <v>765.99195000000009</v>
      </c>
    </row>
    <row r="444" spans="1:2" x14ac:dyDescent="0.3">
      <c r="A444" s="19" t="s">
        <v>977</v>
      </c>
      <c r="B444">
        <v>748.22303999999997</v>
      </c>
    </row>
    <row r="445" spans="1:2" x14ac:dyDescent="0.3">
      <c r="A445" s="19" t="s">
        <v>741</v>
      </c>
      <c r="B445">
        <v>685.06776000000002</v>
      </c>
    </row>
    <row r="446" spans="1:2" x14ac:dyDescent="0.3">
      <c r="A446" s="18" t="s">
        <v>1432</v>
      </c>
      <c r="B446">
        <v>10621986.73523376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FEF1C-B50A-4962-9EF3-7BFEC7A8D05A}">
  <dimension ref="A1:E617"/>
  <sheetViews>
    <sheetView workbookViewId="0">
      <pane ySplit="1" topLeftCell="A2" activePane="bottomLeft" state="frozen"/>
      <selection pane="bottomLeft" activeCell="E15" sqref="E15"/>
    </sheetView>
  </sheetViews>
  <sheetFormatPr defaultRowHeight="14.4" x14ac:dyDescent="0.3"/>
  <cols>
    <col min="1" max="1" width="11.33203125" bestFit="1" customWidth="1"/>
    <col min="2" max="2" width="18.88671875" bestFit="1" customWidth="1"/>
    <col min="4" max="4" width="19.88671875" bestFit="1" customWidth="1"/>
  </cols>
  <sheetData>
    <row r="1" spans="1:5" x14ac:dyDescent="0.3">
      <c r="A1" s="14" t="s">
        <v>1431</v>
      </c>
      <c r="B1" s="14" t="s">
        <v>1434</v>
      </c>
      <c r="C1" s="14" t="s">
        <v>1438</v>
      </c>
      <c r="D1" s="14" t="s">
        <v>1439</v>
      </c>
      <c r="E1" s="14" t="s">
        <v>1440</v>
      </c>
    </row>
    <row r="3" spans="1:5" x14ac:dyDescent="0.3">
      <c r="A3" s="14" t="s">
        <v>733</v>
      </c>
      <c r="B3" s="14">
        <v>1311026.8504100004</v>
      </c>
    </row>
    <row r="4" spans="1:5" x14ac:dyDescent="0.3">
      <c r="A4" t="s">
        <v>1080</v>
      </c>
      <c r="B4">
        <v>79082.507010000001</v>
      </c>
      <c r="C4" s="10">
        <f>B4/$B$3</f>
        <v>6.0321042994099128E-2</v>
      </c>
      <c r="D4" s="20">
        <f>C4</f>
        <v>6.0321042994099128E-2</v>
      </c>
      <c r="E4" t="str">
        <f>IF(D4&lt;=80%,"A",IF(D4&lt;=95%,"B","C"))</f>
        <v>A</v>
      </c>
    </row>
    <row r="5" spans="1:5" x14ac:dyDescent="0.3">
      <c r="A5" t="s">
        <v>792</v>
      </c>
      <c r="B5">
        <v>58719.832500000011</v>
      </c>
      <c r="C5" s="10">
        <f>B5/$B$3</f>
        <v>4.4789191374407337E-2</v>
      </c>
      <c r="D5" s="20">
        <f>D4+C5</f>
        <v>0.10511023436850647</v>
      </c>
      <c r="E5" t="str">
        <f>IF(D5&lt;=80%,"A",IF(D5&lt;=95%,"B","C"))</f>
        <v>A</v>
      </c>
    </row>
    <row r="6" spans="1:5" x14ac:dyDescent="0.3">
      <c r="A6" t="s">
        <v>1053</v>
      </c>
      <c r="B6">
        <v>53034.364139999991</v>
      </c>
      <c r="C6" s="10">
        <f t="shared" ref="C6:C69" si="0">B6/$B$3</f>
        <v>4.0452538499432283E-2</v>
      </c>
      <c r="D6" s="20">
        <f>D5+C6</f>
        <v>0.14556277286793876</v>
      </c>
      <c r="E6" t="str">
        <f t="shared" ref="E6:E69" si="1">IF(D6&lt;=80%,"A",IF(D6&lt;=95%,"B","C"))</f>
        <v>A</v>
      </c>
    </row>
    <row r="7" spans="1:5" x14ac:dyDescent="0.3">
      <c r="A7" t="s">
        <v>1288</v>
      </c>
      <c r="B7">
        <v>46450.26</v>
      </c>
      <c r="C7" s="10">
        <f t="shared" si="0"/>
        <v>3.5430441402076171E-2</v>
      </c>
      <c r="D7" s="20">
        <f>D6+C7</f>
        <v>0.18099321427001491</v>
      </c>
      <c r="E7" t="str">
        <f t="shared" si="1"/>
        <v>A</v>
      </c>
    </row>
    <row r="8" spans="1:5" x14ac:dyDescent="0.3">
      <c r="A8" t="s">
        <v>1040</v>
      </c>
      <c r="B8">
        <v>43084.872000000003</v>
      </c>
      <c r="C8" s="10">
        <f t="shared" si="0"/>
        <v>3.2863455074566908E-2</v>
      </c>
      <c r="D8" s="20">
        <f>D7+C8</f>
        <v>0.21385666934458181</v>
      </c>
      <c r="E8" t="str">
        <f t="shared" si="1"/>
        <v>A</v>
      </c>
    </row>
    <row r="9" spans="1:5" x14ac:dyDescent="0.3">
      <c r="A9" t="s">
        <v>1074</v>
      </c>
      <c r="B9">
        <v>39236.639999999999</v>
      </c>
      <c r="C9" s="10">
        <f t="shared" si="0"/>
        <v>2.9928174230550227E-2</v>
      </c>
      <c r="D9" s="20">
        <f>D8+C9</f>
        <v>0.24378484357513203</v>
      </c>
      <c r="E9" t="str">
        <f t="shared" si="1"/>
        <v>A</v>
      </c>
    </row>
    <row r="10" spans="1:5" x14ac:dyDescent="0.3">
      <c r="A10" t="s">
        <v>752</v>
      </c>
      <c r="B10">
        <v>38096.18406</v>
      </c>
      <c r="C10" s="10">
        <f t="shared" si="0"/>
        <v>2.9058279049041666E-2</v>
      </c>
      <c r="D10" s="20">
        <f t="shared" ref="D10:D73" si="2">D9+C10</f>
        <v>0.27284312262417371</v>
      </c>
      <c r="E10" t="str">
        <f t="shared" si="1"/>
        <v>A</v>
      </c>
    </row>
    <row r="11" spans="1:5" x14ac:dyDescent="0.3">
      <c r="A11" t="s">
        <v>1094</v>
      </c>
      <c r="B11">
        <v>35167.7448</v>
      </c>
      <c r="C11" s="10">
        <f t="shared" si="0"/>
        <v>2.6824580128928643E-2</v>
      </c>
      <c r="D11" s="20">
        <f t="shared" si="2"/>
        <v>0.29966770275310234</v>
      </c>
      <c r="E11" t="str">
        <f t="shared" si="1"/>
        <v>A</v>
      </c>
    </row>
    <row r="12" spans="1:5" x14ac:dyDescent="0.3">
      <c r="A12" t="s">
        <v>831</v>
      </c>
      <c r="B12">
        <v>34139.159999999996</v>
      </c>
      <c r="C12" s="10">
        <f t="shared" si="0"/>
        <v>2.6040015877114627E-2</v>
      </c>
      <c r="D12" s="20">
        <f t="shared" si="2"/>
        <v>0.32570771863021697</v>
      </c>
      <c r="E12" t="str">
        <f t="shared" si="1"/>
        <v>A</v>
      </c>
    </row>
    <row r="13" spans="1:5" x14ac:dyDescent="0.3">
      <c r="A13" t="s">
        <v>811</v>
      </c>
      <c r="B13">
        <v>33062.236480000007</v>
      </c>
      <c r="C13" s="10">
        <f t="shared" si="0"/>
        <v>2.5218580740478641E-2</v>
      </c>
      <c r="D13" s="20">
        <f t="shared" si="2"/>
        <v>0.35092629937069564</v>
      </c>
      <c r="E13" t="str">
        <f t="shared" si="1"/>
        <v>A</v>
      </c>
    </row>
    <row r="14" spans="1:5" x14ac:dyDescent="0.3">
      <c r="A14" t="s">
        <v>876</v>
      </c>
      <c r="B14">
        <v>32086.37586</v>
      </c>
      <c r="C14" s="10">
        <f t="shared" si="0"/>
        <v>2.4474232430835078E-2</v>
      </c>
      <c r="D14" s="20">
        <f t="shared" si="2"/>
        <v>0.37540053180153071</v>
      </c>
      <c r="E14" t="str">
        <f t="shared" si="1"/>
        <v>A</v>
      </c>
    </row>
    <row r="15" spans="1:5" x14ac:dyDescent="0.3">
      <c r="A15" t="s">
        <v>941</v>
      </c>
      <c r="B15">
        <v>28386.015839999996</v>
      </c>
      <c r="C15" s="10">
        <f t="shared" si="0"/>
        <v>2.1651742549073479E-2</v>
      </c>
      <c r="D15" s="20">
        <f t="shared" si="2"/>
        <v>0.3970522743506042</v>
      </c>
      <c r="E15" t="str">
        <f t="shared" si="1"/>
        <v>A</v>
      </c>
    </row>
    <row r="16" spans="1:5" x14ac:dyDescent="0.3">
      <c r="A16" t="s">
        <v>1022</v>
      </c>
      <c r="B16">
        <v>26765.040239999998</v>
      </c>
      <c r="C16" s="10">
        <f t="shared" si="0"/>
        <v>2.0415325766691739E-2</v>
      </c>
      <c r="D16" s="20">
        <f t="shared" si="2"/>
        <v>0.41746760011729594</v>
      </c>
      <c r="E16" t="str">
        <f t="shared" si="1"/>
        <v>A</v>
      </c>
    </row>
    <row r="17" spans="1:5" x14ac:dyDescent="0.3">
      <c r="A17" t="s">
        <v>1086</v>
      </c>
      <c r="B17">
        <v>26552.60298</v>
      </c>
      <c r="C17" s="10">
        <f t="shared" si="0"/>
        <v>2.0253286934356945E-2</v>
      </c>
      <c r="D17" s="20">
        <f t="shared" si="2"/>
        <v>0.43772088705165291</v>
      </c>
      <c r="E17" t="str">
        <f t="shared" si="1"/>
        <v>A</v>
      </c>
    </row>
    <row r="18" spans="1:5" x14ac:dyDescent="0.3">
      <c r="A18" t="s">
        <v>1171</v>
      </c>
      <c r="B18">
        <v>24278.849280000002</v>
      </c>
      <c r="C18" s="10">
        <f t="shared" si="0"/>
        <v>1.8518956551047922E-2</v>
      </c>
      <c r="D18" s="20">
        <f t="shared" si="2"/>
        <v>0.45623984360270081</v>
      </c>
      <c r="E18" t="str">
        <f t="shared" si="1"/>
        <v>A</v>
      </c>
    </row>
    <row r="19" spans="1:5" x14ac:dyDescent="0.3">
      <c r="A19" t="s">
        <v>1142</v>
      </c>
      <c r="B19">
        <v>23668.560000000001</v>
      </c>
      <c r="C19" s="10">
        <f t="shared" si="0"/>
        <v>1.8053451760044487E-2</v>
      </c>
      <c r="D19" s="20">
        <f t="shared" si="2"/>
        <v>0.47429329536274528</v>
      </c>
      <c r="E19" t="str">
        <f t="shared" si="1"/>
        <v>A</v>
      </c>
    </row>
    <row r="20" spans="1:5" x14ac:dyDescent="0.3">
      <c r="A20" t="s">
        <v>1026</v>
      </c>
      <c r="B20">
        <v>23375.594060000003</v>
      </c>
      <c r="C20" s="10">
        <f t="shared" si="0"/>
        <v>1.7829988800526626E-2</v>
      </c>
      <c r="D20" s="20">
        <f t="shared" si="2"/>
        <v>0.49212328416327189</v>
      </c>
      <c r="E20" t="str">
        <f t="shared" si="1"/>
        <v>A</v>
      </c>
    </row>
    <row r="21" spans="1:5" x14ac:dyDescent="0.3">
      <c r="A21" t="s">
        <v>1089</v>
      </c>
      <c r="B21">
        <v>23195.01828</v>
      </c>
      <c r="C21" s="10">
        <f t="shared" si="0"/>
        <v>1.7692252658857575E-2</v>
      </c>
      <c r="D21" s="20">
        <f t="shared" si="2"/>
        <v>0.50981553682212943</v>
      </c>
      <c r="E21" t="str">
        <f t="shared" si="1"/>
        <v>A</v>
      </c>
    </row>
    <row r="22" spans="1:5" x14ac:dyDescent="0.3">
      <c r="A22" t="s">
        <v>1212</v>
      </c>
      <c r="B22">
        <v>22620.859800000002</v>
      </c>
      <c r="C22" s="10">
        <f t="shared" si="0"/>
        <v>1.7254307028819225E-2</v>
      </c>
      <c r="D22" s="20">
        <f t="shared" si="2"/>
        <v>0.52706984385094868</v>
      </c>
      <c r="E22" t="str">
        <f t="shared" si="1"/>
        <v>A</v>
      </c>
    </row>
    <row r="23" spans="1:5" x14ac:dyDescent="0.3">
      <c r="A23" t="s">
        <v>1255</v>
      </c>
      <c r="B23">
        <v>22526.66</v>
      </c>
      <c r="C23" s="10">
        <f t="shared" si="0"/>
        <v>1.7182455106053079E-2</v>
      </c>
      <c r="D23" s="20">
        <f t="shared" si="2"/>
        <v>0.54425229895700178</v>
      </c>
      <c r="E23" t="str">
        <f t="shared" si="1"/>
        <v>A</v>
      </c>
    </row>
    <row r="24" spans="1:5" x14ac:dyDescent="0.3">
      <c r="A24" t="s">
        <v>1270</v>
      </c>
      <c r="B24">
        <v>20430.771599999996</v>
      </c>
      <c r="C24" s="10">
        <f t="shared" si="0"/>
        <v>1.5583793416290929E-2</v>
      </c>
      <c r="D24" s="20">
        <f t="shared" si="2"/>
        <v>0.55983609237329268</v>
      </c>
      <c r="E24" t="str">
        <f t="shared" si="1"/>
        <v>A</v>
      </c>
    </row>
    <row r="25" spans="1:5" x14ac:dyDescent="0.3">
      <c r="A25" t="s">
        <v>1285</v>
      </c>
      <c r="B25">
        <v>20163.409200000002</v>
      </c>
      <c r="C25" s="10">
        <f t="shared" si="0"/>
        <v>1.5379859835589373E-2</v>
      </c>
      <c r="D25" s="20">
        <f t="shared" si="2"/>
        <v>0.57521595220888211</v>
      </c>
      <c r="E25" t="str">
        <f t="shared" si="1"/>
        <v>A</v>
      </c>
    </row>
    <row r="26" spans="1:5" x14ac:dyDescent="0.3">
      <c r="A26" t="s">
        <v>827</v>
      </c>
      <c r="B26">
        <v>20079.343620000003</v>
      </c>
      <c r="C26" s="10">
        <f t="shared" si="0"/>
        <v>1.5315737899433978E-2</v>
      </c>
      <c r="D26" s="20">
        <f t="shared" si="2"/>
        <v>0.59053169010831608</v>
      </c>
      <c r="E26" t="str">
        <f t="shared" si="1"/>
        <v>A</v>
      </c>
    </row>
    <row r="27" spans="1:5" x14ac:dyDescent="0.3">
      <c r="A27" t="s">
        <v>1184</v>
      </c>
      <c r="B27">
        <v>19628.476999999999</v>
      </c>
      <c r="C27" s="10">
        <f t="shared" si="0"/>
        <v>1.4971834477578808E-2</v>
      </c>
      <c r="D27" s="20">
        <f t="shared" si="2"/>
        <v>0.60550352458589485</v>
      </c>
      <c r="E27" t="str">
        <f t="shared" si="1"/>
        <v>A</v>
      </c>
    </row>
    <row r="28" spans="1:5" x14ac:dyDescent="0.3">
      <c r="A28" t="s">
        <v>1024</v>
      </c>
      <c r="B28">
        <v>19066.045319999997</v>
      </c>
      <c r="C28" s="10">
        <f t="shared" si="0"/>
        <v>1.4542833591880616E-2</v>
      </c>
      <c r="D28" s="20">
        <f t="shared" si="2"/>
        <v>0.62004635817777543</v>
      </c>
      <c r="E28" t="str">
        <f t="shared" si="1"/>
        <v>A</v>
      </c>
    </row>
    <row r="29" spans="1:5" x14ac:dyDescent="0.3">
      <c r="A29" t="s">
        <v>995</v>
      </c>
      <c r="B29">
        <v>17964.4038</v>
      </c>
      <c r="C29" s="10">
        <f t="shared" si="0"/>
        <v>1.3702544531701964E-2</v>
      </c>
      <c r="D29" s="20">
        <f t="shared" si="2"/>
        <v>0.63374890270947737</v>
      </c>
      <c r="E29" t="str">
        <f t="shared" si="1"/>
        <v>A</v>
      </c>
    </row>
    <row r="30" spans="1:5" x14ac:dyDescent="0.3">
      <c r="A30" t="s">
        <v>943</v>
      </c>
      <c r="B30">
        <v>17847.907199999998</v>
      </c>
      <c r="C30" s="10">
        <f t="shared" si="0"/>
        <v>1.3613685482046672E-2</v>
      </c>
      <c r="D30" s="20">
        <f t="shared" si="2"/>
        <v>0.64736258819152404</v>
      </c>
      <c r="E30" t="str">
        <f t="shared" si="1"/>
        <v>A</v>
      </c>
    </row>
    <row r="31" spans="1:5" x14ac:dyDescent="0.3">
      <c r="A31" t="s">
        <v>800</v>
      </c>
      <c r="B31">
        <v>16013.681599999998</v>
      </c>
      <c r="C31" s="10">
        <f t="shared" si="0"/>
        <v>1.2214609941048882E-2</v>
      </c>
      <c r="D31" s="20">
        <f t="shared" si="2"/>
        <v>0.65957719813257287</v>
      </c>
      <c r="E31" t="str">
        <f t="shared" si="1"/>
        <v>A</v>
      </c>
    </row>
    <row r="32" spans="1:5" x14ac:dyDescent="0.3">
      <c r="A32" t="s">
        <v>744</v>
      </c>
      <c r="B32">
        <v>16006.14344</v>
      </c>
      <c r="C32" s="10">
        <f t="shared" si="0"/>
        <v>1.2208860127459907E-2</v>
      </c>
      <c r="D32" s="20">
        <f t="shared" si="2"/>
        <v>0.67178605826003279</v>
      </c>
      <c r="E32" t="str">
        <f t="shared" si="1"/>
        <v>A</v>
      </c>
    </row>
    <row r="33" spans="1:5" x14ac:dyDescent="0.3">
      <c r="A33" t="s">
        <v>1286</v>
      </c>
      <c r="B33">
        <v>15860.782080000001</v>
      </c>
      <c r="C33" s="10">
        <f t="shared" si="0"/>
        <v>1.2097984167936624E-2</v>
      </c>
      <c r="D33" s="20">
        <f t="shared" si="2"/>
        <v>0.68388404242796941</v>
      </c>
      <c r="E33" t="str">
        <f t="shared" si="1"/>
        <v>A</v>
      </c>
    </row>
    <row r="34" spans="1:5" x14ac:dyDescent="0.3">
      <c r="A34" t="s">
        <v>1279</v>
      </c>
      <c r="B34">
        <v>15530.929919999999</v>
      </c>
      <c r="C34" s="10">
        <f t="shared" si="0"/>
        <v>1.1846385842626317E-2</v>
      </c>
      <c r="D34" s="20">
        <f t="shared" si="2"/>
        <v>0.69573042827059572</v>
      </c>
      <c r="E34" t="str">
        <f t="shared" si="1"/>
        <v>A</v>
      </c>
    </row>
    <row r="35" spans="1:5" x14ac:dyDescent="0.3">
      <c r="A35" t="s">
        <v>784</v>
      </c>
      <c r="B35">
        <v>14894.903999999999</v>
      </c>
      <c r="C35" s="10">
        <f t="shared" si="0"/>
        <v>1.1361250149332855E-2</v>
      </c>
      <c r="D35" s="20">
        <f t="shared" si="2"/>
        <v>0.70709167841992859</v>
      </c>
      <c r="E35" t="str">
        <f t="shared" si="1"/>
        <v>A</v>
      </c>
    </row>
    <row r="36" spans="1:5" x14ac:dyDescent="0.3">
      <c r="A36" t="s">
        <v>1188</v>
      </c>
      <c r="B36">
        <v>14752.706080000002</v>
      </c>
      <c r="C36" s="10">
        <f t="shared" si="0"/>
        <v>1.125278713810198E-2</v>
      </c>
      <c r="D36" s="20">
        <f t="shared" si="2"/>
        <v>0.71834446555803055</v>
      </c>
      <c r="E36" t="str">
        <f t="shared" si="1"/>
        <v>A</v>
      </c>
    </row>
    <row r="37" spans="1:5" x14ac:dyDescent="0.3">
      <c r="A37" t="s">
        <v>904</v>
      </c>
      <c r="B37">
        <v>14549.029120000001</v>
      </c>
      <c r="C37" s="10">
        <f t="shared" si="0"/>
        <v>1.1097430319943523E-2</v>
      </c>
      <c r="D37" s="20">
        <f t="shared" si="2"/>
        <v>0.72944189587797403</v>
      </c>
      <c r="E37" t="str">
        <f t="shared" si="1"/>
        <v>A</v>
      </c>
    </row>
    <row r="38" spans="1:5" x14ac:dyDescent="0.3">
      <c r="A38" t="s">
        <v>1128</v>
      </c>
      <c r="B38">
        <v>14431.738420000001</v>
      </c>
      <c r="C38" s="10">
        <f t="shared" si="0"/>
        <v>1.1007965561869866E-2</v>
      </c>
      <c r="D38" s="20">
        <f t="shared" si="2"/>
        <v>0.74044986143984393</v>
      </c>
      <c r="E38" t="str">
        <f t="shared" si="1"/>
        <v>A</v>
      </c>
    </row>
    <row r="39" spans="1:5" x14ac:dyDescent="0.3">
      <c r="A39" t="s">
        <v>1338</v>
      </c>
      <c r="B39">
        <v>13856.52411</v>
      </c>
      <c r="C39" s="10">
        <f t="shared" si="0"/>
        <v>1.0569214586006853E-2</v>
      </c>
      <c r="D39" s="20">
        <f t="shared" si="2"/>
        <v>0.75101907602585083</v>
      </c>
      <c r="E39" t="str">
        <f t="shared" si="1"/>
        <v>A</v>
      </c>
    </row>
    <row r="40" spans="1:5" x14ac:dyDescent="0.3">
      <c r="A40" t="s">
        <v>881</v>
      </c>
      <c r="B40">
        <v>13321.14</v>
      </c>
      <c r="C40" s="10">
        <f t="shared" si="0"/>
        <v>1.0160844528724983E-2</v>
      </c>
      <c r="D40" s="20">
        <f t="shared" si="2"/>
        <v>0.76117992055457584</v>
      </c>
      <c r="E40" t="str">
        <f t="shared" si="1"/>
        <v>A</v>
      </c>
    </row>
    <row r="41" spans="1:5" x14ac:dyDescent="0.3">
      <c r="A41" t="s">
        <v>1291</v>
      </c>
      <c r="B41">
        <v>13108.78584</v>
      </c>
      <c r="C41" s="10">
        <f t="shared" si="0"/>
        <v>9.9988690818196904E-3</v>
      </c>
      <c r="D41" s="20">
        <f t="shared" si="2"/>
        <v>0.77117878963639552</v>
      </c>
      <c r="E41" t="str">
        <f t="shared" si="1"/>
        <v>A</v>
      </c>
    </row>
    <row r="42" spans="1:5" x14ac:dyDescent="0.3">
      <c r="A42" t="s">
        <v>1033</v>
      </c>
      <c r="B42">
        <v>12699.28</v>
      </c>
      <c r="C42" s="10">
        <f t="shared" si="0"/>
        <v>9.6865140451002398E-3</v>
      </c>
      <c r="D42" s="20">
        <f t="shared" si="2"/>
        <v>0.78086530368149576</v>
      </c>
      <c r="E42" t="str">
        <f t="shared" si="1"/>
        <v>A</v>
      </c>
    </row>
    <row r="43" spans="1:5" x14ac:dyDescent="0.3">
      <c r="A43" t="s">
        <v>1321</v>
      </c>
      <c r="B43">
        <v>12040.64352</v>
      </c>
      <c r="C43" s="10">
        <f t="shared" si="0"/>
        <v>9.1841319010625162E-3</v>
      </c>
      <c r="D43" s="20">
        <f t="shared" si="2"/>
        <v>0.79004943558255825</v>
      </c>
      <c r="E43" t="str">
        <f t="shared" si="1"/>
        <v>A</v>
      </c>
    </row>
    <row r="44" spans="1:5" x14ac:dyDescent="0.3">
      <c r="A44" t="s">
        <v>1227</v>
      </c>
      <c r="B44">
        <v>11859.695119999998</v>
      </c>
      <c r="C44" s="10">
        <f t="shared" si="0"/>
        <v>9.0461115394326885E-3</v>
      </c>
      <c r="D44" s="20">
        <f t="shared" si="2"/>
        <v>0.79909554712199093</v>
      </c>
      <c r="E44" t="str">
        <f t="shared" si="1"/>
        <v>A</v>
      </c>
    </row>
    <row r="45" spans="1:5" x14ac:dyDescent="0.3">
      <c r="A45" t="s">
        <v>1046</v>
      </c>
      <c r="B45">
        <v>11283.400799999999</v>
      </c>
      <c r="C45" s="10">
        <f t="shared" si="0"/>
        <v>8.6065367741868255E-3</v>
      </c>
      <c r="D45" s="20">
        <f t="shared" si="2"/>
        <v>0.80770208389617781</v>
      </c>
      <c r="E45" t="str">
        <f t="shared" si="1"/>
        <v>B</v>
      </c>
    </row>
    <row r="46" spans="1:5" x14ac:dyDescent="0.3">
      <c r="A46" t="s">
        <v>888</v>
      </c>
      <c r="B46">
        <v>11015.510400000003</v>
      </c>
      <c r="C46" s="10">
        <f t="shared" si="0"/>
        <v>8.4022004557382617E-3</v>
      </c>
      <c r="D46" s="20">
        <f t="shared" si="2"/>
        <v>0.81610428435191606</v>
      </c>
      <c r="E46" t="str">
        <f t="shared" si="1"/>
        <v>B</v>
      </c>
    </row>
    <row r="47" spans="1:5" x14ac:dyDescent="0.3">
      <c r="A47" t="s">
        <v>756</v>
      </c>
      <c r="B47">
        <v>10936.992</v>
      </c>
      <c r="C47" s="10">
        <f t="shared" si="0"/>
        <v>8.3423096915060512E-3</v>
      </c>
      <c r="D47" s="20">
        <f t="shared" si="2"/>
        <v>0.82444659404342213</v>
      </c>
      <c r="E47" t="str">
        <f t="shared" si="1"/>
        <v>B</v>
      </c>
    </row>
    <row r="48" spans="1:5" x14ac:dyDescent="0.3">
      <c r="A48" t="s">
        <v>1149</v>
      </c>
      <c r="B48">
        <v>10893.6232</v>
      </c>
      <c r="C48" s="10">
        <f t="shared" si="0"/>
        <v>8.309229667259074E-3</v>
      </c>
      <c r="D48" s="20">
        <f t="shared" si="2"/>
        <v>0.83275582371068124</v>
      </c>
      <c r="E48" t="str">
        <f t="shared" si="1"/>
        <v>B</v>
      </c>
    </row>
    <row r="49" spans="1:5" x14ac:dyDescent="0.3">
      <c r="A49" t="s">
        <v>1355</v>
      </c>
      <c r="B49">
        <v>10693.88488</v>
      </c>
      <c r="C49" s="10">
        <f t="shared" si="0"/>
        <v>8.1568770896306795E-3</v>
      </c>
      <c r="D49" s="20">
        <f t="shared" si="2"/>
        <v>0.84091270080031189</v>
      </c>
      <c r="E49" t="str">
        <f t="shared" si="1"/>
        <v>B</v>
      </c>
    </row>
    <row r="50" spans="1:5" x14ac:dyDescent="0.3">
      <c r="A50" t="s">
        <v>804</v>
      </c>
      <c r="B50">
        <v>10647.727199999999</v>
      </c>
      <c r="C50" s="10">
        <f t="shared" si="0"/>
        <v>8.1216698168081851E-3</v>
      </c>
      <c r="D50" s="20">
        <f t="shared" si="2"/>
        <v>0.84903437061712006</v>
      </c>
      <c r="E50" t="str">
        <f t="shared" si="1"/>
        <v>B</v>
      </c>
    </row>
    <row r="51" spans="1:5" x14ac:dyDescent="0.3">
      <c r="A51" t="s">
        <v>919</v>
      </c>
      <c r="B51">
        <v>10388.429999999998</v>
      </c>
      <c r="C51" s="10">
        <f t="shared" si="0"/>
        <v>7.9238880551921586E-3</v>
      </c>
      <c r="D51" s="20">
        <f t="shared" si="2"/>
        <v>0.85695825867231223</v>
      </c>
      <c r="E51" t="str">
        <f t="shared" si="1"/>
        <v>B</v>
      </c>
    </row>
    <row r="52" spans="1:5" x14ac:dyDescent="0.3">
      <c r="A52" t="s">
        <v>892</v>
      </c>
      <c r="B52">
        <v>10382.65884</v>
      </c>
      <c r="C52" s="10">
        <f t="shared" si="0"/>
        <v>7.9194860400860646E-3</v>
      </c>
      <c r="D52" s="20">
        <f t="shared" si="2"/>
        <v>0.86487774471239831</v>
      </c>
      <c r="E52" t="str">
        <f t="shared" si="1"/>
        <v>B</v>
      </c>
    </row>
    <row r="53" spans="1:5" x14ac:dyDescent="0.3">
      <c r="A53" t="s">
        <v>1059</v>
      </c>
      <c r="B53">
        <v>9829.0483199999999</v>
      </c>
      <c r="C53" s="10">
        <f t="shared" si="0"/>
        <v>7.4972135901916421E-3</v>
      </c>
      <c r="D53" s="20">
        <f t="shared" si="2"/>
        <v>0.87237495830258993</v>
      </c>
      <c r="E53" t="str">
        <f t="shared" si="1"/>
        <v>B</v>
      </c>
    </row>
    <row r="54" spans="1:5" x14ac:dyDescent="0.3">
      <c r="A54" t="s">
        <v>1322</v>
      </c>
      <c r="B54">
        <v>9022.35</v>
      </c>
      <c r="C54" s="10">
        <f t="shared" si="0"/>
        <v>6.8818956661173035E-3</v>
      </c>
      <c r="D54" s="20">
        <f t="shared" si="2"/>
        <v>0.87925685396870723</v>
      </c>
      <c r="E54" t="str">
        <f t="shared" si="1"/>
        <v>B</v>
      </c>
    </row>
    <row r="55" spans="1:5" x14ac:dyDescent="0.3">
      <c r="A55" t="s">
        <v>1231</v>
      </c>
      <c r="B55">
        <v>8644.6696000000011</v>
      </c>
      <c r="C55" s="10">
        <f t="shared" si="0"/>
        <v>6.5938158301613228E-3</v>
      </c>
      <c r="D55" s="20">
        <f t="shared" si="2"/>
        <v>0.88585066979886851</v>
      </c>
      <c r="E55" t="str">
        <f t="shared" si="1"/>
        <v>B</v>
      </c>
    </row>
    <row r="56" spans="1:5" x14ac:dyDescent="0.3">
      <c r="A56" t="s">
        <v>759</v>
      </c>
      <c r="B56">
        <v>8596.2905599999995</v>
      </c>
      <c r="C56" s="10">
        <f t="shared" si="0"/>
        <v>6.5569141908204719E-3</v>
      </c>
      <c r="D56" s="20">
        <f t="shared" si="2"/>
        <v>0.892407583989689</v>
      </c>
      <c r="E56" t="str">
        <f t="shared" si="1"/>
        <v>B</v>
      </c>
    </row>
    <row r="57" spans="1:5" x14ac:dyDescent="0.3">
      <c r="A57" t="s">
        <v>1326</v>
      </c>
      <c r="B57">
        <v>8366.02</v>
      </c>
      <c r="C57" s="10">
        <f t="shared" si="0"/>
        <v>6.3812728148044231E-3</v>
      </c>
      <c r="D57" s="20">
        <f t="shared" si="2"/>
        <v>0.89878885680449339</v>
      </c>
      <c r="E57" t="str">
        <f t="shared" si="1"/>
        <v>B</v>
      </c>
    </row>
    <row r="58" spans="1:5" x14ac:dyDescent="0.3">
      <c r="A58" t="s">
        <v>1150</v>
      </c>
      <c r="B58">
        <v>7969.4615000000003</v>
      </c>
      <c r="C58" s="10">
        <f t="shared" si="0"/>
        <v>6.0787935025950783E-3</v>
      </c>
      <c r="D58" s="20">
        <f t="shared" si="2"/>
        <v>0.90486765030708849</v>
      </c>
      <c r="E58" t="str">
        <f t="shared" si="1"/>
        <v>B</v>
      </c>
    </row>
    <row r="59" spans="1:5" x14ac:dyDescent="0.3">
      <c r="A59" t="s">
        <v>948</v>
      </c>
      <c r="B59">
        <v>7854.6693599999999</v>
      </c>
      <c r="C59" s="10">
        <f t="shared" si="0"/>
        <v>5.9912345483569551E-3</v>
      </c>
      <c r="D59" s="20">
        <f t="shared" si="2"/>
        <v>0.91085888485544542</v>
      </c>
      <c r="E59" t="str">
        <f t="shared" si="1"/>
        <v>B</v>
      </c>
    </row>
    <row r="60" spans="1:5" x14ac:dyDescent="0.3">
      <c r="A60" t="s">
        <v>916</v>
      </c>
      <c r="B60">
        <v>7689.4560000000001</v>
      </c>
      <c r="C60" s="10">
        <f t="shared" si="0"/>
        <v>5.865216259754908E-3</v>
      </c>
      <c r="D60" s="20">
        <f t="shared" si="2"/>
        <v>0.91672410111520031</v>
      </c>
      <c r="E60" t="str">
        <f t="shared" si="1"/>
        <v>B</v>
      </c>
    </row>
    <row r="61" spans="1:5" x14ac:dyDescent="0.3">
      <c r="A61" t="s">
        <v>748</v>
      </c>
      <c r="B61">
        <v>7578.84</v>
      </c>
      <c r="C61" s="10">
        <f t="shared" si="0"/>
        <v>5.7808427017569108E-3</v>
      </c>
      <c r="D61" s="20">
        <f t="shared" si="2"/>
        <v>0.92250494381695725</v>
      </c>
      <c r="E61" t="str">
        <f t="shared" si="1"/>
        <v>B</v>
      </c>
    </row>
    <row r="62" spans="1:5" x14ac:dyDescent="0.3">
      <c r="A62" t="s">
        <v>1225</v>
      </c>
      <c r="B62">
        <v>7507.4514899999995</v>
      </c>
      <c r="C62" s="10">
        <f t="shared" si="0"/>
        <v>5.7263903387273704E-3</v>
      </c>
      <c r="D62" s="20">
        <f t="shared" si="2"/>
        <v>0.9282313341556846</v>
      </c>
      <c r="E62" t="str">
        <f t="shared" si="1"/>
        <v>B</v>
      </c>
    </row>
    <row r="63" spans="1:5" x14ac:dyDescent="0.3">
      <c r="A63" t="s">
        <v>1027</v>
      </c>
      <c r="B63">
        <v>7382.1450000000004</v>
      </c>
      <c r="C63" s="10">
        <f t="shared" si="0"/>
        <v>5.630811449583481E-3</v>
      </c>
      <c r="D63" s="20">
        <f t="shared" si="2"/>
        <v>0.93386214560526803</v>
      </c>
      <c r="E63" t="str">
        <f t="shared" si="1"/>
        <v>B</v>
      </c>
    </row>
    <row r="64" spans="1:5" x14ac:dyDescent="0.3">
      <c r="A64" t="s">
        <v>1004</v>
      </c>
      <c r="B64">
        <v>7235.2134999999998</v>
      </c>
      <c r="C64" s="10">
        <f t="shared" si="0"/>
        <v>5.518737848685033E-3</v>
      </c>
      <c r="D64" s="20">
        <f t="shared" si="2"/>
        <v>0.9393808834539531</v>
      </c>
      <c r="E64" t="str">
        <f t="shared" si="1"/>
        <v>B</v>
      </c>
    </row>
    <row r="65" spans="1:5" x14ac:dyDescent="0.3">
      <c r="A65" t="s">
        <v>1066</v>
      </c>
      <c r="B65">
        <v>7105.3528000000006</v>
      </c>
      <c r="C65" s="10">
        <f t="shared" si="0"/>
        <v>5.4196851862934213E-3</v>
      </c>
      <c r="D65" s="20">
        <f t="shared" si="2"/>
        <v>0.94480056864024653</v>
      </c>
      <c r="E65" t="str">
        <f t="shared" si="1"/>
        <v>B</v>
      </c>
    </row>
    <row r="66" spans="1:5" x14ac:dyDescent="0.3">
      <c r="A66" t="s">
        <v>1310</v>
      </c>
      <c r="B66">
        <v>6732.4334000000008</v>
      </c>
      <c r="C66" s="10">
        <f t="shared" si="0"/>
        <v>5.1352368549084648E-3</v>
      </c>
      <c r="D66" s="20">
        <f t="shared" si="2"/>
        <v>0.94993580549515499</v>
      </c>
      <c r="E66" t="str">
        <f t="shared" si="1"/>
        <v>B</v>
      </c>
    </row>
    <row r="67" spans="1:5" x14ac:dyDescent="0.3">
      <c r="A67" t="s">
        <v>1011</v>
      </c>
      <c r="B67">
        <v>6066.54648</v>
      </c>
      <c r="C67" s="10">
        <f t="shared" si="0"/>
        <v>4.6273243588434475E-3</v>
      </c>
      <c r="D67" s="20">
        <f t="shared" si="2"/>
        <v>0.95456312985399849</v>
      </c>
      <c r="E67" t="str">
        <f t="shared" si="1"/>
        <v>C</v>
      </c>
    </row>
    <row r="68" spans="1:5" x14ac:dyDescent="0.3">
      <c r="A68" t="s">
        <v>837</v>
      </c>
      <c r="B68">
        <v>5960.3340000000007</v>
      </c>
      <c r="C68" s="10">
        <f t="shared" si="0"/>
        <v>4.546309633655491E-3</v>
      </c>
      <c r="D68" s="20">
        <f t="shared" si="2"/>
        <v>0.95910943948765404</v>
      </c>
      <c r="E68" t="str">
        <f t="shared" si="1"/>
        <v>C</v>
      </c>
    </row>
    <row r="69" spans="1:5" x14ac:dyDescent="0.3">
      <c r="A69" t="s">
        <v>1067</v>
      </c>
      <c r="B69">
        <v>5610.0923999999995</v>
      </c>
      <c r="C69" s="10">
        <f t="shared" si="0"/>
        <v>4.279159041056667E-3</v>
      </c>
      <c r="D69" s="20">
        <f t="shared" si="2"/>
        <v>0.96338859852871073</v>
      </c>
      <c r="E69" t="str">
        <f t="shared" si="1"/>
        <v>C</v>
      </c>
    </row>
    <row r="70" spans="1:5" x14ac:dyDescent="0.3">
      <c r="A70" t="s">
        <v>961</v>
      </c>
      <c r="B70">
        <v>5533.6230000000005</v>
      </c>
      <c r="C70" s="10">
        <f t="shared" ref="C70:C87" si="3">B70/$B$3</f>
        <v>4.220831173876765E-3</v>
      </c>
      <c r="D70" s="20">
        <f t="shared" si="2"/>
        <v>0.96760942970258745</v>
      </c>
      <c r="E70" t="str">
        <f t="shared" ref="E70:E133" si="4">IF(D70&lt;=80%,"A",IF(D70&lt;=95%,"B","C"))</f>
        <v>C</v>
      </c>
    </row>
    <row r="71" spans="1:5" x14ac:dyDescent="0.3">
      <c r="A71" t="s">
        <v>791</v>
      </c>
      <c r="B71">
        <v>4790.1068000000005</v>
      </c>
      <c r="C71" s="10">
        <f t="shared" si="3"/>
        <v>3.6537060995371524E-3</v>
      </c>
      <c r="D71" s="20">
        <f t="shared" si="2"/>
        <v>0.97126313580212464</v>
      </c>
      <c r="E71" t="str">
        <f t="shared" si="4"/>
        <v>C</v>
      </c>
    </row>
    <row r="72" spans="1:5" x14ac:dyDescent="0.3">
      <c r="A72" t="s">
        <v>1275</v>
      </c>
      <c r="B72">
        <v>4737.2198399999997</v>
      </c>
      <c r="C72" s="10">
        <f t="shared" si="3"/>
        <v>3.6133659951499224E-3</v>
      </c>
      <c r="D72" s="20">
        <f t="shared" si="2"/>
        <v>0.97487650179727459</v>
      </c>
      <c r="E72" t="str">
        <f t="shared" si="4"/>
        <v>C</v>
      </c>
    </row>
    <row r="73" spans="1:5" x14ac:dyDescent="0.3">
      <c r="A73" t="s">
        <v>1303</v>
      </c>
      <c r="B73">
        <v>4577.1480000000001</v>
      </c>
      <c r="C73" s="10">
        <f t="shared" si="3"/>
        <v>3.4912694568906642E-3</v>
      </c>
      <c r="D73" s="20">
        <f t="shared" si="2"/>
        <v>0.9783677712541653</v>
      </c>
      <c r="E73" t="str">
        <f t="shared" si="4"/>
        <v>C</v>
      </c>
    </row>
    <row r="74" spans="1:5" x14ac:dyDescent="0.3">
      <c r="A74" t="s">
        <v>793</v>
      </c>
      <c r="B74">
        <v>4569.8508000000002</v>
      </c>
      <c r="C74" s="10">
        <f t="shared" si="3"/>
        <v>3.4857034381644129E-3</v>
      </c>
      <c r="D74" s="20">
        <f t="shared" ref="D74:D87" si="5">D73+C74</f>
        <v>0.98185347469232975</v>
      </c>
      <c r="E74" t="str">
        <f t="shared" si="4"/>
        <v>C</v>
      </c>
    </row>
    <row r="75" spans="1:5" x14ac:dyDescent="0.3">
      <c r="A75" t="s">
        <v>865</v>
      </c>
      <c r="B75">
        <v>4417.8334199999999</v>
      </c>
      <c r="C75" s="10">
        <f t="shared" si="3"/>
        <v>3.369750526938789E-3</v>
      </c>
      <c r="D75" s="20">
        <f t="shared" si="5"/>
        <v>0.98522322521926853</v>
      </c>
      <c r="E75" t="str">
        <f t="shared" si="4"/>
        <v>C</v>
      </c>
    </row>
    <row r="76" spans="1:5" x14ac:dyDescent="0.3">
      <c r="A76" t="s">
        <v>1092</v>
      </c>
      <c r="B76">
        <v>4071.8</v>
      </c>
      <c r="C76" s="10">
        <f t="shared" si="3"/>
        <v>3.105809769438831E-3</v>
      </c>
      <c r="D76" s="20">
        <f t="shared" si="5"/>
        <v>0.98832903498870739</v>
      </c>
      <c r="E76" t="str">
        <f t="shared" si="4"/>
        <v>C</v>
      </c>
    </row>
    <row r="77" spans="1:5" x14ac:dyDescent="0.3">
      <c r="A77" t="s">
        <v>1072</v>
      </c>
      <c r="B77">
        <v>3021.5016000000001</v>
      </c>
      <c r="C77" s="10">
        <f t="shared" si="3"/>
        <v>2.304683232883506E-3</v>
      </c>
      <c r="D77" s="20">
        <f t="shared" si="5"/>
        <v>0.99063371822159085</v>
      </c>
      <c r="E77" t="str">
        <f t="shared" si="4"/>
        <v>C</v>
      </c>
    </row>
    <row r="78" spans="1:5" x14ac:dyDescent="0.3">
      <c r="A78" t="s">
        <v>1199</v>
      </c>
      <c r="B78">
        <v>2719.8567000000003</v>
      </c>
      <c r="C78" s="10">
        <f t="shared" si="3"/>
        <v>2.0746003021596495E-3</v>
      </c>
      <c r="D78" s="20">
        <f t="shared" si="5"/>
        <v>0.99270831852375052</v>
      </c>
      <c r="E78" t="str">
        <f t="shared" si="4"/>
        <v>C</v>
      </c>
    </row>
    <row r="79" spans="1:5" x14ac:dyDescent="0.3">
      <c r="A79" t="s">
        <v>847</v>
      </c>
      <c r="B79">
        <v>2117.4834999999998</v>
      </c>
      <c r="C79" s="10">
        <f t="shared" si="3"/>
        <v>1.6151335873386531E-3</v>
      </c>
      <c r="D79" s="20">
        <f t="shared" si="5"/>
        <v>0.99432345211108919</v>
      </c>
      <c r="E79" t="str">
        <f t="shared" si="4"/>
        <v>C</v>
      </c>
    </row>
    <row r="80" spans="1:5" x14ac:dyDescent="0.3">
      <c r="A80" t="s">
        <v>1223</v>
      </c>
      <c r="B80">
        <v>1547.3500000000001</v>
      </c>
      <c r="C80" s="10">
        <f t="shared" si="3"/>
        <v>1.1802580546051316E-3</v>
      </c>
      <c r="D80" s="20">
        <f t="shared" si="5"/>
        <v>0.99550371016569428</v>
      </c>
      <c r="E80" t="str">
        <f t="shared" si="4"/>
        <v>C</v>
      </c>
    </row>
    <row r="81" spans="1:5" x14ac:dyDescent="0.3">
      <c r="A81" t="s">
        <v>873</v>
      </c>
      <c r="B81">
        <v>1446.9507000000001</v>
      </c>
      <c r="C81" s="10">
        <f t="shared" si="3"/>
        <v>1.1036773957356341E-3</v>
      </c>
      <c r="D81" s="20">
        <f t="shared" si="5"/>
        <v>0.99660738756142986</v>
      </c>
      <c r="E81" t="str">
        <f t="shared" si="4"/>
        <v>C</v>
      </c>
    </row>
    <row r="82" spans="1:5" x14ac:dyDescent="0.3">
      <c r="A82" t="s">
        <v>1352</v>
      </c>
      <c r="B82">
        <v>1030.7574</v>
      </c>
      <c r="C82" s="10">
        <f t="shared" si="3"/>
        <v>7.862214261116383E-4</v>
      </c>
      <c r="D82" s="20">
        <f t="shared" si="5"/>
        <v>0.99739360898754148</v>
      </c>
      <c r="E82" t="str">
        <f t="shared" si="4"/>
        <v>C</v>
      </c>
    </row>
    <row r="83" spans="1:5" x14ac:dyDescent="0.3">
      <c r="A83" t="s">
        <v>1250</v>
      </c>
      <c r="B83">
        <v>1010.3759200000001</v>
      </c>
      <c r="C83" s="10">
        <f t="shared" si="3"/>
        <v>7.7067523039976097E-4</v>
      </c>
      <c r="D83" s="20">
        <f t="shared" si="5"/>
        <v>0.99816428421794123</v>
      </c>
      <c r="E83" t="str">
        <f t="shared" si="4"/>
        <v>C</v>
      </c>
    </row>
    <row r="84" spans="1:5" x14ac:dyDescent="0.3">
      <c r="A84" t="s">
        <v>1194</v>
      </c>
      <c r="B84">
        <v>930.17574000000002</v>
      </c>
      <c r="C84" s="10">
        <f t="shared" si="3"/>
        <v>7.0950167016724643E-4</v>
      </c>
      <c r="D84" s="20">
        <f t="shared" si="5"/>
        <v>0.99887378588810849</v>
      </c>
      <c r="E84" t="str">
        <f t="shared" si="4"/>
        <v>C</v>
      </c>
    </row>
    <row r="85" spans="1:5" x14ac:dyDescent="0.3">
      <c r="A85" t="s">
        <v>955</v>
      </c>
      <c r="B85">
        <v>908.03700000000003</v>
      </c>
      <c r="C85" s="10">
        <f t="shared" si="3"/>
        <v>6.9261510526350207E-4</v>
      </c>
      <c r="D85" s="20">
        <f t="shared" si="5"/>
        <v>0.99956640099337202</v>
      </c>
      <c r="E85" t="str">
        <f t="shared" si="4"/>
        <v>C</v>
      </c>
    </row>
    <row r="86" spans="1:5" x14ac:dyDescent="0.3">
      <c r="A86" t="s">
        <v>843</v>
      </c>
      <c r="B86">
        <v>549.80010000000004</v>
      </c>
      <c r="C86" s="10">
        <f t="shared" si="3"/>
        <v>4.1936601056497035E-4</v>
      </c>
      <c r="D86" s="20">
        <f t="shared" si="5"/>
        <v>0.99998576700393704</v>
      </c>
      <c r="E86" t="str">
        <f t="shared" si="4"/>
        <v>C</v>
      </c>
    </row>
    <row r="87" spans="1:5" x14ac:dyDescent="0.3">
      <c r="A87" t="s">
        <v>914</v>
      </c>
      <c r="B87">
        <v>18.659839999999999</v>
      </c>
      <c r="C87" s="10">
        <f t="shared" si="3"/>
        <v>1.4232996062715622E-5</v>
      </c>
      <c r="D87" s="20">
        <f t="shared" si="5"/>
        <v>0.99999999999999978</v>
      </c>
      <c r="E87" t="str">
        <f t="shared" si="4"/>
        <v>C</v>
      </c>
    </row>
    <row r="88" spans="1:5" x14ac:dyDescent="0.3">
      <c r="A88" s="14" t="s">
        <v>727</v>
      </c>
      <c r="B88" s="14">
        <v>1545849.3286499993</v>
      </c>
    </row>
    <row r="89" spans="1:5" x14ac:dyDescent="0.3">
      <c r="A89" t="s">
        <v>971</v>
      </c>
      <c r="B89">
        <v>139277.83032000001</v>
      </c>
      <c r="C89" s="10">
        <f>B89/$B$88</f>
        <v>9.0097933698125854E-2</v>
      </c>
      <c r="D89" s="20">
        <f>C89</f>
        <v>9.0097933698125854E-2</v>
      </c>
      <c r="E89" t="str">
        <f t="shared" si="4"/>
        <v>A</v>
      </c>
    </row>
    <row r="90" spans="1:5" x14ac:dyDescent="0.3">
      <c r="A90" t="s">
        <v>1198</v>
      </c>
      <c r="B90">
        <v>84136.119600000005</v>
      </c>
      <c r="C90" s="10">
        <f t="shared" ref="C90:C153" si="6">B90/$B$88</f>
        <v>5.4427115269685855E-2</v>
      </c>
      <c r="D90" s="10">
        <f>D89+C90</f>
        <v>0.14452504896781171</v>
      </c>
      <c r="E90" t="str">
        <f t="shared" si="4"/>
        <v>A</v>
      </c>
    </row>
    <row r="91" spans="1:5" x14ac:dyDescent="0.3">
      <c r="A91" t="s">
        <v>1125</v>
      </c>
      <c r="B91">
        <v>74802.350000000006</v>
      </c>
      <c r="C91" s="10">
        <f t="shared" si="6"/>
        <v>4.8389159676593713E-2</v>
      </c>
      <c r="D91" s="10">
        <f>D90+C91</f>
        <v>0.19291420864440542</v>
      </c>
      <c r="E91" t="str">
        <f t="shared" si="4"/>
        <v>A</v>
      </c>
    </row>
    <row r="92" spans="1:5" x14ac:dyDescent="0.3">
      <c r="A92" t="s">
        <v>860</v>
      </c>
      <c r="B92">
        <v>65111.38614000001</v>
      </c>
      <c r="C92" s="10">
        <f t="shared" si="6"/>
        <v>4.2120137411362217E-2</v>
      </c>
      <c r="D92" s="10">
        <f t="shared" ref="D92:D155" si="7">D91+C92</f>
        <v>0.23503434605576765</v>
      </c>
      <c r="E92" t="str">
        <f t="shared" si="4"/>
        <v>A</v>
      </c>
    </row>
    <row r="93" spans="1:5" x14ac:dyDescent="0.3">
      <c r="A93" t="s">
        <v>743</v>
      </c>
      <c r="B93">
        <v>60928.502359999999</v>
      </c>
      <c r="C93" s="10">
        <f t="shared" si="6"/>
        <v>3.9414256765379116E-2</v>
      </c>
      <c r="D93" s="10">
        <f t="shared" si="7"/>
        <v>0.27444860282114675</v>
      </c>
      <c r="E93" t="str">
        <f t="shared" si="4"/>
        <v>A</v>
      </c>
    </row>
    <row r="94" spans="1:5" x14ac:dyDescent="0.3">
      <c r="A94" t="s">
        <v>1245</v>
      </c>
      <c r="B94">
        <v>50296.415399999998</v>
      </c>
      <c r="C94" s="10">
        <f t="shared" si="6"/>
        <v>3.2536428012634448E-2</v>
      </c>
      <c r="D94" s="10">
        <f t="shared" si="7"/>
        <v>0.3069850308337812</v>
      </c>
      <c r="E94" t="str">
        <f t="shared" si="4"/>
        <v>A</v>
      </c>
    </row>
    <row r="95" spans="1:5" x14ac:dyDescent="0.3">
      <c r="A95" t="s">
        <v>1351</v>
      </c>
      <c r="B95">
        <v>41419.524249999995</v>
      </c>
      <c r="C95" s="10">
        <f t="shared" si="6"/>
        <v>2.6794024153810606E-2</v>
      </c>
      <c r="D95" s="10">
        <f t="shared" si="7"/>
        <v>0.33377905498759181</v>
      </c>
      <c r="E95" t="str">
        <f t="shared" si="4"/>
        <v>A</v>
      </c>
    </row>
    <row r="96" spans="1:5" x14ac:dyDescent="0.3">
      <c r="A96" t="s">
        <v>1361</v>
      </c>
      <c r="B96">
        <v>40476.013200000001</v>
      </c>
      <c r="C96" s="10">
        <f t="shared" si="6"/>
        <v>2.6183672916782891E-2</v>
      </c>
      <c r="D96" s="10">
        <f t="shared" si="7"/>
        <v>0.35996272790437467</v>
      </c>
      <c r="E96" t="str">
        <f t="shared" si="4"/>
        <v>A</v>
      </c>
    </row>
    <row r="97" spans="1:5" x14ac:dyDescent="0.3">
      <c r="A97" t="s">
        <v>794</v>
      </c>
      <c r="B97">
        <v>33687.501800000005</v>
      </c>
      <c r="C97" s="10">
        <f t="shared" si="6"/>
        <v>2.1792228502256122E-2</v>
      </c>
      <c r="D97" s="10">
        <f t="shared" si="7"/>
        <v>0.38175495640663082</v>
      </c>
      <c r="E97" t="str">
        <f t="shared" si="4"/>
        <v>A</v>
      </c>
    </row>
    <row r="98" spans="1:5" x14ac:dyDescent="0.3">
      <c r="A98" t="s">
        <v>1247</v>
      </c>
      <c r="B98">
        <v>33308.550000000003</v>
      </c>
      <c r="C98" s="10">
        <f t="shared" si="6"/>
        <v>2.1547087017263569E-2</v>
      </c>
      <c r="D98" s="10">
        <f t="shared" si="7"/>
        <v>0.40330204342389436</v>
      </c>
      <c r="E98" t="str">
        <f t="shared" si="4"/>
        <v>A</v>
      </c>
    </row>
    <row r="99" spans="1:5" x14ac:dyDescent="0.3">
      <c r="A99" t="s">
        <v>1238</v>
      </c>
      <c r="B99">
        <v>32335.21802</v>
      </c>
      <c r="C99" s="10">
        <f t="shared" si="6"/>
        <v>2.0917444812191731E-2</v>
      </c>
      <c r="D99" s="10">
        <f t="shared" si="7"/>
        <v>0.42421948823608607</v>
      </c>
      <c r="E99" t="str">
        <f t="shared" si="4"/>
        <v>A</v>
      </c>
    </row>
    <row r="100" spans="1:5" x14ac:dyDescent="0.3">
      <c r="A100" t="s">
        <v>795</v>
      </c>
      <c r="B100">
        <v>27701.570400000001</v>
      </c>
      <c r="C100" s="10">
        <f t="shared" si="6"/>
        <v>1.7919967933868412E-2</v>
      </c>
      <c r="D100" s="10">
        <f t="shared" si="7"/>
        <v>0.44213945616995448</v>
      </c>
      <c r="E100" t="str">
        <f t="shared" si="4"/>
        <v>A</v>
      </c>
    </row>
    <row r="101" spans="1:5" x14ac:dyDescent="0.3">
      <c r="A101" t="s">
        <v>844</v>
      </c>
      <c r="B101">
        <v>27676.35</v>
      </c>
      <c r="C101" s="10">
        <f t="shared" si="6"/>
        <v>1.7903653019126994E-2</v>
      </c>
      <c r="D101" s="10">
        <f t="shared" si="7"/>
        <v>0.46004310918908148</v>
      </c>
      <c r="E101" t="str">
        <f t="shared" si="4"/>
        <v>A</v>
      </c>
    </row>
    <row r="102" spans="1:5" x14ac:dyDescent="0.3">
      <c r="A102" t="s">
        <v>768</v>
      </c>
      <c r="B102">
        <v>27331.829999999998</v>
      </c>
      <c r="C102" s="10">
        <f t="shared" si="6"/>
        <v>1.7680785244360828E-2</v>
      </c>
      <c r="D102" s="10">
        <f t="shared" si="7"/>
        <v>0.47772389443344232</v>
      </c>
      <c r="E102" t="str">
        <f t="shared" si="4"/>
        <v>A</v>
      </c>
    </row>
    <row r="103" spans="1:5" x14ac:dyDescent="0.3">
      <c r="A103" t="s">
        <v>1058</v>
      </c>
      <c r="B103">
        <v>26015.449459999996</v>
      </c>
      <c r="C103" s="10">
        <f t="shared" si="6"/>
        <v>1.6829227129606134E-2</v>
      </c>
      <c r="D103" s="10">
        <f t="shared" si="7"/>
        <v>0.49455312156304843</v>
      </c>
      <c r="E103" t="str">
        <f t="shared" si="4"/>
        <v>A</v>
      </c>
    </row>
    <row r="104" spans="1:5" x14ac:dyDescent="0.3">
      <c r="A104" t="s">
        <v>1034</v>
      </c>
      <c r="B104">
        <v>25577.274079999999</v>
      </c>
      <c r="C104" s="10">
        <f t="shared" si="6"/>
        <v>1.6545774291170282E-2</v>
      </c>
      <c r="D104" s="10">
        <f t="shared" si="7"/>
        <v>0.51109889585421875</v>
      </c>
      <c r="E104" t="str">
        <f t="shared" si="4"/>
        <v>A</v>
      </c>
    </row>
    <row r="105" spans="1:5" x14ac:dyDescent="0.3">
      <c r="A105" t="s">
        <v>1201</v>
      </c>
      <c r="B105">
        <v>25269.09</v>
      </c>
      <c r="C105" s="10">
        <f t="shared" si="6"/>
        <v>1.6346411989626226E-2</v>
      </c>
      <c r="D105" s="10">
        <f t="shared" si="7"/>
        <v>0.52744530784384502</v>
      </c>
      <c r="E105" t="str">
        <f t="shared" si="4"/>
        <v>A</v>
      </c>
    </row>
    <row r="106" spans="1:5" x14ac:dyDescent="0.3">
      <c r="A106" t="s">
        <v>1319</v>
      </c>
      <c r="B106">
        <v>25131.155999999999</v>
      </c>
      <c r="C106" s="10">
        <f t="shared" si="6"/>
        <v>1.6257183371129195E-2</v>
      </c>
      <c r="D106" s="10">
        <f t="shared" si="7"/>
        <v>0.54370249121497427</v>
      </c>
      <c r="E106" t="str">
        <f t="shared" si="4"/>
        <v>A</v>
      </c>
    </row>
    <row r="107" spans="1:5" x14ac:dyDescent="0.3">
      <c r="A107" t="s">
        <v>758</v>
      </c>
      <c r="B107">
        <v>24894.430559999997</v>
      </c>
      <c r="C107" s="10">
        <f t="shared" si="6"/>
        <v>1.6104047204743087E-2</v>
      </c>
      <c r="D107" s="10">
        <f t="shared" si="7"/>
        <v>0.55980653841971739</v>
      </c>
      <c r="E107" t="str">
        <f t="shared" si="4"/>
        <v>A</v>
      </c>
    </row>
    <row r="108" spans="1:5" x14ac:dyDescent="0.3">
      <c r="A108" t="s">
        <v>1192</v>
      </c>
      <c r="B108">
        <v>24321.57</v>
      </c>
      <c r="C108" s="10">
        <f t="shared" si="6"/>
        <v>1.5733467388597433E-2</v>
      </c>
      <c r="D108" s="10">
        <f t="shared" si="7"/>
        <v>0.57554000580831488</v>
      </c>
      <c r="E108" t="str">
        <f t="shared" si="4"/>
        <v>A</v>
      </c>
    </row>
    <row r="109" spans="1:5" x14ac:dyDescent="0.3">
      <c r="A109" t="s">
        <v>891</v>
      </c>
      <c r="B109">
        <v>24147.922500000001</v>
      </c>
      <c r="C109" s="10">
        <f t="shared" si="6"/>
        <v>1.5621135936377799E-2</v>
      </c>
      <c r="D109" s="10">
        <f t="shared" si="7"/>
        <v>0.5911611417446927</v>
      </c>
      <c r="E109" t="str">
        <f t="shared" si="4"/>
        <v>A</v>
      </c>
    </row>
    <row r="110" spans="1:5" x14ac:dyDescent="0.3">
      <c r="A110" t="s">
        <v>1185</v>
      </c>
      <c r="B110">
        <v>23694.405119999999</v>
      </c>
      <c r="C110" s="10">
        <f t="shared" si="6"/>
        <v>1.5327758456700617E-2</v>
      </c>
      <c r="D110" s="10">
        <f t="shared" si="7"/>
        <v>0.60648890020139334</v>
      </c>
      <c r="E110" t="str">
        <f t="shared" si="4"/>
        <v>A</v>
      </c>
    </row>
    <row r="111" spans="1:5" x14ac:dyDescent="0.3">
      <c r="A111" t="s">
        <v>994</v>
      </c>
      <c r="B111">
        <v>22882.675440000003</v>
      </c>
      <c r="C111" s="10">
        <f t="shared" si="6"/>
        <v>1.480265574134809E-2</v>
      </c>
      <c r="D111" s="10">
        <f t="shared" si="7"/>
        <v>0.62129155594274144</v>
      </c>
      <c r="E111" t="str">
        <f t="shared" si="4"/>
        <v>A</v>
      </c>
    </row>
    <row r="112" spans="1:5" x14ac:dyDescent="0.3">
      <c r="A112" t="s">
        <v>812</v>
      </c>
      <c r="B112">
        <v>21787.936199999996</v>
      </c>
      <c r="C112" s="10">
        <f t="shared" si="6"/>
        <v>1.4094475959715653E-2</v>
      </c>
      <c r="D112" s="10">
        <f t="shared" si="7"/>
        <v>0.63538603190245713</v>
      </c>
      <c r="E112" t="str">
        <f t="shared" si="4"/>
        <v>A</v>
      </c>
    </row>
    <row r="113" spans="1:5" x14ac:dyDescent="0.3">
      <c r="A113" t="s">
        <v>1099</v>
      </c>
      <c r="B113">
        <v>21584.693520000001</v>
      </c>
      <c r="C113" s="10">
        <f t="shared" si="6"/>
        <v>1.3962999575676666E-2</v>
      </c>
      <c r="D113" s="10">
        <f t="shared" si="7"/>
        <v>0.64934903147813383</v>
      </c>
      <c r="E113" t="str">
        <f t="shared" si="4"/>
        <v>A</v>
      </c>
    </row>
    <row r="114" spans="1:5" x14ac:dyDescent="0.3">
      <c r="A114" t="s">
        <v>1127</v>
      </c>
      <c r="B114">
        <v>19800.88896</v>
      </c>
      <c r="C114" s="10">
        <f t="shared" si="6"/>
        <v>1.2809067865166555E-2</v>
      </c>
      <c r="D114" s="10">
        <f t="shared" si="7"/>
        <v>0.66215809934330039</v>
      </c>
      <c r="E114" t="str">
        <f t="shared" si="4"/>
        <v>A</v>
      </c>
    </row>
    <row r="115" spans="1:5" x14ac:dyDescent="0.3">
      <c r="A115" t="s">
        <v>990</v>
      </c>
      <c r="B115">
        <v>19073.059649999999</v>
      </c>
      <c r="C115" s="10">
        <f t="shared" si="6"/>
        <v>1.2338239760181951E-2</v>
      </c>
      <c r="D115" s="10">
        <f t="shared" si="7"/>
        <v>0.67449633910348239</v>
      </c>
      <c r="E115" t="str">
        <f t="shared" si="4"/>
        <v>A</v>
      </c>
    </row>
    <row r="116" spans="1:5" x14ac:dyDescent="0.3">
      <c r="A116" t="s">
        <v>770</v>
      </c>
      <c r="B116">
        <v>18957.37689</v>
      </c>
      <c r="C116" s="10">
        <f t="shared" si="6"/>
        <v>1.2263405325896544E-2</v>
      </c>
      <c r="D116" s="10">
        <f t="shared" si="7"/>
        <v>0.68675974442937893</v>
      </c>
      <c r="E116" t="str">
        <f t="shared" si="4"/>
        <v>A</v>
      </c>
    </row>
    <row r="117" spans="1:5" x14ac:dyDescent="0.3">
      <c r="A117" t="s">
        <v>1101</v>
      </c>
      <c r="B117">
        <v>18554.370299999999</v>
      </c>
      <c r="C117" s="10">
        <f t="shared" si="6"/>
        <v>1.2002702951783571E-2</v>
      </c>
      <c r="D117" s="10">
        <f t="shared" si="7"/>
        <v>0.69876244738116244</v>
      </c>
      <c r="E117" t="str">
        <f t="shared" si="4"/>
        <v>A</v>
      </c>
    </row>
    <row r="118" spans="1:5" x14ac:dyDescent="0.3">
      <c r="A118" t="s">
        <v>944</v>
      </c>
      <c r="B118">
        <v>18061.204320000004</v>
      </c>
      <c r="C118" s="10">
        <f t="shared" si="6"/>
        <v>1.1683677047473298E-2</v>
      </c>
      <c r="D118" s="10">
        <f t="shared" si="7"/>
        <v>0.71044612442863575</v>
      </c>
      <c r="E118" t="str">
        <f t="shared" si="4"/>
        <v>A</v>
      </c>
    </row>
    <row r="119" spans="1:5" x14ac:dyDescent="0.3">
      <c r="A119" t="s">
        <v>778</v>
      </c>
      <c r="B119">
        <v>17930.494560000003</v>
      </c>
      <c r="C119" s="10">
        <f t="shared" si="6"/>
        <v>1.1599121743422966E-2</v>
      </c>
      <c r="D119" s="10">
        <f t="shared" si="7"/>
        <v>0.72204524617205867</v>
      </c>
      <c r="E119" t="str">
        <f t="shared" si="4"/>
        <v>A</v>
      </c>
    </row>
    <row r="120" spans="1:5" x14ac:dyDescent="0.3">
      <c r="A120" t="s">
        <v>1001</v>
      </c>
      <c r="B120">
        <v>17594.028880000002</v>
      </c>
      <c r="C120" s="10">
        <f t="shared" si="6"/>
        <v>1.1381464256522972E-2</v>
      </c>
      <c r="D120" s="10">
        <f t="shared" si="7"/>
        <v>0.73342671042858165</v>
      </c>
      <c r="E120" t="str">
        <f t="shared" si="4"/>
        <v>A</v>
      </c>
    </row>
    <row r="121" spans="1:5" x14ac:dyDescent="0.3">
      <c r="A121" t="s">
        <v>1298</v>
      </c>
      <c r="B121">
        <v>17540.201120000002</v>
      </c>
      <c r="C121" s="10">
        <f t="shared" si="6"/>
        <v>1.1346643424374339E-2</v>
      </c>
      <c r="D121" s="10">
        <f t="shared" si="7"/>
        <v>0.74477335385295595</v>
      </c>
      <c r="E121" t="str">
        <f t="shared" si="4"/>
        <v>A</v>
      </c>
    </row>
    <row r="122" spans="1:5" x14ac:dyDescent="0.3">
      <c r="A122" t="s">
        <v>1135</v>
      </c>
      <c r="B122">
        <v>16946.091840000001</v>
      </c>
      <c r="C122" s="10">
        <f t="shared" si="6"/>
        <v>1.0962317947764765E-2</v>
      </c>
      <c r="D122" s="10">
        <f t="shared" si="7"/>
        <v>0.75573567180072077</v>
      </c>
      <c r="E122" t="str">
        <f t="shared" si="4"/>
        <v>A</v>
      </c>
    </row>
    <row r="123" spans="1:5" x14ac:dyDescent="0.3">
      <c r="A123" t="s">
        <v>1205</v>
      </c>
      <c r="B123">
        <v>15374.563199999999</v>
      </c>
      <c r="C123" s="10">
        <f t="shared" si="6"/>
        <v>9.9457061662191291E-3</v>
      </c>
      <c r="D123" s="10">
        <f t="shared" si="7"/>
        <v>0.76568137796693991</v>
      </c>
      <c r="E123" t="str">
        <f t="shared" si="4"/>
        <v>A</v>
      </c>
    </row>
    <row r="124" spans="1:5" x14ac:dyDescent="0.3">
      <c r="A124" t="s">
        <v>1111</v>
      </c>
      <c r="B124">
        <v>15348.702599999999</v>
      </c>
      <c r="C124" s="10">
        <f t="shared" si="6"/>
        <v>9.9289771102104261E-3</v>
      </c>
      <c r="D124" s="10">
        <f t="shared" si="7"/>
        <v>0.77561035507715037</v>
      </c>
      <c r="E124" t="str">
        <f t="shared" si="4"/>
        <v>A</v>
      </c>
    </row>
    <row r="125" spans="1:5" x14ac:dyDescent="0.3">
      <c r="A125" t="s">
        <v>968</v>
      </c>
      <c r="B125">
        <v>14269.848599999999</v>
      </c>
      <c r="C125" s="10">
        <f t="shared" si="6"/>
        <v>9.2310733882854899E-3</v>
      </c>
      <c r="D125" s="10">
        <f t="shared" si="7"/>
        <v>0.78484142846543581</v>
      </c>
      <c r="E125" t="str">
        <f t="shared" si="4"/>
        <v>A</v>
      </c>
    </row>
    <row r="126" spans="1:5" x14ac:dyDescent="0.3">
      <c r="A126" t="s">
        <v>820</v>
      </c>
      <c r="B126">
        <v>14197.064400000001</v>
      </c>
      <c r="C126" s="10">
        <f t="shared" si="6"/>
        <v>9.1839897568790838E-3</v>
      </c>
      <c r="D126" s="10">
        <f t="shared" si="7"/>
        <v>0.79402541822231487</v>
      </c>
      <c r="E126" t="str">
        <f t="shared" si="4"/>
        <v>A</v>
      </c>
    </row>
    <row r="127" spans="1:5" x14ac:dyDescent="0.3">
      <c r="A127" t="s">
        <v>1358</v>
      </c>
      <c r="B127">
        <v>13983.752729999998</v>
      </c>
      <c r="C127" s="10">
        <f t="shared" si="6"/>
        <v>9.0459998078933762E-3</v>
      </c>
      <c r="D127" s="10">
        <f t="shared" si="7"/>
        <v>0.80307141803020821</v>
      </c>
      <c r="E127" t="str">
        <f t="shared" si="4"/>
        <v>B</v>
      </c>
    </row>
    <row r="128" spans="1:5" x14ac:dyDescent="0.3">
      <c r="A128" t="s">
        <v>954</v>
      </c>
      <c r="B128">
        <v>13519.529099999998</v>
      </c>
      <c r="C128" s="10">
        <f t="shared" si="6"/>
        <v>8.7456965238693046E-3</v>
      </c>
      <c r="D128" s="10">
        <f t="shared" si="7"/>
        <v>0.81181711455407746</v>
      </c>
      <c r="E128" t="str">
        <f t="shared" si="4"/>
        <v>B</v>
      </c>
    </row>
    <row r="129" spans="1:5" x14ac:dyDescent="0.3">
      <c r="A129" t="s">
        <v>1131</v>
      </c>
      <c r="B129">
        <v>13185.543</v>
      </c>
      <c r="C129" s="10">
        <f t="shared" si="6"/>
        <v>8.5296430613422229E-3</v>
      </c>
      <c r="D129" s="10">
        <f t="shared" si="7"/>
        <v>0.82034675761541964</v>
      </c>
      <c r="E129" t="str">
        <f t="shared" si="4"/>
        <v>B</v>
      </c>
    </row>
    <row r="130" spans="1:5" x14ac:dyDescent="0.3">
      <c r="A130" t="s">
        <v>819</v>
      </c>
      <c r="B130">
        <v>13146.470699999998</v>
      </c>
      <c r="C130" s="10">
        <f t="shared" si="6"/>
        <v>8.5043674414769128E-3</v>
      </c>
      <c r="D130" s="10">
        <f t="shared" si="7"/>
        <v>0.82885112505689651</v>
      </c>
      <c r="E130" t="str">
        <f t="shared" si="4"/>
        <v>B</v>
      </c>
    </row>
    <row r="131" spans="1:5" x14ac:dyDescent="0.3">
      <c r="A131" t="s">
        <v>984</v>
      </c>
      <c r="B131">
        <v>12186.368600000002</v>
      </c>
      <c r="C131" s="10">
        <f t="shared" si="6"/>
        <v>7.8832835607868974E-3</v>
      </c>
      <c r="D131" s="10">
        <f t="shared" si="7"/>
        <v>0.83673440861768345</v>
      </c>
      <c r="E131" t="str">
        <f t="shared" si="4"/>
        <v>B</v>
      </c>
    </row>
    <row r="132" spans="1:5" x14ac:dyDescent="0.3">
      <c r="A132" t="s">
        <v>839</v>
      </c>
      <c r="B132">
        <v>12080.215199999999</v>
      </c>
      <c r="C132" s="10">
        <f t="shared" si="6"/>
        <v>7.8146136082678456E-3</v>
      </c>
      <c r="D132" s="10">
        <f t="shared" si="7"/>
        <v>0.8445490222259513</v>
      </c>
      <c r="E132" t="str">
        <f t="shared" si="4"/>
        <v>B</v>
      </c>
    </row>
    <row r="133" spans="1:5" x14ac:dyDescent="0.3">
      <c r="A133" t="s">
        <v>771</v>
      </c>
      <c r="B133">
        <v>11995.153920000001</v>
      </c>
      <c r="C133" s="10">
        <f t="shared" si="6"/>
        <v>7.7595880126787318E-3</v>
      </c>
      <c r="D133" s="10">
        <f t="shared" si="7"/>
        <v>0.85230861023863003</v>
      </c>
      <c r="E133" t="str">
        <f t="shared" si="4"/>
        <v>B</v>
      </c>
    </row>
    <row r="134" spans="1:5" x14ac:dyDescent="0.3">
      <c r="A134" t="s">
        <v>1323</v>
      </c>
      <c r="B134">
        <v>11742.8703</v>
      </c>
      <c r="C134" s="10">
        <f t="shared" si="6"/>
        <v>7.5963873595980592E-3</v>
      </c>
      <c r="D134" s="10">
        <f t="shared" si="7"/>
        <v>0.85990499759822814</v>
      </c>
      <c r="E134" t="str">
        <f t="shared" ref="E134:E197" si="8">IF(D134&lt;=80%,"A",IF(D134&lt;=95%,"B","C"))</f>
        <v>B</v>
      </c>
    </row>
    <row r="135" spans="1:5" x14ac:dyDescent="0.3">
      <c r="A135" t="s">
        <v>1023</v>
      </c>
      <c r="B135">
        <v>10456.416880000001</v>
      </c>
      <c r="C135" s="10">
        <f t="shared" si="6"/>
        <v>6.764188906516303E-3</v>
      </c>
      <c r="D135" s="10">
        <f t="shared" si="7"/>
        <v>0.86666918650474445</v>
      </c>
      <c r="E135" t="str">
        <f t="shared" si="8"/>
        <v>B</v>
      </c>
    </row>
    <row r="136" spans="1:5" x14ac:dyDescent="0.3">
      <c r="A136" t="s">
        <v>764</v>
      </c>
      <c r="B136">
        <v>9805.8573800000013</v>
      </c>
      <c r="C136" s="10">
        <f t="shared" si="6"/>
        <v>6.3433461452310639E-3</v>
      </c>
      <c r="D136" s="10">
        <f t="shared" si="7"/>
        <v>0.87301253264997547</v>
      </c>
      <c r="E136" t="str">
        <f t="shared" si="8"/>
        <v>B</v>
      </c>
    </row>
    <row r="137" spans="1:5" x14ac:dyDescent="0.3">
      <c r="A137" t="s">
        <v>870</v>
      </c>
      <c r="B137">
        <v>9698.1638399999993</v>
      </c>
      <c r="C137" s="10">
        <f t="shared" si="6"/>
        <v>6.273679886040039E-3</v>
      </c>
      <c r="D137" s="10">
        <f t="shared" si="7"/>
        <v>0.87928621253601547</v>
      </c>
      <c r="E137" t="str">
        <f t="shared" si="8"/>
        <v>B</v>
      </c>
    </row>
    <row r="138" spans="1:5" x14ac:dyDescent="0.3">
      <c r="A138" t="s">
        <v>803</v>
      </c>
      <c r="B138">
        <v>8930.7124999999996</v>
      </c>
      <c r="C138" s="10">
        <f t="shared" si="6"/>
        <v>5.7772205443846533E-3</v>
      </c>
      <c r="D138" s="10">
        <f t="shared" si="7"/>
        <v>0.88506343308040014</v>
      </c>
      <c r="E138" t="str">
        <f t="shared" si="8"/>
        <v>B</v>
      </c>
    </row>
    <row r="139" spans="1:5" x14ac:dyDescent="0.3">
      <c r="A139" t="s">
        <v>905</v>
      </c>
      <c r="B139">
        <v>8928.9795999999988</v>
      </c>
      <c r="C139" s="10">
        <f t="shared" si="6"/>
        <v>5.7760995425069897E-3</v>
      </c>
      <c r="D139" s="10">
        <f t="shared" si="7"/>
        <v>0.89083953262290716</v>
      </c>
      <c r="E139" t="str">
        <f t="shared" si="8"/>
        <v>B</v>
      </c>
    </row>
    <row r="140" spans="1:5" x14ac:dyDescent="0.3">
      <c r="A140" t="s">
        <v>859</v>
      </c>
      <c r="B140">
        <v>8909.8587200000002</v>
      </c>
      <c r="C140" s="10">
        <f t="shared" si="6"/>
        <v>5.7637303680695973E-3</v>
      </c>
      <c r="D140" s="10">
        <f t="shared" si="7"/>
        <v>0.89660326299097681</v>
      </c>
      <c r="E140" t="str">
        <f t="shared" si="8"/>
        <v>B</v>
      </c>
    </row>
    <row r="141" spans="1:5" x14ac:dyDescent="0.3">
      <c r="A141" t="s">
        <v>1028</v>
      </c>
      <c r="B141">
        <v>8903.4839999999986</v>
      </c>
      <c r="C141" s="10">
        <f t="shared" si="6"/>
        <v>5.7596066026534883E-3</v>
      </c>
      <c r="D141" s="10">
        <f t="shared" si="7"/>
        <v>0.90236286959363032</v>
      </c>
      <c r="E141" t="str">
        <f t="shared" si="8"/>
        <v>B</v>
      </c>
    </row>
    <row r="142" spans="1:5" x14ac:dyDescent="0.3">
      <c r="A142" t="s">
        <v>1049</v>
      </c>
      <c r="B142">
        <v>8780.5809000000008</v>
      </c>
      <c r="C142" s="10">
        <f t="shared" si="6"/>
        <v>5.6801013768063291E-3</v>
      </c>
      <c r="D142" s="10">
        <f t="shared" si="7"/>
        <v>0.90804297097043662</v>
      </c>
      <c r="E142" t="str">
        <f t="shared" si="8"/>
        <v>B</v>
      </c>
    </row>
    <row r="143" spans="1:5" x14ac:dyDescent="0.3">
      <c r="A143" t="s">
        <v>1328</v>
      </c>
      <c r="B143">
        <v>8128.5187499999993</v>
      </c>
      <c r="C143" s="10">
        <f t="shared" si="6"/>
        <v>5.2582865608892752E-3</v>
      </c>
      <c r="D143" s="10">
        <f t="shared" si="7"/>
        <v>0.91330125753132585</v>
      </c>
      <c r="E143" t="str">
        <f t="shared" si="8"/>
        <v>B</v>
      </c>
    </row>
    <row r="144" spans="1:5" x14ac:dyDescent="0.3">
      <c r="A144" t="s">
        <v>1137</v>
      </c>
      <c r="B144">
        <v>7832.0010999999995</v>
      </c>
      <c r="C144" s="10">
        <f t="shared" si="6"/>
        <v>5.0664711979658064E-3</v>
      </c>
      <c r="D144" s="10">
        <f t="shared" si="7"/>
        <v>0.91836772872929162</v>
      </c>
      <c r="E144" t="str">
        <f t="shared" si="8"/>
        <v>B</v>
      </c>
    </row>
    <row r="145" spans="1:5" x14ac:dyDescent="0.3">
      <c r="A145" t="s">
        <v>1253</v>
      </c>
      <c r="B145">
        <v>7399.4832000000006</v>
      </c>
      <c r="C145" s="10">
        <f t="shared" si="6"/>
        <v>4.7866781469976891E-3</v>
      </c>
      <c r="D145" s="10">
        <f t="shared" si="7"/>
        <v>0.92315440687628936</v>
      </c>
      <c r="E145" t="str">
        <f t="shared" si="8"/>
        <v>B</v>
      </c>
    </row>
    <row r="146" spans="1:5" x14ac:dyDescent="0.3">
      <c r="A146" t="s">
        <v>1170</v>
      </c>
      <c r="B146">
        <v>7340.3891399999993</v>
      </c>
      <c r="C146" s="10">
        <f t="shared" si="6"/>
        <v>4.7484505792103364E-3</v>
      </c>
      <c r="D146" s="10">
        <f t="shared" si="7"/>
        <v>0.92790285745549972</v>
      </c>
      <c r="E146" t="str">
        <f t="shared" si="8"/>
        <v>B</v>
      </c>
    </row>
    <row r="147" spans="1:5" x14ac:dyDescent="0.3">
      <c r="A147" t="s">
        <v>809</v>
      </c>
      <c r="B147">
        <v>6874.4828600000001</v>
      </c>
      <c r="C147" s="10">
        <f t="shared" si="6"/>
        <v>4.4470587997107926E-3</v>
      </c>
      <c r="D147" s="10">
        <f t="shared" si="7"/>
        <v>0.93234991625521046</v>
      </c>
      <c r="E147" t="str">
        <f t="shared" si="8"/>
        <v>B</v>
      </c>
    </row>
    <row r="148" spans="1:5" x14ac:dyDescent="0.3">
      <c r="A148" t="s">
        <v>1293</v>
      </c>
      <c r="B148">
        <v>6766.9829999999993</v>
      </c>
      <c r="C148" s="10">
        <f t="shared" si="6"/>
        <v>4.3775178308675475E-3</v>
      </c>
      <c r="D148" s="10">
        <f t="shared" si="7"/>
        <v>0.93672743408607806</v>
      </c>
      <c r="E148" t="str">
        <f t="shared" si="8"/>
        <v>B</v>
      </c>
    </row>
    <row r="149" spans="1:5" x14ac:dyDescent="0.3">
      <c r="A149" t="s">
        <v>808</v>
      </c>
      <c r="B149">
        <v>6739.6</v>
      </c>
      <c r="C149" s="10">
        <f t="shared" si="6"/>
        <v>4.3598039440789086E-3</v>
      </c>
      <c r="D149" s="10">
        <f t="shared" si="7"/>
        <v>0.94108723803015693</v>
      </c>
      <c r="E149" t="str">
        <f t="shared" si="8"/>
        <v>B</v>
      </c>
    </row>
    <row r="150" spans="1:5" x14ac:dyDescent="0.3">
      <c r="A150" t="s">
        <v>940</v>
      </c>
      <c r="B150">
        <v>6702.3501999999999</v>
      </c>
      <c r="C150" s="10">
        <f t="shared" si="6"/>
        <v>4.3357072877556625E-3</v>
      </c>
      <c r="D150" s="10">
        <f t="shared" si="7"/>
        <v>0.9454229453179126</v>
      </c>
      <c r="E150" t="str">
        <f t="shared" si="8"/>
        <v>B</v>
      </c>
    </row>
    <row r="151" spans="1:5" x14ac:dyDescent="0.3">
      <c r="A151" t="s">
        <v>1224</v>
      </c>
      <c r="B151">
        <v>6664.0999999999995</v>
      </c>
      <c r="C151" s="10">
        <f t="shared" si="6"/>
        <v>4.3109634790990939E-3</v>
      </c>
      <c r="D151" s="10">
        <f t="shared" si="7"/>
        <v>0.94973390879701169</v>
      </c>
      <c r="E151" t="str">
        <f t="shared" si="8"/>
        <v>B</v>
      </c>
    </row>
    <row r="152" spans="1:5" x14ac:dyDescent="0.3">
      <c r="A152" t="s">
        <v>1257</v>
      </c>
      <c r="B152">
        <v>6435.2555999999995</v>
      </c>
      <c r="C152" s="10">
        <f t="shared" si="6"/>
        <v>4.1629255068603302E-3</v>
      </c>
      <c r="D152" s="10">
        <f t="shared" si="7"/>
        <v>0.95389683430387207</v>
      </c>
      <c r="E152" t="str">
        <f t="shared" si="8"/>
        <v>C</v>
      </c>
    </row>
    <row r="153" spans="1:5" x14ac:dyDescent="0.3">
      <c r="A153" t="s">
        <v>835</v>
      </c>
      <c r="B153">
        <v>6324.5775999999996</v>
      </c>
      <c r="C153" s="10">
        <f t="shared" si="6"/>
        <v>4.0913286196678014E-3</v>
      </c>
      <c r="D153" s="10">
        <f t="shared" si="7"/>
        <v>0.95798816292353983</v>
      </c>
      <c r="E153" t="str">
        <f t="shared" si="8"/>
        <v>C</v>
      </c>
    </row>
    <row r="154" spans="1:5" x14ac:dyDescent="0.3">
      <c r="A154" t="s">
        <v>1313</v>
      </c>
      <c r="B154">
        <v>6137.8019999999988</v>
      </c>
      <c r="C154" s="10">
        <f t="shared" ref="C154:C176" si="9">B154/$B$88</f>
        <v>3.970504683894505E-3</v>
      </c>
      <c r="D154" s="10">
        <f t="shared" si="7"/>
        <v>0.96195866760743431</v>
      </c>
      <c r="E154" t="str">
        <f t="shared" si="8"/>
        <v>C</v>
      </c>
    </row>
    <row r="155" spans="1:5" x14ac:dyDescent="0.3">
      <c r="A155" t="s">
        <v>1218</v>
      </c>
      <c r="B155">
        <v>6063.2517199999993</v>
      </c>
      <c r="C155" s="10">
        <f t="shared" si="9"/>
        <v>3.9222785866815865E-3</v>
      </c>
      <c r="D155" s="10">
        <f t="shared" si="7"/>
        <v>0.96588094619411591</v>
      </c>
      <c r="E155" t="str">
        <f t="shared" si="8"/>
        <v>C</v>
      </c>
    </row>
    <row r="156" spans="1:5" x14ac:dyDescent="0.3">
      <c r="A156" t="s">
        <v>895</v>
      </c>
      <c r="B156">
        <v>5650.1744000000008</v>
      </c>
      <c r="C156" s="10">
        <f t="shared" si="9"/>
        <v>3.6550615220270763E-3</v>
      </c>
      <c r="D156" s="10">
        <f t="shared" ref="D156:D219" si="10">D155+C156</f>
        <v>0.96953600771614301</v>
      </c>
      <c r="E156" t="str">
        <f t="shared" si="8"/>
        <v>C</v>
      </c>
    </row>
    <row r="157" spans="1:5" x14ac:dyDescent="0.3">
      <c r="A157" t="s">
        <v>816</v>
      </c>
      <c r="B157">
        <v>5331.6696000000002</v>
      </c>
      <c r="C157" s="10">
        <f t="shared" si="9"/>
        <v>3.4490228130164427E-3</v>
      </c>
      <c r="D157" s="10">
        <f t="shared" si="10"/>
        <v>0.97298503052915941</v>
      </c>
      <c r="E157" t="str">
        <f t="shared" si="8"/>
        <v>C</v>
      </c>
    </row>
    <row r="158" spans="1:5" x14ac:dyDescent="0.3">
      <c r="A158" t="s">
        <v>746</v>
      </c>
      <c r="B158">
        <v>4968.5039999999999</v>
      </c>
      <c r="C158" s="10">
        <f t="shared" si="9"/>
        <v>3.2140933193916307E-3</v>
      </c>
      <c r="D158" s="10">
        <f t="shared" si="10"/>
        <v>0.97619912384855101</v>
      </c>
      <c r="E158" t="str">
        <f t="shared" si="8"/>
        <v>C</v>
      </c>
    </row>
    <row r="159" spans="1:5" x14ac:dyDescent="0.3">
      <c r="A159" t="s">
        <v>734</v>
      </c>
      <c r="B159">
        <v>4866.3287999999993</v>
      </c>
      <c r="C159" s="10">
        <f t="shared" si="9"/>
        <v>3.1479968388961927E-3</v>
      </c>
      <c r="D159" s="10">
        <f t="shared" si="10"/>
        <v>0.97934712068744723</v>
      </c>
      <c r="E159" t="str">
        <f t="shared" si="8"/>
        <v>C</v>
      </c>
    </row>
    <row r="160" spans="1:5" x14ac:dyDescent="0.3">
      <c r="A160" t="s">
        <v>956</v>
      </c>
      <c r="B160">
        <v>4503.4363999999996</v>
      </c>
      <c r="C160" s="10">
        <f t="shared" si="9"/>
        <v>2.9132440765963141E-3</v>
      </c>
      <c r="D160" s="10">
        <f t="shared" si="10"/>
        <v>0.98226036476404355</v>
      </c>
      <c r="E160" t="str">
        <f t="shared" si="8"/>
        <v>C</v>
      </c>
    </row>
    <row r="161" spans="1:5" x14ac:dyDescent="0.3">
      <c r="A161" t="s">
        <v>1210</v>
      </c>
      <c r="B161">
        <v>4212.3745999999992</v>
      </c>
      <c r="C161" s="10">
        <f t="shared" si="9"/>
        <v>2.7249580679888732E-3</v>
      </c>
      <c r="D161" s="10">
        <f t="shared" si="10"/>
        <v>0.98498532283203244</v>
      </c>
      <c r="E161" t="str">
        <f t="shared" si="8"/>
        <v>C</v>
      </c>
    </row>
    <row r="162" spans="1:5" x14ac:dyDescent="0.3">
      <c r="A162" t="s">
        <v>1244</v>
      </c>
      <c r="B162">
        <v>3525.5505600000001</v>
      </c>
      <c r="C162" s="10">
        <f t="shared" si="9"/>
        <v>2.2806560087449707E-3</v>
      </c>
      <c r="D162" s="10">
        <f t="shared" si="10"/>
        <v>0.98726597884077738</v>
      </c>
      <c r="E162" t="str">
        <f t="shared" si="8"/>
        <v>C</v>
      </c>
    </row>
    <row r="163" spans="1:5" x14ac:dyDescent="0.3">
      <c r="A163" t="s">
        <v>1302</v>
      </c>
      <c r="B163">
        <v>3378.1478400000001</v>
      </c>
      <c r="C163" s="10">
        <f t="shared" si="9"/>
        <v>2.1853021361080251E-3</v>
      </c>
      <c r="D163" s="10">
        <f t="shared" si="10"/>
        <v>0.98945128097688539</v>
      </c>
      <c r="E163" t="str">
        <f t="shared" si="8"/>
        <v>C</v>
      </c>
    </row>
    <row r="164" spans="1:5" x14ac:dyDescent="0.3">
      <c r="A164" t="s">
        <v>1060</v>
      </c>
      <c r="B164">
        <v>2373.9623200000001</v>
      </c>
      <c r="C164" s="10">
        <f t="shared" si="9"/>
        <v>1.535700974216677E-3</v>
      </c>
      <c r="D164" s="10">
        <f t="shared" si="10"/>
        <v>0.99098698195110202</v>
      </c>
      <c r="E164" t="str">
        <f t="shared" si="8"/>
        <v>C</v>
      </c>
    </row>
    <row r="165" spans="1:5" x14ac:dyDescent="0.3">
      <c r="A165" t="s">
        <v>903</v>
      </c>
      <c r="B165">
        <v>2316.2621999999997</v>
      </c>
      <c r="C165" s="10">
        <f t="shared" si="9"/>
        <v>1.4983751372605032E-3</v>
      </c>
      <c r="D165" s="10">
        <f t="shared" si="10"/>
        <v>0.9924853570883625</v>
      </c>
      <c r="E165" t="str">
        <f t="shared" si="8"/>
        <v>C</v>
      </c>
    </row>
    <row r="166" spans="1:5" x14ac:dyDescent="0.3">
      <c r="A166" t="s">
        <v>1341</v>
      </c>
      <c r="B166">
        <v>2077.46</v>
      </c>
      <c r="C166" s="10">
        <f t="shared" si="9"/>
        <v>1.3438955281717267E-3</v>
      </c>
      <c r="D166" s="10">
        <f t="shared" si="10"/>
        <v>0.99382925261653421</v>
      </c>
      <c r="E166" t="str">
        <f t="shared" si="8"/>
        <v>C</v>
      </c>
    </row>
    <row r="167" spans="1:5" x14ac:dyDescent="0.3">
      <c r="A167" t="s">
        <v>858</v>
      </c>
      <c r="B167">
        <v>2072.9258400000003</v>
      </c>
      <c r="C167" s="10">
        <f t="shared" si="9"/>
        <v>1.3409624091956624E-3</v>
      </c>
      <c r="D167" s="10">
        <f t="shared" si="10"/>
        <v>0.99517021502572989</v>
      </c>
      <c r="E167" t="str">
        <f t="shared" si="8"/>
        <v>C</v>
      </c>
    </row>
    <row r="168" spans="1:5" x14ac:dyDescent="0.3">
      <c r="A168" t="s">
        <v>1197</v>
      </c>
      <c r="B168">
        <v>1808.04592</v>
      </c>
      <c r="C168" s="10">
        <f t="shared" si="9"/>
        <v>1.1696132905649858E-3</v>
      </c>
      <c r="D168" s="10">
        <f t="shared" si="10"/>
        <v>0.99633982831629486</v>
      </c>
      <c r="E168" t="str">
        <f t="shared" si="8"/>
        <v>C</v>
      </c>
    </row>
    <row r="169" spans="1:5" x14ac:dyDescent="0.3">
      <c r="A169" t="s">
        <v>1193</v>
      </c>
      <c r="B169">
        <v>1662.6945600000001</v>
      </c>
      <c r="C169" s="10">
        <f t="shared" si="9"/>
        <v>1.0755864295338812E-3</v>
      </c>
      <c r="D169" s="10">
        <f t="shared" si="10"/>
        <v>0.99741541474582873</v>
      </c>
      <c r="E169" t="str">
        <f t="shared" si="8"/>
        <v>C</v>
      </c>
    </row>
    <row r="170" spans="1:5" x14ac:dyDescent="0.3">
      <c r="A170" t="s">
        <v>1252</v>
      </c>
      <c r="B170">
        <v>855.72881999999993</v>
      </c>
      <c r="C170" s="10">
        <f t="shared" si="9"/>
        <v>5.5356547636328422E-4</v>
      </c>
      <c r="D170" s="10">
        <f t="shared" si="10"/>
        <v>0.99796898022219205</v>
      </c>
      <c r="E170" t="str">
        <f t="shared" si="8"/>
        <v>C</v>
      </c>
    </row>
    <row r="171" spans="1:5" x14ac:dyDescent="0.3">
      <c r="A171" t="s">
        <v>861</v>
      </c>
      <c r="B171">
        <v>853.32276999999988</v>
      </c>
      <c r="C171" s="10">
        <f t="shared" si="9"/>
        <v>5.5200901807501025E-4</v>
      </c>
      <c r="D171" s="10">
        <f t="shared" si="10"/>
        <v>0.99852098924026711</v>
      </c>
      <c r="E171" t="str">
        <f t="shared" si="8"/>
        <v>C</v>
      </c>
    </row>
    <row r="172" spans="1:5" x14ac:dyDescent="0.3">
      <c r="A172" t="s">
        <v>1057</v>
      </c>
      <c r="B172">
        <v>703.2428000000001</v>
      </c>
      <c r="C172" s="10">
        <f t="shared" si="9"/>
        <v>4.5492324961200894E-4</v>
      </c>
      <c r="D172" s="10">
        <f t="shared" si="10"/>
        <v>0.99897591248987916</v>
      </c>
      <c r="E172" t="str">
        <f t="shared" si="8"/>
        <v>C</v>
      </c>
    </row>
    <row r="173" spans="1:5" x14ac:dyDescent="0.3">
      <c r="A173" t="s">
        <v>964</v>
      </c>
      <c r="B173">
        <v>667.15008</v>
      </c>
      <c r="C173" s="10">
        <f t="shared" si="9"/>
        <v>4.3157510090755527E-4</v>
      </c>
      <c r="D173" s="10">
        <f t="shared" si="10"/>
        <v>0.99940748759078668</v>
      </c>
      <c r="E173" t="str">
        <f t="shared" si="8"/>
        <v>C</v>
      </c>
    </row>
    <row r="174" spans="1:5" x14ac:dyDescent="0.3">
      <c r="A174" t="s">
        <v>1307</v>
      </c>
      <c r="B174">
        <v>496.98660000000001</v>
      </c>
      <c r="C174" s="10">
        <f t="shared" si="9"/>
        <v>3.2149743884419949E-4</v>
      </c>
      <c r="D174" s="10">
        <f t="shared" si="10"/>
        <v>0.99972898502963092</v>
      </c>
      <c r="E174" t="str">
        <f t="shared" si="8"/>
        <v>C</v>
      </c>
    </row>
    <row r="175" spans="1:5" x14ac:dyDescent="0.3">
      <c r="A175" t="s">
        <v>911</v>
      </c>
      <c r="B175">
        <v>321.93290999999999</v>
      </c>
      <c r="C175" s="10">
        <f t="shared" si="9"/>
        <v>2.0825633134708294E-4</v>
      </c>
      <c r="D175" s="10">
        <f t="shared" si="10"/>
        <v>0.99993724136097806</v>
      </c>
      <c r="E175" t="str">
        <f t="shared" si="8"/>
        <v>C</v>
      </c>
    </row>
    <row r="176" spans="1:5" x14ac:dyDescent="0.3">
      <c r="A176" t="s">
        <v>906</v>
      </c>
      <c r="B176">
        <v>97.0154</v>
      </c>
      <c r="C176" s="10">
        <f t="shared" si="9"/>
        <v>6.2758639022552224E-5</v>
      </c>
      <c r="D176" s="10">
        <f t="shared" si="10"/>
        <v>1.0000000000000007</v>
      </c>
      <c r="E176" t="str">
        <f t="shared" si="8"/>
        <v>C</v>
      </c>
    </row>
    <row r="177" spans="1:5" x14ac:dyDescent="0.3">
      <c r="A177" s="14" t="s">
        <v>731</v>
      </c>
      <c r="B177" s="14">
        <v>1595752.9355599999</v>
      </c>
      <c r="D177" s="10"/>
    </row>
    <row r="178" spans="1:5" x14ac:dyDescent="0.3">
      <c r="A178" t="s">
        <v>1096</v>
      </c>
      <c r="B178">
        <v>82514.711519999997</v>
      </c>
      <c r="C178" s="10">
        <f>B178/$B$177</f>
        <v>5.1708951731329882E-2</v>
      </c>
      <c r="D178" s="10">
        <f t="shared" si="10"/>
        <v>5.1708951731329882E-2</v>
      </c>
      <c r="E178" t="str">
        <f t="shared" si="8"/>
        <v>A</v>
      </c>
    </row>
    <row r="179" spans="1:5" x14ac:dyDescent="0.3">
      <c r="A179" t="s">
        <v>851</v>
      </c>
      <c r="B179">
        <v>65119.329599999997</v>
      </c>
      <c r="C179" s="10">
        <f t="shared" ref="C179:C242" si="11">B179/$B$177</f>
        <v>4.0807902118724648E-2</v>
      </c>
      <c r="D179" s="10">
        <f t="shared" si="10"/>
        <v>9.2516853850054537E-2</v>
      </c>
      <c r="E179" t="str">
        <f t="shared" si="8"/>
        <v>A</v>
      </c>
    </row>
    <row r="180" spans="1:5" x14ac:dyDescent="0.3">
      <c r="A180" t="s">
        <v>1121</v>
      </c>
      <c r="B180">
        <v>65066.934229999999</v>
      </c>
      <c r="C180" s="10">
        <f t="shared" si="11"/>
        <v>4.0775067856708008E-2</v>
      </c>
      <c r="D180" s="10">
        <f t="shared" si="10"/>
        <v>0.13329192170676255</v>
      </c>
      <c r="E180" t="str">
        <f t="shared" si="8"/>
        <v>A</v>
      </c>
    </row>
    <row r="181" spans="1:5" x14ac:dyDescent="0.3">
      <c r="A181" t="s">
        <v>1254</v>
      </c>
      <c r="B181">
        <v>64192.976999999999</v>
      </c>
      <c r="C181" s="10">
        <f t="shared" si="11"/>
        <v>4.0227390825681088E-2</v>
      </c>
      <c r="D181" s="10">
        <f t="shared" si="10"/>
        <v>0.17351931253244363</v>
      </c>
      <c r="E181" t="str">
        <f t="shared" si="8"/>
        <v>A</v>
      </c>
    </row>
    <row r="182" spans="1:5" x14ac:dyDescent="0.3">
      <c r="A182" t="s">
        <v>1261</v>
      </c>
      <c r="B182">
        <v>58526.83122</v>
      </c>
      <c r="C182" s="10">
        <f t="shared" si="11"/>
        <v>3.6676624504821037E-2</v>
      </c>
      <c r="D182" s="10">
        <f t="shared" si="10"/>
        <v>0.21019593703726466</v>
      </c>
      <c r="E182" t="str">
        <f t="shared" si="8"/>
        <v>A</v>
      </c>
    </row>
    <row r="183" spans="1:5" x14ac:dyDescent="0.3">
      <c r="A183" t="s">
        <v>1164</v>
      </c>
      <c r="B183">
        <v>58057.65</v>
      </c>
      <c r="C183" s="10">
        <f t="shared" si="11"/>
        <v>3.6382605794565398E-2</v>
      </c>
      <c r="D183" s="10">
        <f t="shared" si="10"/>
        <v>0.24657854283183006</v>
      </c>
      <c r="E183" t="str">
        <f t="shared" si="8"/>
        <v>A</v>
      </c>
    </row>
    <row r="184" spans="1:5" x14ac:dyDescent="0.3">
      <c r="A184" t="s">
        <v>1299</v>
      </c>
      <c r="B184">
        <v>44173.627960000005</v>
      </c>
      <c r="C184" s="10">
        <f t="shared" si="11"/>
        <v>2.7681996990654503E-2</v>
      </c>
      <c r="D184" s="10">
        <f t="shared" si="10"/>
        <v>0.27426053982248455</v>
      </c>
      <c r="E184" t="str">
        <f t="shared" si="8"/>
        <v>A</v>
      </c>
    </row>
    <row r="185" spans="1:5" x14ac:dyDescent="0.3">
      <c r="A185" t="s">
        <v>1267</v>
      </c>
      <c r="B185">
        <v>42433.254400000005</v>
      </c>
      <c r="C185" s="10">
        <f t="shared" si="11"/>
        <v>2.6591368534821989E-2</v>
      </c>
      <c r="D185" s="10">
        <f t="shared" si="10"/>
        <v>0.30085190835730652</v>
      </c>
      <c r="E185" t="str">
        <f t="shared" si="8"/>
        <v>A</v>
      </c>
    </row>
    <row r="186" spans="1:5" x14ac:dyDescent="0.3">
      <c r="A186" t="s">
        <v>1211</v>
      </c>
      <c r="B186">
        <v>41914.215840000004</v>
      </c>
      <c r="C186" s="10">
        <f t="shared" si="11"/>
        <v>2.6266106053122181E-2</v>
      </c>
      <c r="D186" s="10">
        <f t="shared" si="10"/>
        <v>0.3271180144104287</v>
      </c>
      <c r="E186" t="str">
        <f t="shared" si="8"/>
        <v>A</v>
      </c>
    </row>
    <row r="187" spans="1:5" x14ac:dyDescent="0.3">
      <c r="A187" t="s">
        <v>1315</v>
      </c>
      <c r="B187">
        <v>40563.321749999996</v>
      </c>
      <c r="C187" s="10">
        <f t="shared" si="11"/>
        <v>2.5419550135914397E-2</v>
      </c>
      <c r="D187" s="10">
        <f t="shared" si="10"/>
        <v>0.35253756454634311</v>
      </c>
      <c r="E187" t="str">
        <f t="shared" si="8"/>
        <v>A</v>
      </c>
    </row>
    <row r="188" spans="1:5" x14ac:dyDescent="0.3">
      <c r="A188" t="s">
        <v>998</v>
      </c>
      <c r="B188">
        <v>40139.874619999995</v>
      </c>
      <c r="C188" s="10">
        <f t="shared" si="11"/>
        <v>2.5154191307135934E-2</v>
      </c>
      <c r="D188" s="10">
        <f t="shared" si="10"/>
        <v>0.37769175585347903</v>
      </c>
      <c r="E188" t="str">
        <f t="shared" si="8"/>
        <v>A</v>
      </c>
    </row>
    <row r="189" spans="1:5" x14ac:dyDescent="0.3">
      <c r="A189" t="s">
        <v>753</v>
      </c>
      <c r="B189">
        <v>39263.702919999996</v>
      </c>
      <c r="C189" s="10">
        <f t="shared" si="11"/>
        <v>2.4605126548754321E-2</v>
      </c>
      <c r="D189" s="10">
        <f t="shared" si="10"/>
        <v>0.40229688240223332</v>
      </c>
      <c r="E189" t="str">
        <f t="shared" si="8"/>
        <v>A</v>
      </c>
    </row>
    <row r="190" spans="1:5" x14ac:dyDescent="0.3">
      <c r="A190" t="s">
        <v>1215</v>
      </c>
      <c r="B190">
        <v>36161.097000000002</v>
      </c>
      <c r="C190" s="10">
        <f t="shared" si="11"/>
        <v>2.2660836896602629E-2</v>
      </c>
      <c r="D190" s="10">
        <f t="shared" si="10"/>
        <v>0.42495771929883597</v>
      </c>
      <c r="E190" t="str">
        <f t="shared" si="8"/>
        <v>A</v>
      </c>
    </row>
    <row r="191" spans="1:5" x14ac:dyDescent="0.3">
      <c r="A191" t="s">
        <v>976</v>
      </c>
      <c r="B191">
        <v>34082.864639999993</v>
      </c>
      <c r="C191" s="10">
        <f t="shared" si="11"/>
        <v>2.1358484688006694E-2</v>
      </c>
      <c r="D191" s="10">
        <f t="shared" si="10"/>
        <v>0.44631620398684269</v>
      </c>
      <c r="E191" t="str">
        <f t="shared" si="8"/>
        <v>A</v>
      </c>
    </row>
    <row r="192" spans="1:5" x14ac:dyDescent="0.3">
      <c r="A192" t="s">
        <v>1332</v>
      </c>
      <c r="B192">
        <v>33938.142760000002</v>
      </c>
      <c r="C192" s="10">
        <f t="shared" si="11"/>
        <v>2.1267792779018163E-2</v>
      </c>
      <c r="D192" s="10">
        <f t="shared" si="10"/>
        <v>0.46758399676586082</v>
      </c>
      <c r="E192" t="str">
        <f t="shared" si="8"/>
        <v>A</v>
      </c>
    </row>
    <row r="193" spans="1:5" x14ac:dyDescent="0.3">
      <c r="A193" t="s">
        <v>907</v>
      </c>
      <c r="B193">
        <v>31556.187599999997</v>
      </c>
      <c r="C193" s="10">
        <f t="shared" si="11"/>
        <v>1.9775108600333508E-2</v>
      </c>
      <c r="D193" s="10">
        <f t="shared" si="10"/>
        <v>0.48735910536619431</v>
      </c>
      <c r="E193" t="str">
        <f t="shared" si="8"/>
        <v>A</v>
      </c>
    </row>
    <row r="194" spans="1:5" x14ac:dyDescent="0.3">
      <c r="A194" t="s">
        <v>1159</v>
      </c>
      <c r="B194">
        <v>30435.614999999998</v>
      </c>
      <c r="C194" s="10">
        <f t="shared" si="11"/>
        <v>1.9072886736892752E-2</v>
      </c>
      <c r="D194" s="10">
        <f t="shared" si="10"/>
        <v>0.50643199210308709</v>
      </c>
      <c r="E194" t="str">
        <f t="shared" si="8"/>
        <v>A</v>
      </c>
    </row>
    <row r="195" spans="1:5" x14ac:dyDescent="0.3">
      <c r="A195" t="s">
        <v>845</v>
      </c>
      <c r="B195">
        <v>30151.675319999998</v>
      </c>
      <c r="C195" s="10">
        <f t="shared" si="11"/>
        <v>1.8894952124539774E-2</v>
      </c>
      <c r="D195" s="10">
        <f t="shared" si="10"/>
        <v>0.52532694422762682</v>
      </c>
      <c r="E195" t="str">
        <f t="shared" si="8"/>
        <v>A</v>
      </c>
    </row>
    <row r="196" spans="1:5" x14ac:dyDescent="0.3">
      <c r="A196" t="s">
        <v>790</v>
      </c>
      <c r="B196">
        <v>29659.68995</v>
      </c>
      <c r="C196" s="10">
        <f t="shared" si="11"/>
        <v>1.8586642887541662E-2</v>
      </c>
      <c r="D196" s="10">
        <f t="shared" si="10"/>
        <v>0.54391358711516846</v>
      </c>
      <c r="E196" t="str">
        <f t="shared" si="8"/>
        <v>A</v>
      </c>
    </row>
    <row r="197" spans="1:5" x14ac:dyDescent="0.3">
      <c r="A197" t="s">
        <v>1063</v>
      </c>
      <c r="B197">
        <v>27756.432000000001</v>
      </c>
      <c r="C197" s="10">
        <f t="shared" si="11"/>
        <v>1.7393940741998005E-2</v>
      </c>
      <c r="D197" s="10">
        <f t="shared" si="10"/>
        <v>0.56130752785716642</v>
      </c>
      <c r="E197" t="str">
        <f t="shared" si="8"/>
        <v>A</v>
      </c>
    </row>
    <row r="198" spans="1:5" x14ac:dyDescent="0.3">
      <c r="A198" t="s">
        <v>798</v>
      </c>
      <c r="B198">
        <v>26304.275999999998</v>
      </c>
      <c r="C198" s="10">
        <f t="shared" si="11"/>
        <v>1.6483927689450874E-2</v>
      </c>
      <c r="D198" s="10">
        <f t="shared" si="10"/>
        <v>0.57779145554661726</v>
      </c>
      <c r="E198" t="str">
        <f t="shared" ref="E198:E261" si="12">IF(D198&lt;=80%,"A",IF(D198&lt;=95%,"B","C"))</f>
        <v>A</v>
      </c>
    </row>
    <row r="199" spans="1:5" x14ac:dyDescent="0.3">
      <c r="A199" t="s">
        <v>833</v>
      </c>
      <c r="B199">
        <v>25502.910479999999</v>
      </c>
      <c r="C199" s="10">
        <f t="shared" si="11"/>
        <v>1.5981741228036798E-2</v>
      </c>
      <c r="D199" s="10">
        <f t="shared" si="10"/>
        <v>0.59377319677465401</v>
      </c>
      <c r="E199" t="str">
        <f t="shared" si="12"/>
        <v>A</v>
      </c>
    </row>
    <row r="200" spans="1:5" x14ac:dyDescent="0.3">
      <c r="A200" t="s">
        <v>926</v>
      </c>
      <c r="B200">
        <v>24374.594880000001</v>
      </c>
      <c r="C200" s="10">
        <f t="shared" si="11"/>
        <v>1.527466710969652E-2</v>
      </c>
      <c r="D200" s="10">
        <f t="shared" si="10"/>
        <v>0.6090478638843505</v>
      </c>
      <c r="E200" t="str">
        <f t="shared" si="12"/>
        <v>A</v>
      </c>
    </row>
    <row r="201" spans="1:5" x14ac:dyDescent="0.3">
      <c r="A201" t="s">
        <v>989</v>
      </c>
      <c r="B201">
        <v>24161.205600000001</v>
      </c>
      <c r="C201" s="10">
        <f t="shared" si="11"/>
        <v>1.5140943852640368E-2</v>
      </c>
      <c r="D201" s="10">
        <f t="shared" si="10"/>
        <v>0.62418880773699092</v>
      </c>
      <c r="E201" t="str">
        <f t="shared" si="12"/>
        <v>A</v>
      </c>
    </row>
    <row r="202" spans="1:5" x14ac:dyDescent="0.3">
      <c r="A202" t="s">
        <v>754</v>
      </c>
      <c r="B202">
        <v>23782.310720000001</v>
      </c>
      <c r="C202" s="10">
        <f t="shared" si="11"/>
        <v>1.4903504289436912E-2</v>
      </c>
      <c r="D202" s="10">
        <f t="shared" si="10"/>
        <v>0.6390923120264278</v>
      </c>
      <c r="E202" t="str">
        <f t="shared" si="12"/>
        <v>A</v>
      </c>
    </row>
    <row r="203" spans="1:5" x14ac:dyDescent="0.3">
      <c r="A203" t="s">
        <v>1118</v>
      </c>
      <c r="B203">
        <v>22064.910300000003</v>
      </c>
      <c r="C203" s="10">
        <f t="shared" si="11"/>
        <v>1.3827272260199058E-2</v>
      </c>
      <c r="D203" s="10">
        <f t="shared" si="10"/>
        <v>0.65291958428662689</v>
      </c>
      <c r="E203" t="str">
        <f t="shared" si="12"/>
        <v>A</v>
      </c>
    </row>
    <row r="204" spans="1:5" x14ac:dyDescent="0.3">
      <c r="A204" t="s">
        <v>885</v>
      </c>
      <c r="B204">
        <v>21572.590500000002</v>
      </c>
      <c r="C204" s="10">
        <f t="shared" si="11"/>
        <v>1.3518753448151736E-2</v>
      </c>
      <c r="D204" s="10">
        <f t="shared" si="10"/>
        <v>0.66643833773477867</v>
      </c>
      <c r="E204" t="str">
        <f t="shared" si="12"/>
        <v>A</v>
      </c>
    </row>
    <row r="205" spans="1:5" x14ac:dyDescent="0.3">
      <c r="A205" t="s">
        <v>1029</v>
      </c>
      <c r="B205">
        <v>20455.985130000001</v>
      </c>
      <c r="C205" s="10">
        <f t="shared" si="11"/>
        <v>1.2819017702650412E-2</v>
      </c>
      <c r="D205" s="10">
        <f t="shared" si="10"/>
        <v>0.67925735543742904</v>
      </c>
      <c r="E205" t="str">
        <f t="shared" si="12"/>
        <v>A</v>
      </c>
    </row>
    <row r="206" spans="1:5" x14ac:dyDescent="0.3">
      <c r="A206" t="s">
        <v>757</v>
      </c>
      <c r="B206">
        <v>20225.2248</v>
      </c>
      <c r="C206" s="10">
        <f t="shared" si="11"/>
        <v>1.2674408643905977E-2</v>
      </c>
      <c r="D206" s="10">
        <f t="shared" si="10"/>
        <v>0.69193176408133505</v>
      </c>
      <c r="E206" t="str">
        <f t="shared" si="12"/>
        <v>A</v>
      </c>
    </row>
    <row r="207" spans="1:5" x14ac:dyDescent="0.3">
      <c r="A207" t="s">
        <v>806</v>
      </c>
      <c r="B207">
        <v>20171.63305</v>
      </c>
      <c r="C207" s="10">
        <f t="shared" si="11"/>
        <v>1.2640824654300975E-2</v>
      </c>
      <c r="D207" s="10">
        <f t="shared" si="10"/>
        <v>0.704572588735636</v>
      </c>
      <c r="E207" t="str">
        <f t="shared" si="12"/>
        <v>A</v>
      </c>
    </row>
    <row r="208" spans="1:5" x14ac:dyDescent="0.3">
      <c r="A208" t="s">
        <v>1120</v>
      </c>
      <c r="B208">
        <v>19773.362699999998</v>
      </c>
      <c r="C208" s="10">
        <f t="shared" si="11"/>
        <v>1.2391243192706961E-2</v>
      </c>
      <c r="D208" s="10">
        <f t="shared" si="10"/>
        <v>0.71696383192834301</v>
      </c>
      <c r="E208" t="str">
        <f t="shared" si="12"/>
        <v>A</v>
      </c>
    </row>
    <row r="209" spans="1:5" x14ac:dyDescent="0.3">
      <c r="A209" t="s">
        <v>1273</v>
      </c>
      <c r="B209">
        <v>19581.87</v>
      </c>
      <c r="C209" s="10">
        <f t="shared" si="11"/>
        <v>1.2271241721468684E-2</v>
      </c>
      <c r="D209" s="10">
        <f t="shared" si="10"/>
        <v>0.72923507364981166</v>
      </c>
      <c r="E209" t="str">
        <f t="shared" si="12"/>
        <v>A</v>
      </c>
    </row>
    <row r="210" spans="1:5" x14ac:dyDescent="0.3">
      <c r="A210" t="s">
        <v>924</v>
      </c>
      <c r="B210">
        <v>19542.975350000001</v>
      </c>
      <c r="C210" s="10">
        <f t="shared" si="11"/>
        <v>1.2246867866886772E-2</v>
      </c>
      <c r="D210" s="10">
        <f t="shared" si="10"/>
        <v>0.74148194151669844</v>
      </c>
      <c r="E210" t="str">
        <f t="shared" si="12"/>
        <v>A</v>
      </c>
    </row>
    <row r="211" spans="1:5" x14ac:dyDescent="0.3">
      <c r="A211" t="s">
        <v>1305</v>
      </c>
      <c r="B211">
        <v>19139.594240000002</v>
      </c>
      <c r="C211" s="10">
        <f t="shared" si="11"/>
        <v>1.1994083678926975E-2</v>
      </c>
      <c r="D211" s="10">
        <f t="shared" si="10"/>
        <v>0.7534760251956254</v>
      </c>
      <c r="E211" t="str">
        <f t="shared" si="12"/>
        <v>A</v>
      </c>
    </row>
    <row r="212" spans="1:5" x14ac:dyDescent="0.3">
      <c r="A212" t="s">
        <v>1130</v>
      </c>
      <c r="B212">
        <v>18641.222160000001</v>
      </c>
      <c r="C212" s="10">
        <f t="shared" si="11"/>
        <v>1.1681772124365988E-2</v>
      </c>
      <c r="D212" s="10">
        <f t="shared" si="10"/>
        <v>0.76515779731999134</v>
      </c>
      <c r="E212" t="str">
        <f t="shared" si="12"/>
        <v>A</v>
      </c>
    </row>
    <row r="213" spans="1:5" x14ac:dyDescent="0.3">
      <c r="A213" t="s">
        <v>985</v>
      </c>
      <c r="B213">
        <v>17453.3436</v>
      </c>
      <c r="C213" s="10">
        <f t="shared" si="11"/>
        <v>1.0937372077510905E-2</v>
      </c>
      <c r="D213" s="10">
        <f t="shared" si="10"/>
        <v>0.77609516939750223</v>
      </c>
      <c r="E213" t="str">
        <f t="shared" si="12"/>
        <v>A</v>
      </c>
    </row>
    <row r="214" spans="1:5" x14ac:dyDescent="0.3">
      <c r="A214" t="s">
        <v>1018</v>
      </c>
      <c r="B214">
        <v>15505.479600000001</v>
      </c>
      <c r="C214" s="10">
        <f t="shared" si="11"/>
        <v>9.7167169518999758E-3</v>
      </c>
      <c r="D214" s="10">
        <f t="shared" si="10"/>
        <v>0.78581188634940224</v>
      </c>
      <c r="E214" t="str">
        <f t="shared" si="12"/>
        <v>A</v>
      </c>
    </row>
    <row r="215" spans="1:5" x14ac:dyDescent="0.3">
      <c r="A215" t="s">
        <v>958</v>
      </c>
      <c r="B215">
        <v>15490.527</v>
      </c>
      <c r="C215" s="10">
        <f t="shared" si="11"/>
        <v>9.7073467043718061E-3</v>
      </c>
      <c r="D215" s="10">
        <f t="shared" si="10"/>
        <v>0.79551923305377403</v>
      </c>
      <c r="E215" t="str">
        <f t="shared" si="12"/>
        <v>A</v>
      </c>
    </row>
    <row r="216" spans="1:5" x14ac:dyDescent="0.3">
      <c r="A216" t="s">
        <v>1158</v>
      </c>
      <c r="B216">
        <v>15366.983199999999</v>
      </c>
      <c r="C216" s="10">
        <f t="shared" si="11"/>
        <v>9.6299263235303037E-3</v>
      </c>
      <c r="D216" s="10">
        <f t="shared" si="10"/>
        <v>0.80514915937730436</v>
      </c>
      <c r="E216" t="str">
        <f t="shared" si="12"/>
        <v>B</v>
      </c>
    </row>
    <row r="217" spans="1:5" x14ac:dyDescent="0.3">
      <c r="A217" t="s">
        <v>1268</v>
      </c>
      <c r="B217">
        <v>15155.326800000001</v>
      </c>
      <c r="C217" s="10">
        <f t="shared" si="11"/>
        <v>9.4972889989900101E-3</v>
      </c>
      <c r="D217" s="10">
        <f t="shared" si="10"/>
        <v>0.81464644837629441</v>
      </c>
      <c r="E217" t="str">
        <f t="shared" si="12"/>
        <v>B</v>
      </c>
    </row>
    <row r="218" spans="1:5" x14ac:dyDescent="0.3">
      <c r="A218" t="s">
        <v>1327</v>
      </c>
      <c r="B218">
        <v>14910.609600000002</v>
      </c>
      <c r="C218" s="10">
        <f t="shared" si="11"/>
        <v>9.3439336802895491E-3</v>
      </c>
      <c r="D218" s="10">
        <f t="shared" si="10"/>
        <v>0.82399038205658393</v>
      </c>
      <c r="E218" t="str">
        <f t="shared" si="12"/>
        <v>B</v>
      </c>
    </row>
    <row r="219" spans="1:5" x14ac:dyDescent="0.3">
      <c r="A219" t="s">
        <v>900</v>
      </c>
      <c r="B219">
        <v>14448.298699999998</v>
      </c>
      <c r="C219" s="10">
        <f t="shared" si="11"/>
        <v>9.0542203482957308E-3</v>
      </c>
      <c r="D219" s="10">
        <f t="shared" si="10"/>
        <v>0.83304460240487965</v>
      </c>
      <c r="E219" t="str">
        <f t="shared" si="12"/>
        <v>B</v>
      </c>
    </row>
    <row r="220" spans="1:5" x14ac:dyDescent="0.3">
      <c r="A220" t="s">
        <v>1276</v>
      </c>
      <c r="B220">
        <v>14114.068500000001</v>
      </c>
      <c r="C220" s="10">
        <f t="shared" si="11"/>
        <v>8.8447705064361552E-3</v>
      </c>
      <c r="D220" s="10">
        <f t="shared" ref="D220:D256" si="13">D219+C220</f>
        <v>0.84188937291131583</v>
      </c>
      <c r="E220" t="str">
        <f t="shared" si="12"/>
        <v>B</v>
      </c>
    </row>
    <row r="221" spans="1:5" x14ac:dyDescent="0.3">
      <c r="A221" t="s">
        <v>1102</v>
      </c>
      <c r="B221">
        <v>13784.586000000001</v>
      </c>
      <c r="C221" s="10">
        <f t="shared" si="11"/>
        <v>8.6382958745192945E-3</v>
      </c>
      <c r="D221" s="10">
        <f t="shared" si="13"/>
        <v>0.85052766878583508</v>
      </c>
      <c r="E221" t="str">
        <f t="shared" si="12"/>
        <v>B</v>
      </c>
    </row>
    <row r="222" spans="1:5" x14ac:dyDescent="0.3">
      <c r="A222" t="s">
        <v>836</v>
      </c>
      <c r="B222">
        <v>13669.81</v>
      </c>
      <c r="C222" s="10">
        <f t="shared" si="11"/>
        <v>8.566369953255222E-3</v>
      </c>
      <c r="D222" s="10">
        <f t="shared" si="13"/>
        <v>0.85909403873909029</v>
      </c>
      <c r="E222" t="str">
        <f t="shared" si="12"/>
        <v>B</v>
      </c>
    </row>
    <row r="223" spans="1:5" x14ac:dyDescent="0.3">
      <c r="A223" t="s">
        <v>1079</v>
      </c>
      <c r="B223">
        <v>13637.287999999999</v>
      </c>
      <c r="C223" s="10">
        <f t="shared" si="11"/>
        <v>8.545989605348428E-3</v>
      </c>
      <c r="D223" s="10">
        <f t="shared" si="13"/>
        <v>0.86764002834443876</v>
      </c>
      <c r="E223" t="str">
        <f t="shared" si="12"/>
        <v>B</v>
      </c>
    </row>
    <row r="224" spans="1:5" x14ac:dyDescent="0.3">
      <c r="A224" t="s">
        <v>879</v>
      </c>
      <c r="B224">
        <v>12954.358080000002</v>
      </c>
      <c r="C224" s="10">
        <f t="shared" si="11"/>
        <v>8.1180224026684376E-3</v>
      </c>
      <c r="D224" s="10">
        <f t="shared" si="13"/>
        <v>0.87575805074710722</v>
      </c>
      <c r="E224" t="str">
        <f t="shared" si="12"/>
        <v>B</v>
      </c>
    </row>
    <row r="225" spans="1:5" x14ac:dyDescent="0.3">
      <c r="A225" t="s">
        <v>838</v>
      </c>
      <c r="B225">
        <v>12335.654849999999</v>
      </c>
      <c r="C225" s="10">
        <f t="shared" si="11"/>
        <v>7.730303717518169E-3</v>
      </c>
      <c r="D225" s="10">
        <f t="shared" si="13"/>
        <v>0.88348835446462537</v>
      </c>
      <c r="E225" t="str">
        <f t="shared" si="12"/>
        <v>B</v>
      </c>
    </row>
    <row r="226" spans="1:5" x14ac:dyDescent="0.3">
      <c r="A226" t="s">
        <v>1083</v>
      </c>
      <c r="B226">
        <v>12236.874600000001</v>
      </c>
      <c r="C226" s="10">
        <f t="shared" si="11"/>
        <v>7.6684017477340232E-3</v>
      </c>
      <c r="D226" s="10">
        <f t="shared" si="13"/>
        <v>0.89115675621235935</v>
      </c>
      <c r="E226" t="str">
        <f t="shared" si="12"/>
        <v>B</v>
      </c>
    </row>
    <row r="227" spans="1:5" x14ac:dyDescent="0.3">
      <c r="A227" t="s">
        <v>1017</v>
      </c>
      <c r="B227">
        <v>11696.156879999999</v>
      </c>
      <c r="C227" s="10">
        <f t="shared" si="11"/>
        <v>7.3295537293781941E-3</v>
      </c>
      <c r="D227" s="10">
        <f t="shared" si="13"/>
        <v>0.8984863099417375</v>
      </c>
      <c r="E227" t="str">
        <f t="shared" si="12"/>
        <v>B</v>
      </c>
    </row>
    <row r="228" spans="1:5" x14ac:dyDescent="0.3">
      <c r="A228" t="s">
        <v>1248</v>
      </c>
      <c r="B228">
        <v>10859.64</v>
      </c>
      <c r="C228" s="10">
        <f t="shared" si="11"/>
        <v>6.8053391963142527E-3</v>
      </c>
      <c r="D228" s="10">
        <f t="shared" si="13"/>
        <v>0.90529164913805171</v>
      </c>
      <c r="E228" t="str">
        <f t="shared" si="12"/>
        <v>B</v>
      </c>
    </row>
    <row r="229" spans="1:5" x14ac:dyDescent="0.3">
      <c r="A229" t="s">
        <v>1043</v>
      </c>
      <c r="B229">
        <v>9847.2358600000007</v>
      </c>
      <c r="C229" s="10">
        <f t="shared" si="11"/>
        <v>6.1709025504905592E-3</v>
      </c>
      <c r="D229" s="10">
        <f t="shared" si="13"/>
        <v>0.91146255168854229</v>
      </c>
      <c r="E229" t="str">
        <f t="shared" si="12"/>
        <v>B</v>
      </c>
    </row>
    <row r="230" spans="1:5" x14ac:dyDescent="0.3">
      <c r="A230" t="s">
        <v>980</v>
      </c>
      <c r="B230">
        <v>9774.3888000000006</v>
      </c>
      <c r="C230" s="10">
        <f t="shared" si="11"/>
        <v>6.1252519623721455E-3</v>
      </c>
      <c r="D230" s="10">
        <f t="shared" si="13"/>
        <v>0.91758780365091441</v>
      </c>
      <c r="E230" t="str">
        <f t="shared" si="12"/>
        <v>B</v>
      </c>
    </row>
    <row r="231" spans="1:5" x14ac:dyDescent="0.3">
      <c r="A231" t="s">
        <v>1179</v>
      </c>
      <c r="B231">
        <v>9771.4483199999995</v>
      </c>
      <c r="C231" s="10">
        <f t="shared" si="11"/>
        <v>6.1234092711042959E-3</v>
      </c>
      <c r="D231" s="10">
        <f t="shared" si="13"/>
        <v>0.92371121292201874</v>
      </c>
      <c r="E231" t="str">
        <f t="shared" si="12"/>
        <v>B</v>
      </c>
    </row>
    <row r="232" spans="1:5" x14ac:dyDescent="0.3">
      <c r="A232" t="s">
        <v>1013</v>
      </c>
      <c r="B232">
        <v>8907.6924999999992</v>
      </c>
      <c r="C232" s="10">
        <f t="shared" si="11"/>
        <v>5.5821250906074689E-3</v>
      </c>
      <c r="D232" s="10">
        <f t="shared" si="13"/>
        <v>0.92929333801262626</v>
      </c>
      <c r="E232" t="str">
        <f t="shared" si="12"/>
        <v>B</v>
      </c>
    </row>
    <row r="233" spans="1:5" x14ac:dyDescent="0.3">
      <c r="A233" t="s">
        <v>1009</v>
      </c>
      <c r="B233">
        <v>8567.3924999999999</v>
      </c>
      <c r="C233" s="10">
        <f t="shared" si="11"/>
        <v>5.3688715270910235E-3</v>
      </c>
      <c r="D233" s="10">
        <f t="shared" si="13"/>
        <v>0.93466220953971724</v>
      </c>
      <c r="E233" t="str">
        <f t="shared" si="12"/>
        <v>B</v>
      </c>
    </row>
    <row r="234" spans="1:5" x14ac:dyDescent="0.3">
      <c r="A234" t="s">
        <v>866</v>
      </c>
      <c r="B234">
        <v>8336.8896000000004</v>
      </c>
      <c r="C234" s="10">
        <f t="shared" si="11"/>
        <v>5.2244237903120785E-3</v>
      </c>
      <c r="D234" s="10">
        <f t="shared" si="13"/>
        <v>0.93988663333002931</v>
      </c>
      <c r="E234" t="str">
        <f t="shared" si="12"/>
        <v>B</v>
      </c>
    </row>
    <row r="235" spans="1:5" x14ac:dyDescent="0.3">
      <c r="A235" t="s">
        <v>1242</v>
      </c>
      <c r="B235">
        <v>8297.4286000000011</v>
      </c>
      <c r="C235" s="10">
        <f t="shared" si="11"/>
        <v>5.1996950248994356E-3</v>
      </c>
      <c r="D235" s="10">
        <f t="shared" si="13"/>
        <v>0.94508632835492878</v>
      </c>
      <c r="E235" t="str">
        <f t="shared" si="12"/>
        <v>B</v>
      </c>
    </row>
    <row r="236" spans="1:5" x14ac:dyDescent="0.3">
      <c r="A236" t="s">
        <v>1191</v>
      </c>
      <c r="B236">
        <v>7643.2649999999994</v>
      </c>
      <c r="C236" s="10">
        <f t="shared" si="11"/>
        <v>4.7897546228343529E-3</v>
      </c>
      <c r="D236" s="10">
        <f t="shared" si="13"/>
        <v>0.94987608297776316</v>
      </c>
      <c r="E236" t="str">
        <f t="shared" si="12"/>
        <v>B</v>
      </c>
    </row>
    <row r="237" spans="1:5" x14ac:dyDescent="0.3">
      <c r="A237" t="s">
        <v>749</v>
      </c>
      <c r="B237">
        <v>7090.5672000000004</v>
      </c>
      <c r="C237" s="10">
        <f t="shared" si="11"/>
        <v>4.4433991265143422E-3</v>
      </c>
      <c r="D237" s="10">
        <f t="shared" si="13"/>
        <v>0.95431948210427753</v>
      </c>
      <c r="E237" t="str">
        <f t="shared" si="12"/>
        <v>C</v>
      </c>
    </row>
    <row r="238" spans="1:5" x14ac:dyDescent="0.3">
      <c r="A238" t="s">
        <v>1337</v>
      </c>
      <c r="B238">
        <v>7071.6331400000008</v>
      </c>
      <c r="C238" s="10">
        <f t="shared" si="11"/>
        <v>4.4315338436262015E-3</v>
      </c>
      <c r="D238" s="10">
        <f t="shared" si="13"/>
        <v>0.95875101594790368</v>
      </c>
      <c r="E238" t="str">
        <f t="shared" si="12"/>
        <v>C</v>
      </c>
    </row>
    <row r="239" spans="1:5" x14ac:dyDescent="0.3">
      <c r="A239" t="s">
        <v>805</v>
      </c>
      <c r="B239">
        <v>6393.0952799999995</v>
      </c>
      <c r="C239" s="10">
        <f t="shared" si="11"/>
        <v>4.0063189843084707E-3</v>
      </c>
      <c r="D239" s="10">
        <f t="shared" si="13"/>
        <v>0.96275733493221216</v>
      </c>
      <c r="E239" t="str">
        <f t="shared" si="12"/>
        <v>C</v>
      </c>
    </row>
    <row r="240" spans="1:5" x14ac:dyDescent="0.3">
      <c r="A240" t="s">
        <v>1038</v>
      </c>
      <c r="B240">
        <v>5932.7856000000002</v>
      </c>
      <c r="C240" s="10">
        <f t="shared" si="11"/>
        <v>3.7178597436939693E-3</v>
      </c>
      <c r="D240" s="10">
        <f t="shared" si="13"/>
        <v>0.96647519467590615</v>
      </c>
      <c r="E240" t="str">
        <f t="shared" si="12"/>
        <v>C</v>
      </c>
    </row>
    <row r="241" spans="1:5" x14ac:dyDescent="0.3">
      <c r="A241" t="s">
        <v>786</v>
      </c>
      <c r="B241">
        <v>5785.8</v>
      </c>
      <c r="C241" s="10">
        <f t="shared" si="11"/>
        <v>3.6257492441770637E-3</v>
      </c>
      <c r="D241" s="10">
        <f t="shared" si="13"/>
        <v>0.97010094392008317</v>
      </c>
      <c r="E241" t="str">
        <f t="shared" si="12"/>
        <v>C</v>
      </c>
    </row>
    <row r="242" spans="1:5" x14ac:dyDescent="0.3">
      <c r="A242" t="s">
        <v>1143</v>
      </c>
      <c r="B242">
        <v>5323.9903199999999</v>
      </c>
      <c r="C242" s="10">
        <f t="shared" si="11"/>
        <v>3.3363500084251101E-3</v>
      </c>
      <c r="D242" s="10">
        <f t="shared" si="13"/>
        <v>0.97343729392850831</v>
      </c>
      <c r="E242" t="str">
        <f t="shared" si="12"/>
        <v>C</v>
      </c>
    </row>
    <row r="243" spans="1:5" x14ac:dyDescent="0.3">
      <c r="A243" t="s">
        <v>1136</v>
      </c>
      <c r="B243">
        <v>5250.4239000000007</v>
      </c>
      <c r="C243" s="10">
        <f t="shared" ref="C243:C256" si="14">B243/$B$177</f>
        <v>3.2902486237053117E-3</v>
      </c>
      <c r="D243" s="10">
        <f t="shared" si="13"/>
        <v>0.97672754255221361</v>
      </c>
      <c r="E243" t="str">
        <f t="shared" si="12"/>
        <v>C</v>
      </c>
    </row>
    <row r="244" spans="1:5" x14ac:dyDescent="0.3">
      <c r="A244" t="s">
        <v>1141</v>
      </c>
      <c r="B244">
        <v>4679.7141600000004</v>
      </c>
      <c r="C244" s="10">
        <f t="shared" si="14"/>
        <v>2.9326057033745899E-3</v>
      </c>
      <c r="D244" s="10">
        <f t="shared" si="13"/>
        <v>0.97966014825558823</v>
      </c>
      <c r="E244" t="str">
        <f t="shared" si="12"/>
        <v>C</v>
      </c>
    </row>
    <row r="245" spans="1:5" x14ac:dyDescent="0.3">
      <c r="A245" t="s">
        <v>1297</v>
      </c>
      <c r="B245">
        <v>4229.4321199999995</v>
      </c>
      <c r="C245" s="10">
        <f t="shared" si="14"/>
        <v>2.6504304179868288E-3</v>
      </c>
      <c r="D245" s="10">
        <f t="shared" si="13"/>
        <v>0.98231057867357507</v>
      </c>
      <c r="E245" t="str">
        <f t="shared" si="12"/>
        <v>C</v>
      </c>
    </row>
    <row r="246" spans="1:5" x14ac:dyDescent="0.3">
      <c r="A246" t="s">
        <v>739</v>
      </c>
      <c r="B246">
        <v>4141.7599999999993</v>
      </c>
      <c r="C246" s="10">
        <f t="shared" si="14"/>
        <v>2.5954895069934653E-3</v>
      </c>
      <c r="D246" s="10">
        <f t="shared" si="13"/>
        <v>0.98490606818056858</v>
      </c>
      <c r="E246" t="str">
        <f t="shared" si="12"/>
        <v>C</v>
      </c>
    </row>
    <row r="247" spans="1:5" x14ac:dyDescent="0.3">
      <c r="A247" t="s">
        <v>1104</v>
      </c>
      <c r="B247">
        <v>4133.25108</v>
      </c>
      <c r="C247" s="10">
        <f t="shared" si="14"/>
        <v>2.5901572780434911E-3</v>
      </c>
      <c r="D247" s="10">
        <f t="shared" si="13"/>
        <v>0.98749622545861204</v>
      </c>
      <c r="E247" t="str">
        <f t="shared" si="12"/>
        <v>C</v>
      </c>
    </row>
    <row r="248" spans="1:5" x14ac:dyDescent="0.3">
      <c r="A248" t="s">
        <v>1241</v>
      </c>
      <c r="B248">
        <v>3921.1744000000008</v>
      </c>
      <c r="C248" s="10">
        <f t="shared" si="14"/>
        <v>2.4572565793989517E-3</v>
      </c>
      <c r="D248" s="10">
        <f t="shared" si="13"/>
        <v>0.98995348203801103</v>
      </c>
      <c r="E248" t="str">
        <f t="shared" si="12"/>
        <v>C</v>
      </c>
    </row>
    <row r="249" spans="1:5" x14ac:dyDescent="0.3">
      <c r="A249" t="s">
        <v>1316</v>
      </c>
      <c r="B249">
        <v>3823.6151599999998</v>
      </c>
      <c r="C249" s="10">
        <f t="shared" si="14"/>
        <v>2.3961197719233229E-3</v>
      </c>
      <c r="D249" s="10">
        <f t="shared" si="13"/>
        <v>0.99234960180993437</v>
      </c>
      <c r="E249" t="str">
        <f t="shared" si="12"/>
        <v>C</v>
      </c>
    </row>
    <row r="250" spans="1:5" x14ac:dyDescent="0.3">
      <c r="A250" t="s">
        <v>973</v>
      </c>
      <c r="B250">
        <v>3823.5108</v>
      </c>
      <c r="C250" s="10">
        <f t="shared" si="14"/>
        <v>2.3960543733282935E-3</v>
      </c>
      <c r="D250" s="10">
        <f t="shared" si="13"/>
        <v>0.99474565618326261</v>
      </c>
      <c r="E250" t="str">
        <f t="shared" si="12"/>
        <v>C</v>
      </c>
    </row>
    <row r="251" spans="1:5" x14ac:dyDescent="0.3">
      <c r="A251" t="s">
        <v>880</v>
      </c>
      <c r="B251">
        <v>3562.9028999999996</v>
      </c>
      <c r="C251" s="10">
        <f t="shared" si="14"/>
        <v>2.2327409341407005E-3</v>
      </c>
      <c r="D251" s="10">
        <f t="shared" si="13"/>
        <v>0.99697839711740333</v>
      </c>
      <c r="E251" t="str">
        <f t="shared" si="12"/>
        <v>C</v>
      </c>
    </row>
    <row r="252" spans="1:5" x14ac:dyDescent="0.3">
      <c r="A252" t="s">
        <v>787</v>
      </c>
      <c r="B252">
        <v>2518.8755800000004</v>
      </c>
      <c r="C252" s="10">
        <f t="shared" si="14"/>
        <v>1.5784871980298427E-3</v>
      </c>
      <c r="D252" s="10">
        <f t="shared" si="13"/>
        <v>0.99855688431543321</v>
      </c>
      <c r="E252" t="str">
        <f t="shared" si="12"/>
        <v>C</v>
      </c>
    </row>
    <row r="253" spans="1:5" x14ac:dyDescent="0.3">
      <c r="A253" t="s">
        <v>1209</v>
      </c>
      <c r="B253">
        <v>1009.2969000000002</v>
      </c>
      <c r="C253" s="10">
        <f t="shared" si="14"/>
        <v>6.3248945216309827E-4</v>
      </c>
      <c r="D253" s="10">
        <f t="shared" si="13"/>
        <v>0.99918937376759631</v>
      </c>
      <c r="E253" t="str">
        <f t="shared" si="12"/>
        <v>C</v>
      </c>
    </row>
    <row r="254" spans="1:5" x14ac:dyDescent="0.3">
      <c r="A254" t="s">
        <v>853</v>
      </c>
      <c r="B254">
        <v>592.92849000000001</v>
      </c>
      <c r="C254" s="10">
        <f t="shared" si="14"/>
        <v>3.7156659830421855E-4</v>
      </c>
      <c r="D254" s="10">
        <f t="shared" si="13"/>
        <v>0.99956094036590049</v>
      </c>
      <c r="E254" t="str">
        <f t="shared" si="12"/>
        <v>C</v>
      </c>
    </row>
    <row r="255" spans="1:5" x14ac:dyDescent="0.3">
      <c r="A255" t="s">
        <v>1122</v>
      </c>
      <c r="B255">
        <v>434.45248000000004</v>
      </c>
      <c r="C255" s="10">
        <f t="shared" si="14"/>
        <v>2.7225547910243199E-4</v>
      </c>
      <c r="D255" s="10">
        <f t="shared" si="13"/>
        <v>0.99983319584500296</v>
      </c>
      <c r="E255" t="str">
        <f t="shared" si="12"/>
        <v>C</v>
      </c>
    </row>
    <row r="256" spans="1:5" x14ac:dyDescent="0.3">
      <c r="A256" t="s">
        <v>1363</v>
      </c>
      <c r="B256">
        <v>266.17821999999995</v>
      </c>
      <c r="C256" s="10">
        <f t="shared" si="14"/>
        <v>1.6680415499695738E-4</v>
      </c>
      <c r="D256" s="10">
        <f t="shared" si="13"/>
        <v>0.99999999999999989</v>
      </c>
      <c r="E256" t="str">
        <f t="shared" si="12"/>
        <v>C</v>
      </c>
    </row>
    <row r="257" spans="1:5" x14ac:dyDescent="0.3">
      <c r="A257" s="14" t="s">
        <v>732</v>
      </c>
      <c r="B257" s="14">
        <v>1529582.4117154395</v>
      </c>
    </row>
    <row r="258" spans="1:5" x14ac:dyDescent="0.3">
      <c r="A258" t="s">
        <v>909</v>
      </c>
      <c r="B258">
        <v>92715.25</v>
      </c>
      <c r="C258" s="10">
        <f>B258/$B$257</f>
        <v>6.061474641043961E-2</v>
      </c>
      <c r="D258" s="10">
        <f>C258</f>
        <v>6.061474641043961E-2</v>
      </c>
      <c r="E258" t="str">
        <f t="shared" si="12"/>
        <v>A</v>
      </c>
    </row>
    <row r="259" spans="1:5" x14ac:dyDescent="0.3">
      <c r="A259" t="s">
        <v>874</v>
      </c>
      <c r="B259">
        <v>87404.929919999995</v>
      </c>
      <c r="C259" s="10">
        <f t="shared" ref="C259:C322" si="15">B259/$B$257</f>
        <v>5.7143001416951854E-2</v>
      </c>
      <c r="D259" s="10">
        <f>D258+C259</f>
        <v>0.11775774782739146</v>
      </c>
      <c r="E259" t="str">
        <f t="shared" si="12"/>
        <v>A</v>
      </c>
    </row>
    <row r="260" spans="1:5" x14ac:dyDescent="0.3">
      <c r="A260" t="s">
        <v>899</v>
      </c>
      <c r="B260">
        <v>85637.740319999997</v>
      </c>
      <c r="C260" s="10">
        <f t="shared" si="15"/>
        <v>5.5987660203255442E-2</v>
      </c>
      <c r="D260" s="10">
        <f t="shared" ref="D260:D323" si="16">D259+C260</f>
        <v>0.17374540803064689</v>
      </c>
      <c r="E260" t="str">
        <f t="shared" si="12"/>
        <v>A</v>
      </c>
    </row>
    <row r="261" spans="1:5" x14ac:dyDescent="0.3">
      <c r="A261" t="s">
        <v>797</v>
      </c>
      <c r="B261">
        <v>72665.817450000002</v>
      </c>
      <c r="C261" s="10">
        <f t="shared" si="15"/>
        <v>4.7506964576367404E-2</v>
      </c>
      <c r="D261" s="10">
        <f t="shared" si="16"/>
        <v>0.2212523726070143</v>
      </c>
      <c r="E261" t="str">
        <f t="shared" si="12"/>
        <v>A</v>
      </c>
    </row>
    <row r="262" spans="1:5" x14ac:dyDescent="0.3">
      <c r="A262" t="s">
        <v>1129</v>
      </c>
      <c r="B262">
        <v>56176.777799999996</v>
      </c>
      <c r="C262" s="10">
        <f t="shared" si="15"/>
        <v>3.6726872229785427E-2</v>
      </c>
      <c r="D262" s="10">
        <f t="shared" si="16"/>
        <v>0.25797924483679974</v>
      </c>
      <c r="E262" t="str">
        <f t="shared" ref="E262:E325" si="17">IF(D262&lt;=80%,"A",IF(D262&lt;=95%,"B","C"))</f>
        <v>A</v>
      </c>
    </row>
    <row r="263" spans="1:5" x14ac:dyDescent="0.3">
      <c r="A263" t="s">
        <v>1181</v>
      </c>
      <c r="B263">
        <v>45547.183360000003</v>
      </c>
      <c r="C263" s="10">
        <f t="shared" si="15"/>
        <v>2.9777528174450212E-2</v>
      </c>
      <c r="D263" s="10">
        <f t="shared" si="16"/>
        <v>0.28775677301124997</v>
      </c>
      <c r="E263" t="str">
        <f t="shared" si="17"/>
        <v>A</v>
      </c>
    </row>
    <row r="264" spans="1:5" x14ac:dyDescent="0.3">
      <c r="A264" t="s">
        <v>774</v>
      </c>
      <c r="B264">
        <v>41106.800970000004</v>
      </c>
      <c r="C264" s="10">
        <f t="shared" si="15"/>
        <v>2.6874525135195809E-2</v>
      </c>
      <c r="D264" s="10">
        <f t="shared" si="16"/>
        <v>0.31463129814644575</v>
      </c>
      <c r="E264" t="str">
        <f t="shared" si="17"/>
        <v>A</v>
      </c>
    </row>
    <row r="265" spans="1:5" x14ac:dyDescent="0.3">
      <c r="A265" t="s">
        <v>1000</v>
      </c>
      <c r="B265">
        <v>38818.760160000005</v>
      </c>
      <c r="C265" s="10">
        <f t="shared" si="15"/>
        <v>2.5378665355117701E-2</v>
      </c>
      <c r="D265" s="10">
        <f t="shared" si="16"/>
        <v>0.34000996350156343</v>
      </c>
      <c r="E265" t="str">
        <f t="shared" si="17"/>
        <v>A</v>
      </c>
    </row>
    <row r="266" spans="1:5" x14ac:dyDescent="0.3">
      <c r="A266" t="s">
        <v>1006</v>
      </c>
      <c r="B266">
        <v>34632.106319999999</v>
      </c>
      <c r="C266" s="10">
        <f t="shared" si="15"/>
        <v>2.2641543243923548E-2</v>
      </c>
      <c r="D266" s="10">
        <f t="shared" si="16"/>
        <v>0.36265150674548696</v>
      </c>
      <c r="E266" t="str">
        <f t="shared" si="17"/>
        <v>A</v>
      </c>
    </row>
    <row r="267" spans="1:5" x14ac:dyDescent="0.3">
      <c r="A267" t="s">
        <v>1106</v>
      </c>
      <c r="B267">
        <v>32280.32474</v>
      </c>
      <c r="C267" s="10">
        <f t="shared" si="15"/>
        <v>2.1104011456170801E-2</v>
      </c>
      <c r="D267" s="10">
        <f t="shared" si="16"/>
        <v>0.38375551820165776</v>
      </c>
      <c r="E267" t="str">
        <f t="shared" si="17"/>
        <v>A</v>
      </c>
    </row>
    <row r="268" spans="1:5" x14ac:dyDescent="0.3">
      <c r="A268" t="s">
        <v>789</v>
      </c>
      <c r="B268">
        <v>31680.795320000001</v>
      </c>
      <c r="C268" s="10">
        <f t="shared" si="15"/>
        <v>2.0712055184048384E-2</v>
      </c>
      <c r="D268" s="10">
        <f t="shared" si="16"/>
        <v>0.40446757338570616</v>
      </c>
      <c r="E268" t="str">
        <f t="shared" si="17"/>
        <v>A</v>
      </c>
    </row>
    <row r="269" spans="1:5" x14ac:dyDescent="0.3">
      <c r="A269" t="s">
        <v>929</v>
      </c>
      <c r="B269">
        <v>31191.64716</v>
      </c>
      <c r="C269" s="10">
        <f t="shared" si="15"/>
        <v>2.039226322236427E-2</v>
      </c>
      <c r="D269" s="10">
        <f t="shared" si="16"/>
        <v>0.42485983660807042</v>
      </c>
      <c r="E269" t="str">
        <f t="shared" si="17"/>
        <v>A</v>
      </c>
    </row>
    <row r="270" spans="1:5" x14ac:dyDescent="0.3">
      <c r="A270" t="s">
        <v>1044</v>
      </c>
      <c r="B270">
        <v>30799.273800000003</v>
      </c>
      <c r="C270" s="10">
        <f t="shared" si="15"/>
        <v>2.0135740032116583E-2</v>
      </c>
      <c r="D270" s="10">
        <f t="shared" si="16"/>
        <v>0.44499557664018702</v>
      </c>
      <c r="E270" t="str">
        <f t="shared" si="17"/>
        <v>A</v>
      </c>
    </row>
    <row r="271" spans="1:5" x14ac:dyDescent="0.3">
      <c r="A271" t="s">
        <v>1274</v>
      </c>
      <c r="B271">
        <v>30652.403519999996</v>
      </c>
      <c r="C271" s="10">
        <f t="shared" si="15"/>
        <v>2.003972017802105E-2</v>
      </c>
      <c r="D271" s="10">
        <f t="shared" si="16"/>
        <v>0.46503529681820804</v>
      </c>
      <c r="E271" t="str">
        <f t="shared" si="17"/>
        <v>A</v>
      </c>
    </row>
    <row r="272" spans="1:5" x14ac:dyDescent="0.3">
      <c r="A272" t="s">
        <v>1007</v>
      </c>
      <c r="B272">
        <v>29536.716</v>
      </c>
      <c r="C272" s="10">
        <f t="shared" si="15"/>
        <v>1.9310313569096498E-2</v>
      </c>
      <c r="D272" s="10">
        <f t="shared" si="16"/>
        <v>0.48434561038730456</v>
      </c>
      <c r="E272" t="str">
        <f t="shared" si="17"/>
        <v>A</v>
      </c>
    </row>
    <row r="273" spans="1:5" x14ac:dyDescent="0.3">
      <c r="A273" t="s">
        <v>922</v>
      </c>
      <c r="B273">
        <v>28072.190160000002</v>
      </c>
      <c r="C273" s="10">
        <f t="shared" si="15"/>
        <v>1.8352845812679555E-2</v>
      </c>
      <c r="D273" s="10">
        <f t="shared" si="16"/>
        <v>0.5026984561999841</v>
      </c>
      <c r="E273" t="str">
        <f t="shared" si="17"/>
        <v>A</v>
      </c>
    </row>
    <row r="274" spans="1:5" x14ac:dyDescent="0.3">
      <c r="A274" t="s">
        <v>869</v>
      </c>
      <c r="B274">
        <v>27370.540859999997</v>
      </c>
      <c r="C274" s="10">
        <f t="shared" si="15"/>
        <v>1.789412629902282E-2</v>
      </c>
      <c r="D274" s="10">
        <f t="shared" si="16"/>
        <v>0.52059258249900697</v>
      </c>
      <c r="E274" t="str">
        <f t="shared" si="17"/>
        <v>A</v>
      </c>
    </row>
    <row r="275" spans="1:5" x14ac:dyDescent="0.3">
      <c r="A275" t="s">
        <v>918</v>
      </c>
      <c r="B275">
        <v>26408.63841</v>
      </c>
      <c r="C275" s="10">
        <f t="shared" si="15"/>
        <v>1.7265260248633802E-2</v>
      </c>
      <c r="D275" s="10">
        <f t="shared" si="16"/>
        <v>0.53785784274764081</v>
      </c>
      <c r="E275" t="str">
        <f t="shared" si="17"/>
        <v>A</v>
      </c>
    </row>
    <row r="276" spans="1:5" x14ac:dyDescent="0.3">
      <c r="A276" t="s">
        <v>939</v>
      </c>
      <c r="B276">
        <v>26131.70736</v>
      </c>
      <c r="C276" s="10">
        <f t="shared" si="15"/>
        <v>1.7084210147718076E-2</v>
      </c>
      <c r="D276" s="10">
        <f t="shared" si="16"/>
        <v>0.55494205289535892</v>
      </c>
      <c r="E276" t="str">
        <f t="shared" si="17"/>
        <v>A</v>
      </c>
    </row>
    <row r="277" spans="1:5" x14ac:dyDescent="0.3">
      <c r="A277" t="s">
        <v>938</v>
      </c>
      <c r="B277">
        <v>25553.782800000001</v>
      </c>
      <c r="C277" s="10">
        <f t="shared" si="15"/>
        <v>1.6706378554223317E-2</v>
      </c>
      <c r="D277" s="10">
        <f t="shared" si="16"/>
        <v>0.57164843144958222</v>
      </c>
      <c r="E277" t="str">
        <f t="shared" si="17"/>
        <v>A</v>
      </c>
    </row>
    <row r="278" spans="1:5" x14ac:dyDescent="0.3">
      <c r="A278" t="s">
        <v>1300</v>
      </c>
      <c r="B278">
        <v>25079.480689999997</v>
      </c>
      <c r="C278" s="10">
        <f t="shared" si="15"/>
        <v>1.6396292542271814E-2</v>
      </c>
      <c r="D278" s="10">
        <f t="shared" si="16"/>
        <v>0.58804472399185403</v>
      </c>
      <c r="E278" t="str">
        <f t="shared" si="17"/>
        <v>A</v>
      </c>
    </row>
    <row r="279" spans="1:5" x14ac:dyDescent="0.3">
      <c r="A279" t="s">
        <v>849</v>
      </c>
      <c r="B279">
        <v>24523.006720000001</v>
      </c>
      <c r="C279" s="10">
        <f t="shared" si="15"/>
        <v>1.603248476981194E-2</v>
      </c>
      <c r="D279" s="10">
        <f t="shared" si="16"/>
        <v>0.60407720876166593</v>
      </c>
      <c r="E279" t="str">
        <f t="shared" si="17"/>
        <v>A</v>
      </c>
    </row>
    <row r="280" spans="1:5" x14ac:dyDescent="0.3">
      <c r="A280" t="s">
        <v>1187</v>
      </c>
      <c r="B280">
        <v>23132.398349999996</v>
      </c>
      <c r="C280" s="10">
        <f t="shared" si="15"/>
        <v>1.5123342274874106E-2</v>
      </c>
      <c r="D280" s="10">
        <f t="shared" si="16"/>
        <v>0.61920055103654004</v>
      </c>
      <c r="E280" t="str">
        <f t="shared" si="17"/>
        <v>A</v>
      </c>
    </row>
    <row r="281" spans="1:5" x14ac:dyDescent="0.3">
      <c r="A281" t="s">
        <v>855</v>
      </c>
      <c r="B281">
        <v>22983.34563</v>
      </c>
      <c r="C281" s="10">
        <f t="shared" si="15"/>
        <v>1.5025895599978811E-2</v>
      </c>
      <c r="D281" s="10">
        <f t="shared" si="16"/>
        <v>0.63422644663651884</v>
      </c>
      <c r="E281" t="str">
        <f t="shared" si="17"/>
        <v>A</v>
      </c>
    </row>
    <row r="282" spans="1:5" x14ac:dyDescent="0.3">
      <c r="A282" t="s">
        <v>894</v>
      </c>
      <c r="B282">
        <v>22044.871499999997</v>
      </c>
      <c r="C282" s="10">
        <f t="shared" si="15"/>
        <v>1.441234635751106E-2</v>
      </c>
      <c r="D282" s="10">
        <f t="shared" si="16"/>
        <v>0.64863879299402993</v>
      </c>
      <c r="E282" t="str">
        <f t="shared" si="17"/>
        <v>A</v>
      </c>
    </row>
    <row r="283" spans="1:5" x14ac:dyDescent="0.3">
      <c r="A283" t="s">
        <v>1233</v>
      </c>
      <c r="B283">
        <v>20332.775539999999</v>
      </c>
      <c r="C283" s="10">
        <f t="shared" si="15"/>
        <v>1.329302388957037E-2</v>
      </c>
      <c r="D283" s="10">
        <f t="shared" si="16"/>
        <v>0.66193181688360025</v>
      </c>
      <c r="E283" t="str">
        <f t="shared" si="17"/>
        <v>A</v>
      </c>
    </row>
    <row r="284" spans="1:5" x14ac:dyDescent="0.3">
      <c r="A284" t="s">
        <v>986</v>
      </c>
      <c r="B284">
        <v>17689.623</v>
      </c>
      <c r="C284" s="10">
        <f t="shared" si="15"/>
        <v>1.1565001574619925E-2</v>
      </c>
      <c r="D284" s="10">
        <f t="shared" si="16"/>
        <v>0.67349681845822018</v>
      </c>
      <c r="E284" t="str">
        <f t="shared" si="17"/>
        <v>A</v>
      </c>
    </row>
    <row r="285" spans="1:5" x14ac:dyDescent="0.3">
      <c r="A285" t="s">
        <v>1014</v>
      </c>
      <c r="B285">
        <v>17441.021520000002</v>
      </c>
      <c r="C285" s="10">
        <f t="shared" si="15"/>
        <v>1.1402472587560516E-2</v>
      </c>
      <c r="D285" s="10">
        <f t="shared" si="16"/>
        <v>0.68489929104578073</v>
      </c>
      <c r="E285" t="str">
        <f t="shared" si="17"/>
        <v>A</v>
      </c>
    </row>
    <row r="286" spans="1:5" x14ac:dyDescent="0.3">
      <c r="A286" t="s">
        <v>1232</v>
      </c>
      <c r="B286">
        <v>16574.544740000001</v>
      </c>
      <c r="C286" s="10">
        <f t="shared" si="15"/>
        <v>1.0835993283559995E-2</v>
      </c>
      <c r="D286" s="10">
        <f t="shared" si="16"/>
        <v>0.69573528432934073</v>
      </c>
      <c r="E286" t="str">
        <f t="shared" si="17"/>
        <v>A</v>
      </c>
    </row>
    <row r="287" spans="1:5" x14ac:dyDescent="0.3">
      <c r="A287" t="s">
        <v>1085</v>
      </c>
      <c r="B287">
        <v>16487.22781</v>
      </c>
      <c r="C287" s="10">
        <f t="shared" si="15"/>
        <v>1.0778907814133033E-2</v>
      </c>
      <c r="D287" s="10">
        <f t="shared" si="16"/>
        <v>0.70651419214347377</v>
      </c>
      <c r="E287" t="str">
        <f t="shared" si="17"/>
        <v>A</v>
      </c>
    </row>
    <row r="288" spans="1:5" x14ac:dyDescent="0.3">
      <c r="A288" t="s">
        <v>1349</v>
      </c>
      <c r="B288">
        <v>16321.907265440001</v>
      </c>
      <c r="C288" s="10">
        <f t="shared" si="15"/>
        <v>1.0670825671390171E-2</v>
      </c>
      <c r="D288" s="10">
        <f t="shared" si="16"/>
        <v>0.71718501781486399</v>
      </c>
      <c r="E288" t="str">
        <f t="shared" si="17"/>
        <v>A</v>
      </c>
    </row>
    <row r="289" spans="1:5" x14ac:dyDescent="0.3">
      <c r="A289" t="s">
        <v>1123</v>
      </c>
      <c r="B289">
        <v>16142.527829999999</v>
      </c>
      <c r="C289" s="10">
        <f t="shared" si="15"/>
        <v>1.0553552202457675E-2</v>
      </c>
      <c r="D289" s="10">
        <f t="shared" si="16"/>
        <v>0.72773857001732167</v>
      </c>
      <c r="E289" t="str">
        <f t="shared" si="17"/>
        <v>A</v>
      </c>
    </row>
    <row r="290" spans="1:5" x14ac:dyDescent="0.3">
      <c r="A290" t="s">
        <v>1256</v>
      </c>
      <c r="B290">
        <v>16121.273400000002</v>
      </c>
      <c r="C290" s="10">
        <f t="shared" si="15"/>
        <v>1.0539656625575249E-2</v>
      </c>
      <c r="D290" s="10">
        <f t="shared" si="16"/>
        <v>0.73827822664289688</v>
      </c>
      <c r="E290" t="str">
        <f t="shared" si="17"/>
        <v>A</v>
      </c>
    </row>
    <row r="291" spans="1:5" x14ac:dyDescent="0.3">
      <c r="A291" t="s">
        <v>1117</v>
      </c>
      <c r="B291">
        <v>15257.51748</v>
      </c>
      <c r="C291" s="10">
        <f t="shared" si="15"/>
        <v>9.9749561469450777E-3</v>
      </c>
      <c r="D291" s="10">
        <f t="shared" si="16"/>
        <v>0.74825318278984199</v>
      </c>
      <c r="E291" t="str">
        <f t="shared" si="17"/>
        <v>A</v>
      </c>
    </row>
    <row r="292" spans="1:5" x14ac:dyDescent="0.3">
      <c r="A292" t="s">
        <v>742</v>
      </c>
      <c r="B292">
        <v>14714.12934</v>
      </c>
      <c r="C292" s="10">
        <f t="shared" si="15"/>
        <v>9.6197035395418681E-3</v>
      </c>
      <c r="D292" s="10">
        <f t="shared" si="16"/>
        <v>0.75787288632938388</v>
      </c>
      <c r="E292" t="str">
        <f t="shared" si="17"/>
        <v>A</v>
      </c>
    </row>
    <row r="293" spans="1:5" x14ac:dyDescent="0.3">
      <c r="A293" t="s">
        <v>1306</v>
      </c>
      <c r="B293">
        <v>14466.95104</v>
      </c>
      <c r="C293" s="10">
        <f t="shared" si="15"/>
        <v>9.4581049894364253E-3</v>
      </c>
      <c r="D293" s="10">
        <f t="shared" si="16"/>
        <v>0.76733099131882032</v>
      </c>
      <c r="E293" t="str">
        <f t="shared" si="17"/>
        <v>A</v>
      </c>
    </row>
    <row r="294" spans="1:5" x14ac:dyDescent="0.3">
      <c r="A294" t="s">
        <v>801</v>
      </c>
      <c r="B294">
        <v>14287.896349999999</v>
      </c>
      <c r="C294" s="10">
        <f t="shared" si="15"/>
        <v>9.3410438303719798E-3</v>
      </c>
      <c r="D294" s="10">
        <f t="shared" si="16"/>
        <v>0.77667203514919225</v>
      </c>
      <c r="E294" t="str">
        <f t="shared" si="17"/>
        <v>A</v>
      </c>
    </row>
    <row r="295" spans="1:5" x14ac:dyDescent="0.3">
      <c r="A295" t="s">
        <v>1161</v>
      </c>
      <c r="B295">
        <v>13450.74</v>
      </c>
      <c r="C295" s="10">
        <f t="shared" si="15"/>
        <v>8.7937334379485192E-3</v>
      </c>
      <c r="D295" s="10">
        <f t="shared" si="16"/>
        <v>0.78546576858714079</v>
      </c>
      <c r="E295" t="str">
        <f t="shared" si="17"/>
        <v>A</v>
      </c>
    </row>
    <row r="296" spans="1:5" x14ac:dyDescent="0.3">
      <c r="A296" t="s">
        <v>1138</v>
      </c>
      <c r="B296">
        <v>13437.300239999999</v>
      </c>
      <c r="C296" s="10">
        <f t="shared" si="15"/>
        <v>8.7849468829403927E-3</v>
      </c>
      <c r="D296" s="10">
        <f t="shared" si="16"/>
        <v>0.79425071547008119</v>
      </c>
      <c r="E296" t="str">
        <f t="shared" si="17"/>
        <v>A</v>
      </c>
    </row>
    <row r="297" spans="1:5" x14ac:dyDescent="0.3">
      <c r="A297" t="s">
        <v>1132</v>
      </c>
      <c r="B297">
        <v>12972.00222</v>
      </c>
      <c r="C297" s="10">
        <f t="shared" si="15"/>
        <v>8.4807475037920917E-3</v>
      </c>
      <c r="D297" s="10">
        <f t="shared" si="16"/>
        <v>0.80273146297387332</v>
      </c>
      <c r="E297" t="str">
        <f t="shared" si="17"/>
        <v>B</v>
      </c>
    </row>
    <row r="298" spans="1:5" x14ac:dyDescent="0.3">
      <c r="A298" t="s">
        <v>1166</v>
      </c>
      <c r="B298">
        <v>12967.958640000001</v>
      </c>
      <c r="C298" s="10">
        <f t="shared" si="15"/>
        <v>8.4781039195242353E-3</v>
      </c>
      <c r="D298" s="10">
        <f t="shared" si="16"/>
        <v>0.81120956689339752</v>
      </c>
      <c r="E298" t="str">
        <f t="shared" si="17"/>
        <v>B</v>
      </c>
    </row>
    <row r="299" spans="1:5" x14ac:dyDescent="0.3">
      <c r="A299" t="s">
        <v>901</v>
      </c>
      <c r="B299">
        <v>12413.98458</v>
      </c>
      <c r="C299" s="10">
        <f t="shared" si="15"/>
        <v>8.1159305212444299E-3</v>
      </c>
      <c r="D299" s="10">
        <f t="shared" si="16"/>
        <v>0.819325497414642</v>
      </c>
      <c r="E299" t="str">
        <f t="shared" si="17"/>
        <v>B</v>
      </c>
    </row>
    <row r="300" spans="1:5" x14ac:dyDescent="0.3">
      <c r="A300" t="s">
        <v>897</v>
      </c>
      <c r="B300">
        <v>12194.714</v>
      </c>
      <c r="C300" s="10">
        <f t="shared" si="15"/>
        <v>7.9725772907675661E-3</v>
      </c>
      <c r="D300" s="10">
        <f t="shared" si="16"/>
        <v>0.82729807470540961</v>
      </c>
      <c r="E300" t="str">
        <f t="shared" si="17"/>
        <v>B</v>
      </c>
    </row>
    <row r="301" spans="1:5" x14ac:dyDescent="0.3">
      <c r="A301" t="s">
        <v>822</v>
      </c>
      <c r="B301">
        <v>11842.8464</v>
      </c>
      <c r="C301" s="10">
        <f t="shared" si="15"/>
        <v>7.742535681172058E-3</v>
      </c>
      <c r="D301" s="10">
        <f t="shared" si="16"/>
        <v>0.83504061038658173</v>
      </c>
      <c r="E301" t="str">
        <f t="shared" si="17"/>
        <v>B</v>
      </c>
    </row>
    <row r="302" spans="1:5" x14ac:dyDescent="0.3">
      <c r="A302" t="s">
        <v>983</v>
      </c>
      <c r="B302">
        <v>11813.604160000001</v>
      </c>
      <c r="C302" s="10">
        <f t="shared" si="15"/>
        <v>7.7234178881221208E-3</v>
      </c>
      <c r="D302" s="10">
        <f t="shared" si="16"/>
        <v>0.84276402827470387</v>
      </c>
      <c r="E302" t="str">
        <f t="shared" si="17"/>
        <v>B</v>
      </c>
    </row>
    <row r="303" spans="1:5" x14ac:dyDescent="0.3">
      <c r="A303" t="s">
        <v>1281</v>
      </c>
      <c r="B303">
        <v>10937.519999999999</v>
      </c>
      <c r="C303" s="10">
        <f t="shared" si="15"/>
        <v>7.1506575364798279E-3</v>
      </c>
      <c r="D303" s="10">
        <f t="shared" si="16"/>
        <v>0.84991468581118368</v>
      </c>
      <c r="E303" t="str">
        <f t="shared" si="17"/>
        <v>B</v>
      </c>
    </row>
    <row r="304" spans="1:5" x14ac:dyDescent="0.3">
      <c r="A304" t="s">
        <v>1290</v>
      </c>
      <c r="B304">
        <v>10519.776450000001</v>
      </c>
      <c r="C304" s="10">
        <f t="shared" si="15"/>
        <v>6.8775479957317136E-3</v>
      </c>
      <c r="D304" s="10">
        <f t="shared" si="16"/>
        <v>0.85679223380691538</v>
      </c>
      <c r="E304" t="str">
        <f t="shared" si="17"/>
        <v>B</v>
      </c>
    </row>
    <row r="305" spans="1:5" x14ac:dyDescent="0.3">
      <c r="A305" t="s">
        <v>1062</v>
      </c>
      <c r="B305">
        <v>9525.5999999999985</v>
      </c>
      <c r="C305" s="10">
        <f t="shared" si="15"/>
        <v>6.2275820688320795E-3</v>
      </c>
      <c r="D305" s="10">
        <f t="shared" si="16"/>
        <v>0.8630198158757475</v>
      </c>
      <c r="E305" t="str">
        <f t="shared" si="17"/>
        <v>B</v>
      </c>
    </row>
    <row r="306" spans="1:5" x14ac:dyDescent="0.3">
      <c r="A306" t="s">
        <v>1152</v>
      </c>
      <c r="B306">
        <v>9509.2865999999995</v>
      </c>
      <c r="C306" s="10">
        <f t="shared" si="15"/>
        <v>6.216916804982907E-3</v>
      </c>
      <c r="D306" s="10">
        <f t="shared" si="16"/>
        <v>0.86923673268073043</v>
      </c>
      <c r="E306" t="str">
        <f t="shared" si="17"/>
        <v>B</v>
      </c>
    </row>
    <row r="307" spans="1:5" x14ac:dyDescent="0.3">
      <c r="A307" t="s">
        <v>1243</v>
      </c>
      <c r="B307">
        <v>9232.2830599999998</v>
      </c>
      <c r="C307" s="10">
        <f t="shared" si="15"/>
        <v>6.0358193120473433E-3</v>
      </c>
      <c r="D307" s="10">
        <f t="shared" si="16"/>
        <v>0.87527255199277776</v>
      </c>
      <c r="E307" t="str">
        <f t="shared" si="17"/>
        <v>B</v>
      </c>
    </row>
    <row r="308" spans="1:5" x14ac:dyDescent="0.3">
      <c r="A308" t="s">
        <v>925</v>
      </c>
      <c r="B308">
        <v>8763.2849999999999</v>
      </c>
      <c r="C308" s="10">
        <f t="shared" si="15"/>
        <v>5.7292009458790143E-3</v>
      </c>
      <c r="D308" s="10">
        <f t="shared" si="16"/>
        <v>0.88100175293865679</v>
      </c>
      <c r="E308" t="str">
        <f t="shared" si="17"/>
        <v>B</v>
      </c>
    </row>
    <row r="309" spans="1:5" x14ac:dyDescent="0.3">
      <c r="A309" t="s">
        <v>917</v>
      </c>
      <c r="B309">
        <v>8698.8768300000011</v>
      </c>
      <c r="C309" s="10">
        <f t="shared" si="15"/>
        <v>5.6870926099654466E-3</v>
      </c>
      <c r="D309" s="10">
        <f t="shared" si="16"/>
        <v>0.88668884554862226</v>
      </c>
      <c r="E309" t="str">
        <f t="shared" si="17"/>
        <v>B</v>
      </c>
    </row>
    <row r="310" spans="1:5" x14ac:dyDescent="0.3">
      <c r="A310" t="s">
        <v>802</v>
      </c>
      <c r="B310">
        <v>8671.7354400000004</v>
      </c>
      <c r="C310" s="10">
        <f t="shared" si="15"/>
        <v>5.6693482963592499E-3</v>
      </c>
      <c r="D310" s="10">
        <f t="shared" si="16"/>
        <v>0.8923581938449815</v>
      </c>
      <c r="E310" t="str">
        <f t="shared" si="17"/>
        <v>B</v>
      </c>
    </row>
    <row r="311" spans="1:5" x14ac:dyDescent="0.3">
      <c r="A311" t="s">
        <v>923</v>
      </c>
      <c r="B311">
        <v>8590.7094000000016</v>
      </c>
      <c r="C311" s="10">
        <f t="shared" si="15"/>
        <v>5.6163756422679106E-3</v>
      </c>
      <c r="D311" s="10">
        <f t="shared" si="16"/>
        <v>0.89797456948724941</v>
      </c>
      <c r="E311" t="str">
        <f t="shared" si="17"/>
        <v>B</v>
      </c>
    </row>
    <row r="312" spans="1:5" x14ac:dyDescent="0.3">
      <c r="A312" t="s">
        <v>1295</v>
      </c>
      <c r="B312">
        <v>8520.2954399999999</v>
      </c>
      <c r="C312" s="10">
        <f t="shared" si="15"/>
        <v>5.570340881760282E-3</v>
      </c>
      <c r="D312" s="10">
        <f t="shared" si="16"/>
        <v>0.90354491036900964</v>
      </c>
      <c r="E312" t="str">
        <f t="shared" si="17"/>
        <v>B</v>
      </c>
    </row>
    <row r="313" spans="1:5" x14ac:dyDescent="0.3">
      <c r="A313" t="s">
        <v>1206</v>
      </c>
      <c r="B313">
        <v>8330.2513199999994</v>
      </c>
      <c r="C313" s="10">
        <f t="shared" si="15"/>
        <v>5.4460951277921351E-3</v>
      </c>
      <c r="D313" s="10">
        <f t="shared" si="16"/>
        <v>0.90899100549680178</v>
      </c>
      <c r="E313" t="str">
        <f t="shared" si="17"/>
        <v>B</v>
      </c>
    </row>
    <row r="314" spans="1:5" x14ac:dyDescent="0.3">
      <c r="A314" t="s">
        <v>1190</v>
      </c>
      <c r="B314">
        <v>7854.6931199999999</v>
      </c>
      <c r="C314" s="10">
        <f t="shared" si="15"/>
        <v>5.1351879178519683E-3</v>
      </c>
      <c r="D314" s="10">
        <f t="shared" si="16"/>
        <v>0.91412619341465373</v>
      </c>
      <c r="E314" t="str">
        <f t="shared" si="17"/>
        <v>B</v>
      </c>
    </row>
    <row r="315" spans="1:5" x14ac:dyDescent="0.3">
      <c r="A315" t="s">
        <v>950</v>
      </c>
      <c r="B315">
        <v>7738.9596900000006</v>
      </c>
      <c r="C315" s="10">
        <f t="shared" si="15"/>
        <v>5.059524502063731E-3</v>
      </c>
      <c r="D315" s="10">
        <f t="shared" si="16"/>
        <v>0.91918571791671744</v>
      </c>
      <c r="E315" t="str">
        <f t="shared" si="17"/>
        <v>B</v>
      </c>
    </row>
    <row r="316" spans="1:5" x14ac:dyDescent="0.3">
      <c r="A316" t="s">
        <v>864</v>
      </c>
      <c r="B316">
        <v>7703.8640800000003</v>
      </c>
      <c r="C316" s="10">
        <f t="shared" si="15"/>
        <v>5.036579932532077E-3</v>
      </c>
      <c r="D316" s="10">
        <f t="shared" si="16"/>
        <v>0.92422229784924947</v>
      </c>
      <c r="E316" t="str">
        <f t="shared" si="17"/>
        <v>B</v>
      </c>
    </row>
    <row r="317" spans="1:5" x14ac:dyDescent="0.3">
      <c r="A317" t="s">
        <v>1097</v>
      </c>
      <c r="B317">
        <v>7327.9533600000004</v>
      </c>
      <c r="C317" s="10">
        <f t="shared" si="15"/>
        <v>4.7908195752471025E-3</v>
      </c>
      <c r="D317" s="10">
        <f t="shared" si="16"/>
        <v>0.92901311742449655</v>
      </c>
      <c r="E317" t="str">
        <f t="shared" si="17"/>
        <v>B</v>
      </c>
    </row>
    <row r="318" spans="1:5" x14ac:dyDescent="0.3">
      <c r="A318" t="s">
        <v>1005</v>
      </c>
      <c r="B318">
        <v>7120.6486400000003</v>
      </c>
      <c r="C318" s="10">
        <f t="shared" si="15"/>
        <v>4.6552893034472942E-3</v>
      </c>
      <c r="D318" s="10">
        <f t="shared" si="16"/>
        <v>0.93366840672794382</v>
      </c>
      <c r="E318" t="str">
        <f t="shared" si="17"/>
        <v>B</v>
      </c>
    </row>
    <row r="319" spans="1:5" x14ac:dyDescent="0.3">
      <c r="A319" t="s">
        <v>912</v>
      </c>
      <c r="B319">
        <v>7098.5495999999994</v>
      </c>
      <c r="C319" s="10">
        <f t="shared" si="15"/>
        <v>4.6408415431757723E-3</v>
      </c>
      <c r="D319" s="10">
        <f t="shared" si="16"/>
        <v>0.93830924827111961</v>
      </c>
      <c r="E319" t="str">
        <f t="shared" si="17"/>
        <v>B</v>
      </c>
    </row>
    <row r="320" spans="1:5" x14ac:dyDescent="0.3">
      <c r="A320" t="s">
        <v>902</v>
      </c>
      <c r="B320">
        <v>6824.2884000000004</v>
      </c>
      <c r="C320" s="10">
        <f t="shared" si="15"/>
        <v>4.4615369186590632E-3</v>
      </c>
      <c r="D320" s="10">
        <f t="shared" si="16"/>
        <v>0.94277078518977864</v>
      </c>
      <c r="E320" t="str">
        <f t="shared" si="17"/>
        <v>B</v>
      </c>
    </row>
    <row r="321" spans="1:5" x14ac:dyDescent="0.3">
      <c r="A321" t="s">
        <v>988</v>
      </c>
      <c r="B321">
        <v>6468.2751599999992</v>
      </c>
      <c r="C321" s="10">
        <f t="shared" si="15"/>
        <v>4.228785000702103E-3</v>
      </c>
      <c r="D321" s="10">
        <f t="shared" si="16"/>
        <v>0.94699957019048076</v>
      </c>
      <c r="E321" t="str">
        <f t="shared" si="17"/>
        <v>B</v>
      </c>
    </row>
    <row r="322" spans="1:5" x14ac:dyDescent="0.3">
      <c r="A322" t="s">
        <v>1331</v>
      </c>
      <c r="B322">
        <v>5962.1422499999999</v>
      </c>
      <c r="C322" s="10">
        <f t="shared" si="15"/>
        <v>3.8978888645257153E-3</v>
      </c>
      <c r="D322" s="10">
        <f t="shared" si="16"/>
        <v>0.95089745905500644</v>
      </c>
      <c r="E322" t="str">
        <f t="shared" si="17"/>
        <v>C</v>
      </c>
    </row>
    <row r="323" spans="1:5" x14ac:dyDescent="0.3">
      <c r="A323" t="s">
        <v>852</v>
      </c>
      <c r="B323">
        <v>5769.2758000000003</v>
      </c>
      <c r="C323" s="10">
        <f t="shared" ref="C323:C347" si="18">B323/$B$257</f>
        <v>3.7717979468198182E-3</v>
      </c>
      <c r="D323" s="10">
        <f t="shared" si="16"/>
        <v>0.95466925700182625</v>
      </c>
      <c r="E323" t="str">
        <f t="shared" si="17"/>
        <v>C</v>
      </c>
    </row>
    <row r="324" spans="1:5" x14ac:dyDescent="0.3">
      <c r="A324" t="s">
        <v>1325</v>
      </c>
      <c r="B324">
        <v>5725.6496000000006</v>
      </c>
      <c r="C324" s="10">
        <f t="shared" si="18"/>
        <v>3.7432763060988891E-3</v>
      </c>
      <c r="D324" s="10">
        <f t="shared" ref="D324:D387" si="19">D323+C324</f>
        <v>0.9584125333079252</v>
      </c>
      <c r="E324" t="str">
        <f t="shared" si="17"/>
        <v>C</v>
      </c>
    </row>
    <row r="325" spans="1:5" x14ac:dyDescent="0.3">
      <c r="A325" t="s">
        <v>1180</v>
      </c>
      <c r="B325">
        <v>5565.3272500000003</v>
      </c>
      <c r="C325" s="10">
        <f t="shared" si="18"/>
        <v>3.6384618490470475E-3</v>
      </c>
      <c r="D325" s="10">
        <f t="shared" si="19"/>
        <v>0.96205099515697223</v>
      </c>
      <c r="E325" t="str">
        <f t="shared" si="17"/>
        <v>C</v>
      </c>
    </row>
    <row r="326" spans="1:5" x14ac:dyDescent="0.3">
      <c r="A326" t="s">
        <v>967</v>
      </c>
      <c r="B326">
        <v>5280.8577599999999</v>
      </c>
      <c r="C326" s="10">
        <f t="shared" si="18"/>
        <v>3.4524833180302286E-3</v>
      </c>
      <c r="D326" s="10">
        <f t="shared" si="19"/>
        <v>0.96550347847500251</v>
      </c>
      <c r="E326" t="str">
        <f t="shared" ref="E326:E389" si="20">IF(D326&lt;=80%,"A",IF(D326&lt;=95%,"B","C"))</f>
        <v>C</v>
      </c>
    </row>
    <row r="327" spans="1:5" x14ac:dyDescent="0.3">
      <c r="A327" t="s">
        <v>1359</v>
      </c>
      <c r="B327">
        <v>5096.4790800000001</v>
      </c>
      <c r="C327" s="10">
        <f t="shared" si="18"/>
        <v>3.3319414769448453E-3</v>
      </c>
      <c r="D327" s="10">
        <f t="shared" si="19"/>
        <v>0.96883541995194733</v>
      </c>
      <c r="E327" t="str">
        <f t="shared" si="20"/>
        <v>C</v>
      </c>
    </row>
    <row r="328" spans="1:5" x14ac:dyDescent="0.3">
      <c r="A328" t="s">
        <v>1048</v>
      </c>
      <c r="B328">
        <v>5032.4433599999993</v>
      </c>
      <c r="C328" s="10">
        <f t="shared" si="18"/>
        <v>3.2900766388625452E-3</v>
      </c>
      <c r="D328" s="10">
        <f t="shared" si="19"/>
        <v>0.97212549659080982</v>
      </c>
      <c r="E328" t="str">
        <f t="shared" si="20"/>
        <v>C</v>
      </c>
    </row>
    <row r="329" spans="1:5" x14ac:dyDescent="0.3">
      <c r="A329" t="s">
        <v>813</v>
      </c>
      <c r="B329">
        <v>4877.1379800000004</v>
      </c>
      <c r="C329" s="10">
        <f t="shared" si="18"/>
        <v>3.1885421423813636E-3</v>
      </c>
      <c r="D329" s="10">
        <f t="shared" si="19"/>
        <v>0.97531403873319122</v>
      </c>
      <c r="E329" t="str">
        <f t="shared" si="20"/>
        <v>C</v>
      </c>
    </row>
    <row r="330" spans="1:5" x14ac:dyDescent="0.3">
      <c r="A330" t="s">
        <v>1278</v>
      </c>
      <c r="B330">
        <v>4826.5396199999996</v>
      </c>
      <c r="C330" s="10">
        <f t="shared" si="18"/>
        <v>3.1554622902514907E-3</v>
      </c>
      <c r="D330" s="10">
        <f t="shared" si="19"/>
        <v>0.97846950102344277</v>
      </c>
      <c r="E330" t="str">
        <f t="shared" si="20"/>
        <v>C</v>
      </c>
    </row>
    <row r="331" spans="1:5" x14ac:dyDescent="0.3">
      <c r="A331" t="s">
        <v>1228</v>
      </c>
      <c r="B331">
        <v>4682.9519799999998</v>
      </c>
      <c r="C331" s="10">
        <f t="shared" si="18"/>
        <v>3.0615885382390281E-3</v>
      </c>
      <c r="D331" s="10">
        <f t="shared" si="19"/>
        <v>0.98153108956168178</v>
      </c>
      <c r="E331" t="str">
        <f t="shared" si="20"/>
        <v>C</v>
      </c>
    </row>
    <row r="332" spans="1:5" x14ac:dyDescent="0.3">
      <c r="A332" t="s">
        <v>992</v>
      </c>
      <c r="B332">
        <v>4375.3620000000001</v>
      </c>
      <c r="C332" s="10">
        <f t="shared" si="18"/>
        <v>2.8604944503075156E-3</v>
      </c>
      <c r="D332" s="10">
        <f t="shared" si="19"/>
        <v>0.98439158401198934</v>
      </c>
      <c r="E332" t="str">
        <f t="shared" si="20"/>
        <v>C</v>
      </c>
    </row>
    <row r="333" spans="1:5" x14ac:dyDescent="0.3">
      <c r="A333" t="s">
        <v>1031</v>
      </c>
      <c r="B333">
        <v>3190.8713200000002</v>
      </c>
      <c r="C333" s="10">
        <f t="shared" si="18"/>
        <v>2.0861061787585612E-3</v>
      </c>
      <c r="D333" s="10">
        <f t="shared" si="19"/>
        <v>0.98647769019074794</v>
      </c>
      <c r="E333" t="str">
        <f t="shared" si="20"/>
        <v>C</v>
      </c>
    </row>
    <row r="334" spans="1:5" x14ac:dyDescent="0.3">
      <c r="A334" t="s">
        <v>1052</v>
      </c>
      <c r="B334">
        <v>2915.4540999999999</v>
      </c>
      <c r="C334" s="10">
        <f t="shared" si="18"/>
        <v>1.9060457793380963E-3</v>
      </c>
      <c r="D334" s="10">
        <f t="shared" si="19"/>
        <v>0.988383735970086</v>
      </c>
      <c r="E334" t="str">
        <f t="shared" si="20"/>
        <v>C</v>
      </c>
    </row>
    <row r="335" spans="1:5" x14ac:dyDescent="0.3">
      <c r="A335" t="s">
        <v>740</v>
      </c>
      <c r="B335">
        <v>2886.4496399999998</v>
      </c>
      <c r="C335" s="10">
        <f t="shared" si="18"/>
        <v>1.8870834404815249E-3</v>
      </c>
      <c r="D335" s="10">
        <f t="shared" si="19"/>
        <v>0.99027081941056749</v>
      </c>
      <c r="E335" t="str">
        <f t="shared" si="20"/>
        <v>C</v>
      </c>
    </row>
    <row r="336" spans="1:5" x14ac:dyDescent="0.3">
      <c r="A336" t="s">
        <v>1165</v>
      </c>
      <c r="B336">
        <v>2627.6239999999998</v>
      </c>
      <c r="C336" s="10">
        <f t="shared" si="18"/>
        <v>1.7178701715411969E-3</v>
      </c>
      <c r="D336" s="10">
        <f t="shared" si="19"/>
        <v>0.99198868958210873</v>
      </c>
      <c r="E336" t="str">
        <f t="shared" si="20"/>
        <v>C</v>
      </c>
    </row>
    <row r="337" spans="1:5" x14ac:dyDescent="0.3">
      <c r="A337" t="s">
        <v>951</v>
      </c>
      <c r="B337">
        <v>2231.6467200000002</v>
      </c>
      <c r="C337" s="10">
        <f t="shared" si="18"/>
        <v>1.4589908349542211E-3</v>
      </c>
      <c r="D337" s="10">
        <f t="shared" si="19"/>
        <v>0.99344768041706299</v>
      </c>
      <c r="E337" t="str">
        <f t="shared" si="20"/>
        <v>C</v>
      </c>
    </row>
    <row r="338" spans="1:5" x14ac:dyDescent="0.3">
      <c r="A338" t="s">
        <v>1283</v>
      </c>
      <c r="B338">
        <v>1846.8040799999999</v>
      </c>
      <c r="C338" s="10">
        <f t="shared" si="18"/>
        <v>1.2073910276784586E-3</v>
      </c>
      <c r="D338" s="10">
        <f t="shared" si="19"/>
        <v>0.99465507144474141</v>
      </c>
      <c r="E338" t="str">
        <f t="shared" si="20"/>
        <v>C</v>
      </c>
    </row>
    <row r="339" spans="1:5" x14ac:dyDescent="0.3">
      <c r="A339" t="s">
        <v>1314</v>
      </c>
      <c r="B339">
        <v>1801.4076000000002</v>
      </c>
      <c r="C339" s="10">
        <f t="shared" si="18"/>
        <v>1.1777120253231119E-3</v>
      </c>
      <c r="D339" s="10">
        <f t="shared" si="19"/>
        <v>0.99583278347006454</v>
      </c>
      <c r="E339" t="str">
        <f t="shared" si="20"/>
        <v>C</v>
      </c>
    </row>
    <row r="340" spans="1:5" x14ac:dyDescent="0.3">
      <c r="A340" t="s">
        <v>945</v>
      </c>
      <c r="B340">
        <v>1774.8072</v>
      </c>
      <c r="C340" s="10">
        <f t="shared" si="18"/>
        <v>1.1603213964846385E-3</v>
      </c>
      <c r="D340" s="10">
        <f t="shared" si="19"/>
        <v>0.99699310486654913</v>
      </c>
      <c r="E340" t="str">
        <f t="shared" si="20"/>
        <v>C</v>
      </c>
    </row>
    <row r="341" spans="1:5" x14ac:dyDescent="0.3">
      <c r="A341" t="s">
        <v>1039</v>
      </c>
      <c r="B341">
        <v>1641.7107199999998</v>
      </c>
      <c r="C341" s="10">
        <f t="shared" si="18"/>
        <v>1.0733064837995931E-3</v>
      </c>
      <c r="D341" s="10">
        <f t="shared" si="19"/>
        <v>0.99806641135034868</v>
      </c>
      <c r="E341" t="str">
        <f t="shared" si="20"/>
        <v>C</v>
      </c>
    </row>
    <row r="342" spans="1:5" x14ac:dyDescent="0.3">
      <c r="A342" t="s">
        <v>823</v>
      </c>
      <c r="B342">
        <v>624.43503999999996</v>
      </c>
      <c r="C342" s="10">
        <f t="shared" si="18"/>
        <v>4.0823889920366617E-4</v>
      </c>
      <c r="D342" s="10">
        <f t="shared" si="19"/>
        <v>0.9984746502495524</v>
      </c>
      <c r="E342" t="str">
        <f t="shared" si="20"/>
        <v>C</v>
      </c>
    </row>
    <row r="343" spans="1:5" x14ac:dyDescent="0.3">
      <c r="A343" t="s">
        <v>981</v>
      </c>
      <c r="B343">
        <v>607.30668000000003</v>
      </c>
      <c r="C343" s="10">
        <f t="shared" si="18"/>
        <v>3.9704083634101183E-4</v>
      </c>
      <c r="D343" s="10">
        <f t="shared" si="19"/>
        <v>0.99887169108589347</v>
      </c>
      <c r="E343" t="str">
        <f t="shared" si="20"/>
        <v>C</v>
      </c>
    </row>
    <row r="344" spans="1:5" x14ac:dyDescent="0.3">
      <c r="A344" t="s">
        <v>785</v>
      </c>
      <c r="B344">
        <v>599.53200000000004</v>
      </c>
      <c r="C344" s="10">
        <f t="shared" si="18"/>
        <v>3.9195795885729349E-4</v>
      </c>
      <c r="D344" s="10">
        <f t="shared" si="19"/>
        <v>0.99926364904475073</v>
      </c>
      <c r="E344" t="str">
        <f t="shared" si="20"/>
        <v>C</v>
      </c>
    </row>
    <row r="345" spans="1:5" x14ac:dyDescent="0.3">
      <c r="A345" t="s">
        <v>1265</v>
      </c>
      <c r="B345">
        <v>534.57695999999999</v>
      </c>
      <c r="C345" s="10">
        <f t="shared" si="18"/>
        <v>3.4949209398954024E-4</v>
      </c>
      <c r="D345" s="10">
        <f t="shared" si="19"/>
        <v>0.99961314113874022</v>
      </c>
      <c r="E345" t="str">
        <f t="shared" si="20"/>
        <v>C</v>
      </c>
    </row>
    <row r="346" spans="1:5" x14ac:dyDescent="0.3">
      <c r="A346" t="s">
        <v>817</v>
      </c>
      <c r="B346">
        <v>524.81174999999996</v>
      </c>
      <c r="C346" s="10">
        <f t="shared" si="18"/>
        <v>3.4310786132237176E-4</v>
      </c>
      <c r="D346" s="10">
        <f t="shared" si="19"/>
        <v>0.99995624900006264</v>
      </c>
      <c r="E346" t="str">
        <f t="shared" si="20"/>
        <v>C</v>
      </c>
    </row>
    <row r="347" spans="1:5" x14ac:dyDescent="0.3">
      <c r="A347" t="s">
        <v>1032</v>
      </c>
      <c r="B347">
        <v>66.920760000000001</v>
      </c>
      <c r="C347" s="10">
        <f t="shared" si="18"/>
        <v>4.3750999937916261E-5</v>
      </c>
      <c r="D347" s="10">
        <f t="shared" si="19"/>
        <v>1.0000000000000004</v>
      </c>
      <c r="E347" t="str">
        <f t="shared" si="20"/>
        <v>C</v>
      </c>
    </row>
    <row r="348" spans="1:5" x14ac:dyDescent="0.3">
      <c r="A348" s="14" t="s">
        <v>729</v>
      </c>
      <c r="B348" s="14">
        <v>1743736.7169183204</v>
      </c>
      <c r="D348" s="10"/>
    </row>
    <row r="349" spans="1:5" x14ac:dyDescent="0.3">
      <c r="A349" t="s">
        <v>781</v>
      </c>
      <c r="B349">
        <v>109244</v>
      </c>
      <c r="C349" s="10">
        <f>B349/$B$348</f>
        <v>6.2649366122808539E-2</v>
      </c>
      <c r="D349" s="10">
        <f t="shared" si="19"/>
        <v>6.2649366122808539E-2</v>
      </c>
      <c r="E349" t="str">
        <f t="shared" si="20"/>
        <v>A</v>
      </c>
    </row>
    <row r="350" spans="1:5" x14ac:dyDescent="0.3">
      <c r="A350" t="s">
        <v>1345</v>
      </c>
      <c r="B350">
        <v>82141.339799999987</v>
      </c>
      <c r="C350" s="10">
        <f t="shared" ref="C350:C413" si="21">B350/$B$348</f>
        <v>4.7106503523747061E-2</v>
      </c>
      <c r="D350" s="10">
        <f t="shared" si="19"/>
        <v>0.10975586964655559</v>
      </c>
      <c r="E350" t="str">
        <f t="shared" si="20"/>
        <v>A</v>
      </c>
    </row>
    <row r="351" spans="1:5" x14ac:dyDescent="0.3">
      <c r="A351" t="s">
        <v>1010</v>
      </c>
      <c r="B351">
        <v>79548.755999999994</v>
      </c>
      <c r="C351" s="10">
        <f t="shared" si="21"/>
        <v>4.5619705789406849E-2</v>
      </c>
      <c r="D351" s="10">
        <f t="shared" si="19"/>
        <v>0.15537557543596245</v>
      </c>
      <c r="E351" t="str">
        <f t="shared" si="20"/>
        <v>A</v>
      </c>
    </row>
    <row r="352" spans="1:5" x14ac:dyDescent="0.3">
      <c r="A352" t="s">
        <v>957</v>
      </c>
      <c r="B352">
        <v>66988.771199999988</v>
      </c>
      <c r="C352" s="10">
        <f t="shared" si="21"/>
        <v>3.8416792254273475E-2</v>
      </c>
      <c r="D352" s="10">
        <f t="shared" si="19"/>
        <v>0.19379236769023592</v>
      </c>
      <c r="E352" t="str">
        <f t="shared" si="20"/>
        <v>A</v>
      </c>
    </row>
    <row r="353" spans="1:5" x14ac:dyDescent="0.3">
      <c r="A353" t="s">
        <v>814</v>
      </c>
      <c r="B353">
        <v>60292.805299999993</v>
      </c>
      <c r="C353" s="10">
        <f t="shared" si="21"/>
        <v>3.4576782558409715E-2</v>
      </c>
      <c r="D353" s="10">
        <f t="shared" si="19"/>
        <v>0.22836915024864562</v>
      </c>
      <c r="E353" t="str">
        <f t="shared" si="20"/>
        <v>A</v>
      </c>
    </row>
    <row r="354" spans="1:5" x14ac:dyDescent="0.3">
      <c r="A354" t="s">
        <v>1324</v>
      </c>
      <c r="B354">
        <v>51768.181920000003</v>
      </c>
      <c r="C354" s="10">
        <f t="shared" si="21"/>
        <v>2.9688072412381802E-2</v>
      </c>
      <c r="D354" s="10">
        <f t="shared" si="19"/>
        <v>0.25805722266102743</v>
      </c>
      <c r="E354" t="str">
        <f t="shared" si="20"/>
        <v>A</v>
      </c>
    </row>
    <row r="355" spans="1:5" x14ac:dyDescent="0.3">
      <c r="A355" t="s">
        <v>1356</v>
      </c>
      <c r="B355">
        <v>50090.397499999999</v>
      </c>
      <c r="C355" s="10">
        <f t="shared" si="21"/>
        <v>2.8725894806254929E-2</v>
      </c>
      <c r="D355" s="10">
        <f t="shared" si="19"/>
        <v>0.28678311746728236</v>
      </c>
      <c r="E355" t="str">
        <f t="shared" si="20"/>
        <v>A</v>
      </c>
    </row>
    <row r="356" spans="1:5" x14ac:dyDescent="0.3">
      <c r="A356" t="s">
        <v>1091</v>
      </c>
      <c r="B356">
        <v>49336.511399999996</v>
      </c>
      <c r="C356" s="10">
        <f t="shared" si="21"/>
        <v>2.8293555398197768E-2</v>
      </c>
      <c r="D356" s="10">
        <f t="shared" si="19"/>
        <v>0.31507667286548013</v>
      </c>
      <c r="E356" t="str">
        <f t="shared" si="20"/>
        <v>A</v>
      </c>
    </row>
    <row r="357" spans="1:5" x14ac:dyDescent="0.3">
      <c r="A357" t="s">
        <v>937</v>
      </c>
      <c r="B357">
        <v>47962.717579999997</v>
      </c>
      <c r="C357" s="10">
        <f t="shared" si="21"/>
        <v>2.7505710646939744E-2</v>
      </c>
      <c r="D357" s="10">
        <f t="shared" si="19"/>
        <v>0.34258238351241987</v>
      </c>
      <c r="E357" t="str">
        <f t="shared" si="20"/>
        <v>A</v>
      </c>
    </row>
    <row r="358" spans="1:5" x14ac:dyDescent="0.3">
      <c r="A358" t="s">
        <v>1116</v>
      </c>
      <c r="B358">
        <v>47693.373</v>
      </c>
      <c r="C358" s="10">
        <f t="shared" si="21"/>
        <v>2.7351246628727174E-2</v>
      </c>
      <c r="D358" s="10">
        <f t="shared" si="19"/>
        <v>0.36993363014114705</v>
      </c>
      <c r="E358" t="str">
        <f t="shared" si="20"/>
        <v>A</v>
      </c>
    </row>
    <row r="359" spans="1:5" x14ac:dyDescent="0.3">
      <c r="A359" t="s">
        <v>1110</v>
      </c>
      <c r="B359">
        <v>43553.493060000001</v>
      </c>
      <c r="C359" s="10">
        <f t="shared" si="21"/>
        <v>2.4977103846830405E-2</v>
      </c>
      <c r="D359" s="10">
        <f t="shared" si="19"/>
        <v>0.39491073398797744</v>
      </c>
      <c r="E359" t="str">
        <f t="shared" si="20"/>
        <v>A</v>
      </c>
    </row>
    <row r="360" spans="1:5" x14ac:dyDescent="0.3">
      <c r="A360" t="s">
        <v>1213</v>
      </c>
      <c r="B360">
        <v>40488.792960000006</v>
      </c>
      <c r="C360" s="10">
        <f t="shared" si="21"/>
        <v>2.32195563511189E-2</v>
      </c>
      <c r="D360" s="10">
        <f t="shared" si="19"/>
        <v>0.41813029033909632</v>
      </c>
      <c r="E360" t="str">
        <f t="shared" si="20"/>
        <v>A</v>
      </c>
    </row>
    <row r="361" spans="1:5" x14ac:dyDescent="0.3">
      <c r="A361" t="s">
        <v>1036</v>
      </c>
      <c r="B361">
        <v>39686.4182</v>
      </c>
      <c r="C361" s="10">
        <f t="shared" si="21"/>
        <v>2.2759409614392479E-2</v>
      </c>
      <c r="D361" s="10">
        <f t="shared" si="19"/>
        <v>0.44088969995348881</v>
      </c>
      <c r="E361" t="str">
        <f t="shared" si="20"/>
        <v>A</v>
      </c>
    </row>
    <row r="362" spans="1:5" x14ac:dyDescent="0.3">
      <c r="A362" t="s">
        <v>1056</v>
      </c>
      <c r="B362">
        <v>39546.774539999999</v>
      </c>
      <c r="C362" s="10">
        <f t="shared" si="21"/>
        <v>2.2679326618694144E-2</v>
      </c>
      <c r="D362" s="10">
        <f t="shared" si="19"/>
        <v>0.46356902657218296</v>
      </c>
      <c r="E362" t="str">
        <f t="shared" si="20"/>
        <v>A</v>
      </c>
    </row>
    <row r="363" spans="1:5" x14ac:dyDescent="0.3">
      <c r="A363" t="s">
        <v>782</v>
      </c>
      <c r="B363">
        <v>35621.302319999995</v>
      </c>
      <c r="C363" s="10">
        <f t="shared" si="21"/>
        <v>2.0428142605698515E-2</v>
      </c>
      <c r="D363" s="10">
        <f t="shared" si="19"/>
        <v>0.48399716917788149</v>
      </c>
      <c r="E363" t="str">
        <f t="shared" si="20"/>
        <v>A</v>
      </c>
    </row>
    <row r="364" spans="1:5" x14ac:dyDescent="0.3">
      <c r="A364" t="s">
        <v>1087</v>
      </c>
      <c r="B364">
        <v>34816.968000000001</v>
      </c>
      <c r="C364" s="10">
        <f t="shared" si="21"/>
        <v>1.9966872098404569E-2</v>
      </c>
      <c r="D364" s="10">
        <f t="shared" si="19"/>
        <v>0.50396404127628602</v>
      </c>
      <c r="E364" t="str">
        <f t="shared" si="20"/>
        <v>A</v>
      </c>
    </row>
    <row r="365" spans="1:5" x14ac:dyDescent="0.3">
      <c r="A365" t="s">
        <v>1301</v>
      </c>
      <c r="B365">
        <v>34307.159999999996</v>
      </c>
      <c r="C365" s="10">
        <f t="shared" si="21"/>
        <v>1.9674506860548606E-2</v>
      </c>
      <c r="D365" s="10">
        <f t="shared" si="19"/>
        <v>0.52363854813683464</v>
      </c>
      <c r="E365" t="str">
        <f t="shared" si="20"/>
        <v>A</v>
      </c>
    </row>
    <row r="366" spans="1:5" x14ac:dyDescent="0.3">
      <c r="A366" t="s">
        <v>1113</v>
      </c>
      <c r="B366">
        <v>33200.038079999998</v>
      </c>
      <c r="C366" s="10">
        <f t="shared" si="21"/>
        <v>1.903959339611425E-2</v>
      </c>
      <c r="D366" s="10">
        <f t="shared" si="19"/>
        <v>0.54267814153294891</v>
      </c>
      <c r="E366" t="str">
        <f t="shared" si="20"/>
        <v>A</v>
      </c>
    </row>
    <row r="367" spans="1:5" x14ac:dyDescent="0.3">
      <c r="A367" t="s">
        <v>1357</v>
      </c>
      <c r="B367">
        <v>32704.386400000003</v>
      </c>
      <c r="C367" s="10">
        <f t="shared" si="21"/>
        <v>1.875534653981363E-2</v>
      </c>
      <c r="D367" s="10">
        <f t="shared" si="19"/>
        <v>0.5614334880727625</v>
      </c>
      <c r="E367" t="str">
        <f t="shared" si="20"/>
        <v>A</v>
      </c>
    </row>
    <row r="368" spans="1:5" x14ac:dyDescent="0.3">
      <c r="A368" t="s">
        <v>779</v>
      </c>
      <c r="B368">
        <v>32506.559399999998</v>
      </c>
      <c r="C368" s="10">
        <f t="shared" si="21"/>
        <v>1.8641896499976413E-2</v>
      </c>
      <c r="D368" s="10">
        <f t="shared" si="19"/>
        <v>0.58007538457273888</v>
      </c>
      <c r="E368" t="str">
        <f t="shared" si="20"/>
        <v>A</v>
      </c>
    </row>
    <row r="369" spans="1:5" x14ac:dyDescent="0.3">
      <c r="A369" t="s">
        <v>1147</v>
      </c>
      <c r="B369">
        <v>31513.423040000001</v>
      </c>
      <c r="C369" s="10">
        <f t="shared" si="21"/>
        <v>1.8072351596571987E-2</v>
      </c>
      <c r="D369" s="10">
        <f t="shared" si="19"/>
        <v>0.59814773616931083</v>
      </c>
      <c r="E369" t="str">
        <f t="shared" si="20"/>
        <v>A</v>
      </c>
    </row>
    <row r="370" spans="1:5" x14ac:dyDescent="0.3">
      <c r="A370" t="s">
        <v>1229</v>
      </c>
      <c r="B370">
        <v>30692.47896</v>
      </c>
      <c r="C370" s="10">
        <f t="shared" si="21"/>
        <v>1.7601555706323806E-2</v>
      </c>
      <c r="D370" s="10">
        <f t="shared" si="19"/>
        <v>0.61574929187563465</v>
      </c>
      <c r="E370" t="str">
        <f t="shared" si="20"/>
        <v>A</v>
      </c>
    </row>
    <row r="371" spans="1:5" x14ac:dyDescent="0.3">
      <c r="A371" t="s">
        <v>960</v>
      </c>
      <c r="B371">
        <v>30479.418970000002</v>
      </c>
      <c r="C371" s="10">
        <f t="shared" si="21"/>
        <v>1.7479369835066511E-2</v>
      </c>
      <c r="D371" s="10">
        <f t="shared" si="19"/>
        <v>0.63322866171070114</v>
      </c>
      <c r="E371" t="str">
        <f t="shared" si="20"/>
        <v>A</v>
      </c>
    </row>
    <row r="372" spans="1:5" x14ac:dyDescent="0.3">
      <c r="A372" t="s">
        <v>1354</v>
      </c>
      <c r="B372">
        <v>30229.994880000002</v>
      </c>
      <c r="C372" s="10">
        <f t="shared" si="21"/>
        <v>1.7336329840794439E-2</v>
      </c>
      <c r="D372" s="10">
        <f t="shared" si="19"/>
        <v>0.65056499155149561</v>
      </c>
      <c r="E372" t="str">
        <f t="shared" si="20"/>
        <v>A</v>
      </c>
    </row>
    <row r="373" spans="1:5" x14ac:dyDescent="0.3">
      <c r="A373" t="s">
        <v>1282</v>
      </c>
      <c r="B373">
        <v>29673.454499999993</v>
      </c>
      <c r="C373" s="10">
        <f t="shared" si="21"/>
        <v>1.701716446760463E-2</v>
      </c>
      <c r="D373" s="10">
        <f t="shared" si="19"/>
        <v>0.6675821560191002</v>
      </c>
      <c r="E373" t="str">
        <f t="shared" si="20"/>
        <v>A</v>
      </c>
    </row>
    <row r="374" spans="1:5" x14ac:dyDescent="0.3">
      <c r="A374" t="s">
        <v>878</v>
      </c>
      <c r="B374">
        <v>25672.127039999999</v>
      </c>
      <c r="C374" s="10">
        <f t="shared" si="21"/>
        <v>1.472247891033112E-2</v>
      </c>
      <c r="D374" s="10">
        <f t="shared" si="19"/>
        <v>0.68230463492943128</v>
      </c>
      <c r="E374" t="str">
        <f t="shared" si="20"/>
        <v>A</v>
      </c>
    </row>
    <row r="375" spans="1:5" x14ac:dyDescent="0.3">
      <c r="A375" t="s">
        <v>1230</v>
      </c>
      <c r="B375">
        <v>25249.613219999999</v>
      </c>
      <c r="C375" s="10">
        <f t="shared" si="21"/>
        <v>1.4480175232315611E-2</v>
      </c>
      <c r="D375" s="10">
        <f t="shared" si="19"/>
        <v>0.69678481016174687</v>
      </c>
      <c r="E375" t="str">
        <f t="shared" si="20"/>
        <v>A</v>
      </c>
    </row>
    <row r="376" spans="1:5" x14ac:dyDescent="0.3">
      <c r="A376" t="s">
        <v>1217</v>
      </c>
      <c r="B376">
        <v>21908.731650000002</v>
      </c>
      <c r="C376" s="10">
        <f t="shared" si="21"/>
        <v>1.2564242891391868E-2</v>
      </c>
      <c r="D376" s="10">
        <f t="shared" si="19"/>
        <v>0.70934905305313878</v>
      </c>
      <c r="E376" t="str">
        <f t="shared" si="20"/>
        <v>A</v>
      </c>
    </row>
    <row r="377" spans="1:5" x14ac:dyDescent="0.3">
      <c r="A377" t="s">
        <v>818</v>
      </c>
      <c r="B377">
        <v>21062.61248</v>
      </c>
      <c r="C377" s="10">
        <f t="shared" si="21"/>
        <v>1.2079009563567392E-2</v>
      </c>
      <c r="D377" s="10">
        <f t="shared" si="19"/>
        <v>0.72142806261670622</v>
      </c>
      <c r="E377" t="str">
        <f t="shared" si="20"/>
        <v>A</v>
      </c>
    </row>
    <row r="378" spans="1:5" x14ac:dyDescent="0.3">
      <c r="A378" t="s">
        <v>763</v>
      </c>
      <c r="B378">
        <v>20084.133720000002</v>
      </c>
      <c r="C378" s="10">
        <f t="shared" si="21"/>
        <v>1.1517870516309588E-2</v>
      </c>
      <c r="D378" s="10">
        <f t="shared" si="19"/>
        <v>0.73294593313301581</v>
      </c>
      <c r="E378" t="str">
        <f t="shared" si="20"/>
        <v>A</v>
      </c>
    </row>
    <row r="379" spans="1:5" x14ac:dyDescent="0.3">
      <c r="A379" t="s">
        <v>1021</v>
      </c>
      <c r="B379">
        <v>20028.787380000002</v>
      </c>
      <c r="C379" s="10">
        <f t="shared" si="21"/>
        <v>1.14861304379692E-2</v>
      </c>
      <c r="D379" s="10">
        <f t="shared" si="19"/>
        <v>0.74443206357098501</v>
      </c>
      <c r="E379" t="str">
        <f t="shared" si="20"/>
        <v>A</v>
      </c>
    </row>
    <row r="380" spans="1:5" x14ac:dyDescent="0.3">
      <c r="A380" t="s">
        <v>755</v>
      </c>
      <c r="B380">
        <v>19903.585040000002</v>
      </c>
      <c r="C380" s="10">
        <f t="shared" si="21"/>
        <v>1.1414329265931446E-2</v>
      </c>
      <c r="D380" s="10">
        <f t="shared" si="19"/>
        <v>0.75584639283691646</v>
      </c>
      <c r="E380" t="str">
        <f t="shared" si="20"/>
        <v>A</v>
      </c>
    </row>
    <row r="381" spans="1:5" x14ac:dyDescent="0.3">
      <c r="A381" t="s">
        <v>1015</v>
      </c>
      <c r="B381">
        <v>19086.34</v>
      </c>
      <c r="C381" s="10">
        <f t="shared" si="21"/>
        <v>1.0945654705104221E-2</v>
      </c>
      <c r="D381" s="10">
        <f t="shared" si="19"/>
        <v>0.76679204754202068</v>
      </c>
      <c r="E381" t="str">
        <f t="shared" si="20"/>
        <v>A</v>
      </c>
    </row>
    <row r="382" spans="1:5" x14ac:dyDescent="0.3">
      <c r="A382" t="s">
        <v>1284</v>
      </c>
      <c r="B382">
        <v>18830.12472</v>
      </c>
      <c r="C382" s="10">
        <f t="shared" si="21"/>
        <v>1.0798720091917428E-2</v>
      </c>
      <c r="D382" s="10">
        <f t="shared" si="19"/>
        <v>0.77759076763393808</v>
      </c>
      <c r="E382" t="str">
        <f t="shared" si="20"/>
        <v>A</v>
      </c>
    </row>
    <row r="383" spans="1:5" x14ac:dyDescent="0.3">
      <c r="A383" t="s">
        <v>1346</v>
      </c>
      <c r="B383">
        <v>18500.693520000001</v>
      </c>
      <c r="C383" s="10">
        <f t="shared" si="21"/>
        <v>1.0609797534513122E-2</v>
      </c>
      <c r="D383" s="10">
        <f t="shared" si="19"/>
        <v>0.78820056516845116</v>
      </c>
      <c r="E383" t="str">
        <f t="shared" si="20"/>
        <v>A</v>
      </c>
    </row>
    <row r="384" spans="1:5" x14ac:dyDescent="0.3">
      <c r="A384" t="s">
        <v>1133</v>
      </c>
      <c r="B384">
        <v>17731.623</v>
      </c>
      <c r="C384" s="10">
        <f t="shared" si="21"/>
        <v>1.0168750149011503E-2</v>
      </c>
      <c r="D384" s="10">
        <f t="shared" si="19"/>
        <v>0.79836931531746269</v>
      </c>
      <c r="E384" t="str">
        <f t="shared" si="20"/>
        <v>A</v>
      </c>
    </row>
    <row r="385" spans="1:5" x14ac:dyDescent="0.3">
      <c r="A385" t="s">
        <v>1051</v>
      </c>
      <c r="B385">
        <v>16306.59375</v>
      </c>
      <c r="C385" s="10">
        <f t="shared" si="21"/>
        <v>9.3515228484827677E-3</v>
      </c>
      <c r="D385" s="10">
        <f t="shared" si="19"/>
        <v>0.80772083816594542</v>
      </c>
      <c r="E385" t="str">
        <f t="shared" si="20"/>
        <v>B</v>
      </c>
    </row>
    <row r="386" spans="1:5" x14ac:dyDescent="0.3">
      <c r="A386" t="s">
        <v>863</v>
      </c>
      <c r="B386">
        <v>16071.44868</v>
      </c>
      <c r="C386" s="10">
        <f t="shared" si="21"/>
        <v>9.2166716018934492E-3</v>
      </c>
      <c r="D386" s="10">
        <f t="shared" si="19"/>
        <v>0.81693750976783885</v>
      </c>
      <c r="E386" t="str">
        <f t="shared" si="20"/>
        <v>B</v>
      </c>
    </row>
    <row r="387" spans="1:5" x14ac:dyDescent="0.3">
      <c r="A387" t="s">
        <v>1240</v>
      </c>
      <c r="B387">
        <v>15323.926799999999</v>
      </c>
      <c r="C387" s="10">
        <f t="shared" si="21"/>
        <v>8.7879819535381151E-3</v>
      </c>
      <c r="D387" s="10">
        <f t="shared" si="19"/>
        <v>0.82572549172137699</v>
      </c>
      <c r="E387" t="str">
        <f t="shared" si="20"/>
        <v>B</v>
      </c>
    </row>
    <row r="388" spans="1:5" x14ac:dyDescent="0.3">
      <c r="A388" t="s">
        <v>949</v>
      </c>
      <c r="B388">
        <v>15253.069799999999</v>
      </c>
      <c r="C388" s="10">
        <f t="shared" si="21"/>
        <v>8.7473468052886565E-3</v>
      </c>
      <c r="D388" s="10">
        <f t="shared" ref="D388:D431" si="22">D387+C388</f>
        <v>0.83447283852666565</v>
      </c>
      <c r="E388" t="str">
        <f t="shared" si="20"/>
        <v>B</v>
      </c>
    </row>
    <row r="389" spans="1:5" x14ac:dyDescent="0.3">
      <c r="A389" t="s">
        <v>1200</v>
      </c>
      <c r="B389">
        <v>14261.92439</v>
      </c>
      <c r="C389" s="10">
        <f t="shared" si="21"/>
        <v>8.1789436740225801E-3</v>
      </c>
      <c r="D389" s="10">
        <f t="shared" si="22"/>
        <v>0.84265178220068826</v>
      </c>
      <c r="E389" t="str">
        <f t="shared" si="20"/>
        <v>B</v>
      </c>
    </row>
    <row r="390" spans="1:5" x14ac:dyDescent="0.3">
      <c r="A390" t="s">
        <v>1309</v>
      </c>
      <c r="B390">
        <v>13882.6016</v>
      </c>
      <c r="C390" s="10">
        <f t="shared" si="21"/>
        <v>7.9614092341500457E-3</v>
      </c>
      <c r="D390" s="10">
        <f t="shared" si="22"/>
        <v>0.85061319143483827</v>
      </c>
      <c r="E390" t="str">
        <f t="shared" ref="E390:E453" si="23">IF(D390&lt;=80%,"A",IF(D390&lt;=95%,"B","C"))</f>
        <v>B</v>
      </c>
    </row>
    <row r="391" spans="1:5" x14ac:dyDescent="0.3">
      <c r="A391" t="s">
        <v>736</v>
      </c>
      <c r="B391">
        <v>13237.307788319999</v>
      </c>
      <c r="C391" s="10">
        <f t="shared" si="21"/>
        <v>7.5913454479034498E-3</v>
      </c>
      <c r="D391" s="10">
        <f t="shared" si="22"/>
        <v>0.85820453688274168</v>
      </c>
      <c r="E391" t="str">
        <f t="shared" si="23"/>
        <v>B</v>
      </c>
    </row>
    <row r="392" spans="1:5" x14ac:dyDescent="0.3">
      <c r="A392" t="s">
        <v>1114</v>
      </c>
      <c r="B392">
        <v>12881.097599999999</v>
      </c>
      <c r="C392" s="10">
        <f t="shared" si="21"/>
        <v>7.3870656475964842E-3</v>
      </c>
      <c r="D392" s="10">
        <f t="shared" si="22"/>
        <v>0.86559160253033818</v>
      </c>
      <c r="E392" t="str">
        <f t="shared" si="23"/>
        <v>B</v>
      </c>
    </row>
    <row r="393" spans="1:5" x14ac:dyDescent="0.3">
      <c r="A393" t="s">
        <v>1308</v>
      </c>
      <c r="B393">
        <v>12091.190399999999</v>
      </c>
      <c r="C393" s="10">
        <f t="shared" si="21"/>
        <v>6.9340688205319079E-3</v>
      </c>
      <c r="D393" s="10">
        <f t="shared" si="22"/>
        <v>0.87252567135087011</v>
      </c>
      <c r="E393" t="str">
        <f t="shared" si="23"/>
        <v>B</v>
      </c>
    </row>
    <row r="394" spans="1:5" x14ac:dyDescent="0.3">
      <c r="A394" t="s">
        <v>857</v>
      </c>
      <c r="B394">
        <v>10817.3416</v>
      </c>
      <c r="C394" s="10">
        <f t="shared" si="21"/>
        <v>6.2035406463868724E-3</v>
      </c>
      <c r="D394" s="10">
        <f t="shared" si="22"/>
        <v>0.87872921199725695</v>
      </c>
      <c r="E394" t="str">
        <f t="shared" si="23"/>
        <v>B</v>
      </c>
    </row>
    <row r="395" spans="1:5" x14ac:dyDescent="0.3">
      <c r="A395" t="s">
        <v>1277</v>
      </c>
      <c r="B395">
        <v>10792.637119999999</v>
      </c>
      <c r="C395" s="10">
        <f t="shared" si="21"/>
        <v>6.1893730947374121E-3</v>
      </c>
      <c r="D395" s="10">
        <f t="shared" si="22"/>
        <v>0.88491858509199439</v>
      </c>
      <c r="E395" t="str">
        <f t="shared" si="23"/>
        <v>B</v>
      </c>
    </row>
    <row r="396" spans="1:5" x14ac:dyDescent="0.3">
      <c r="A396" t="s">
        <v>1348</v>
      </c>
      <c r="B396">
        <v>10786.32144</v>
      </c>
      <c r="C396" s="10">
        <f t="shared" si="21"/>
        <v>6.1857511718067752E-3</v>
      </c>
      <c r="D396" s="10">
        <f t="shared" si="22"/>
        <v>0.89110433626380114</v>
      </c>
      <c r="E396" t="str">
        <f t="shared" si="23"/>
        <v>B</v>
      </c>
    </row>
    <row r="397" spans="1:5" x14ac:dyDescent="0.3">
      <c r="A397" t="s">
        <v>775</v>
      </c>
      <c r="B397">
        <v>10558.74</v>
      </c>
      <c r="C397" s="10">
        <f t="shared" si="21"/>
        <v>6.055237523850677E-3</v>
      </c>
      <c r="D397" s="10">
        <f t="shared" si="22"/>
        <v>0.89715957378765188</v>
      </c>
      <c r="E397" t="str">
        <f t="shared" si="23"/>
        <v>B</v>
      </c>
    </row>
    <row r="398" spans="1:5" x14ac:dyDescent="0.3">
      <c r="A398" t="s">
        <v>1237</v>
      </c>
      <c r="B398">
        <v>10189.8891</v>
      </c>
      <c r="C398" s="10">
        <f t="shared" si="21"/>
        <v>5.8437085146709747E-3</v>
      </c>
      <c r="D398" s="10">
        <f t="shared" si="22"/>
        <v>0.90300328230232285</v>
      </c>
      <c r="E398" t="str">
        <f t="shared" si="23"/>
        <v>B</v>
      </c>
    </row>
    <row r="399" spans="1:5" x14ac:dyDescent="0.3">
      <c r="A399" t="s">
        <v>1296</v>
      </c>
      <c r="B399">
        <v>10166.535600000001</v>
      </c>
      <c r="C399" s="10">
        <f t="shared" si="21"/>
        <v>5.8303157244788458E-3</v>
      </c>
      <c r="D399" s="10">
        <f t="shared" si="22"/>
        <v>0.90883359802680175</v>
      </c>
      <c r="E399" t="str">
        <f t="shared" si="23"/>
        <v>B</v>
      </c>
    </row>
    <row r="400" spans="1:5" x14ac:dyDescent="0.3">
      <c r="A400" t="s">
        <v>1251</v>
      </c>
      <c r="B400">
        <v>9807.7842799999999</v>
      </c>
      <c r="C400" s="10">
        <f t="shared" si="21"/>
        <v>5.6245786332544219E-3</v>
      </c>
      <c r="D400" s="10">
        <f t="shared" si="22"/>
        <v>0.91445817666005613</v>
      </c>
      <c r="E400" t="str">
        <f t="shared" si="23"/>
        <v>B</v>
      </c>
    </row>
    <row r="401" spans="1:5" x14ac:dyDescent="0.3">
      <c r="A401" t="s">
        <v>766</v>
      </c>
      <c r="B401">
        <v>9647.3852800000004</v>
      </c>
      <c r="C401" s="10">
        <f t="shared" si="21"/>
        <v>5.5325928429434453E-3</v>
      </c>
      <c r="D401" s="10">
        <f t="shared" si="22"/>
        <v>0.91999076950299963</v>
      </c>
      <c r="E401" t="str">
        <f t="shared" si="23"/>
        <v>B</v>
      </c>
    </row>
    <row r="402" spans="1:5" x14ac:dyDescent="0.3">
      <c r="A402" t="s">
        <v>807</v>
      </c>
      <c r="B402">
        <v>9373.460219999999</v>
      </c>
      <c r="C402" s="10">
        <f t="shared" si="21"/>
        <v>5.3755020061546756E-3</v>
      </c>
      <c r="D402" s="10">
        <f t="shared" si="22"/>
        <v>0.92536627150915429</v>
      </c>
      <c r="E402" t="str">
        <f t="shared" si="23"/>
        <v>B</v>
      </c>
    </row>
    <row r="403" spans="1:5" x14ac:dyDescent="0.3">
      <c r="A403" t="s">
        <v>1263</v>
      </c>
      <c r="B403">
        <v>9262.0686600000008</v>
      </c>
      <c r="C403" s="10">
        <f t="shared" si="21"/>
        <v>5.3116210550229826E-3</v>
      </c>
      <c r="D403" s="10">
        <f t="shared" si="22"/>
        <v>0.93067789256417732</v>
      </c>
      <c r="E403" t="str">
        <f t="shared" si="23"/>
        <v>B</v>
      </c>
    </row>
    <row r="404" spans="1:5" x14ac:dyDescent="0.3">
      <c r="A404" t="s">
        <v>889</v>
      </c>
      <c r="B404">
        <v>8909.6646800000017</v>
      </c>
      <c r="C404" s="10">
        <f t="shared" si="21"/>
        <v>5.1095240431399055E-3</v>
      </c>
      <c r="D404" s="10">
        <f t="shared" si="22"/>
        <v>0.93578741660731724</v>
      </c>
      <c r="E404" t="str">
        <f t="shared" si="23"/>
        <v>B</v>
      </c>
    </row>
    <row r="405" spans="1:5" x14ac:dyDescent="0.3">
      <c r="A405" t="s">
        <v>1065</v>
      </c>
      <c r="B405">
        <v>8764.4065599999994</v>
      </c>
      <c r="C405" s="10">
        <f t="shared" si="21"/>
        <v>5.0262212609075542E-3</v>
      </c>
      <c r="D405" s="10">
        <f t="shared" si="22"/>
        <v>0.94081363786822481</v>
      </c>
      <c r="E405" t="str">
        <f t="shared" si="23"/>
        <v>B</v>
      </c>
    </row>
    <row r="406" spans="1:5" x14ac:dyDescent="0.3">
      <c r="A406" t="s">
        <v>1236</v>
      </c>
      <c r="B406">
        <v>8637.1874499999994</v>
      </c>
      <c r="C406" s="10">
        <f t="shared" si="21"/>
        <v>4.9532635094501941E-3</v>
      </c>
      <c r="D406" s="10">
        <f t="shared" si="22"/>
        <v>0.94576690137767505</v>
      </c>
      <c r="E406" t="str">
        <f t="shared" si="23"/>
        <v>B</v>
      </c>
    </row>
    <row r="407" spans="1:5" x14ac:dyDescent="0.3">
      <c r="A407" t="s">
        <v>932</v>
      </c>
      <c r="B407">
        <v>8349.2224200000001</v>
      </c>
      <c r="C407" s="10">
        <f t="shared" si="21"/>
        <v>4.7881210156286982E-3</v>
      </c>
      <c r="D407" s="10">
        <f t="shared" si="22"/>
        <v>0.95055502239330369</v>
      </c>
      <c r="E407" t="str">
        <f t="shared" si="23"/>
        <v>C</v>
      </c>
    </row>
    <row r="408" spans="1:5" x14ac:dyDescent="0.3">
      <c r="A408" t="s">
        <v>824</v>
      </c>
      <c r="B408">
        <v>8324.8326000000015</v>
      </c>
      <c r="C408" s="10">
        <f t="shared" si="21"/>
        <v>4.7741339155330468E-3</v>
      </c>
      <c r="D408" s="10">
        <f t="shared" si="22"/>
        <v>0.95532915630883675</v>
      </c>
      <c r="E408" t="str">
        <f t="shared" si="23"/>
        <v>C</v>
      </c>
    </row>
    <row r="409" spans="1:5" x14ac:dyDescent="0.3">
      <c r="A409" t="s">
        <v>1269</v>
      </c>
      <c r="B409">
        <v>7823.4472399999995</v>
      </c>
      <c r="C409" s="10">
        <f t="shared" si="21"/>
        <v>4.4865989022851221E-3</v>
      </c>
      <c r="D409" s="10">
        <f t="shared" si="22"/>
        <v>0.95981575521112183</v>
      </c>
      <c r="E409" t="str">
        <f t="shared" si="23"/>
        <v>C</v>
      </c>
    </row>
    <row r="410" spans="1:5" x14ac:dyDescent="0.3">
      <c r="A410" t="s">
        <v>1055</v>
      </c>
      <c r="B410">
        <v>7493.1076000000012</v>
      </c>
      <c r="C410" s="10">
        <f t="shared" si="21"/>
        <v>4.2971553717366558E-3</v>
      </c>
      <c r="D410" s="10">
        <f t="shared" si="22"/>
        <v>0.96411291058285853</v>
      </c>
      <c r="E410" t="str">
        <f t="shared" si="23"/>
        <v>C</v>
      </c>
    </row>
    <row r="411" spans="1:5" x14ac:dyDescent="0.3">
      <c r="A411" t="s">
        <v>890</v>
      </c>
      <c r="B411">
        <v>7203.8047000000006</v>
      </c>
      <c r="C411" s="10">
        <f t="shared" si="21"/>
        <v>4.1312456347946704E-3</v>
      </c>
      <c r="D411" s="10">
        <f t="shared" si="22"/>
        <v>0.96824415621765325</v>
      </c>
      <c r="E411" t="str">
        <f t="shared" si="23"/>
        <v>C</v>
      </c>
    </row>
    <row r="412" spans="1:5" x14ac:dyDescent="0.3">
      <c r="A412" t="s">
        <v>1112</v>
      </c>
      <c r="B412">
        <v>6576.298960000001</v>
      </c>
      <c r="C412" s="10">
        <f t="shared" si="21"/>
        <v>3.7713829709465517E-3</v>
      </c>
      <c r="D412" s="10">
        <f t="shared" si="22"/>
        <v>0.97201553918859984</v>
      </c>
      <c r="E412" t="str">
        <f t="shared" si="23"/>
        <v>C</v>
      </c>
    </row>
    <row r="413" spans="1:5" x14ac:dyDescent="0.3">
      <c r="A413" t="s">
        <v>1169</v>
      </c>
      <c r="B413">
        <v>5546.4642200000008</v>
      </c>
      <c r="C413" s="10">
        <f t="shared" si="21"/>
        <v>3.1807922412749232E-3</v>
      </c>
      <c r="D413" s="10">
        <f t="shared" si="22"/>
        <v>0.97519633142987472</v>
      </c>
      <c r="E413" t="str">
        <f t="shared" si="23"/>
        <v>C</v>
      </c>
    </row>
    <row r="414" spans="1:5" x14ac:dyDescent="0.3">
      <c r="A414" t="s">
        <v>832</v>
      </c>
      <c r="B414">
        <v>5328.4890400000004</v>
      </c>
      <c r="C414" s="10">
        <f t="shared" ref="C414:C431" si="24">B414/$B$348</f>
        <v>3.055787601592148E-3</v>
      </c>
      <c r="D414" s="10">
        <f t="shared" si="22"/>
        <v>0.97825211903146692</v>
      </c>
      <c r="E414" t="str">
        <f t="shared" si="23"/>
        <v>C</v>
      </c>
    </row>
    <row r="415" spans="1:5" x14ac:dyDescent="0.3">
      <c r="A415" t="s">
        <v>1311</v>
      </c>
      <c r="B415">
        <v>4280.6786400000001</v>
      </c>
      <c r="C415" s="10">
        <f t="shared" si="24"/>
        <v>2.4548881711713788E-3</v>
      </c>
      <c r="D415" s="10">
        <f t="shared" si="22"/>
        <v>0.98070700720263826</v>
      </c>
      <c r="E415" t="str">
        <f t="shared" si="23"/>
        <v>C</v>
      </c>
    </row>
    <row r="416" spans="1:5" x14ac:dyDescent="0.3">
      <c r="A416" t="s">
        <v>928</v>
      </c>
      <c r="B416">
        <v>3928.3797600000003</v>
      </c>
      <c r="C416" s="10">
        <f t="shared" si="24"/>
        <v>2.2528514321488663E-3</v>
      </c>
      <c r="D416" s="10">
        <f t="shared" si="22"/>
        <v>0.98295985863478708</v>
      </c>
      <c r="E416" t="str">
        <f t="shared" si="23"/>
        <v>C</v>
      </c>
    </row>
    <row r="417" spans="1:5" x14ac:dyDescent="0.3">
      <c r="A417" t="s">
        <v>1041</v>
      </c>
      <c r="B417">
        <v>3644.3212800000006</v>
      </c>
      <c r="C417" s="10">
        <f t="shared" si="24"/>
        <v>2.089949270805374E-3</v>
      </c>
      <c r="D417" s="10">
        <f t="shared" si="22"/>
        <v>0.98504980790559249</v>
      </c>
      <c r="E417" t="str">
        <f t="shared" si="23"/>
        <v>C</v>
      </c>
    </row>
    <row r="418" spans="1:5" x14ac:dyDescent="0.3">
      <c r="A418" t="s">
        <v>982</v>
      </c>
      <c r="B418">
        <v>3592.04</v>
      </c>
      <c r="C418" s="10">
        <f t="shared" si="24"/>
        <v>2.0599669463565338E-3</v>
      </c>
      <c r="D418" s="10">
        <f t="shared" si="22"/>
        <v>0.98710977485194906</v>
      </c>
      <c r="E418" t="str">
        <f t="shared" si="23"/>
        <v>C</v>
      </c>
    </row>
    <row r="419" spans="1:5" x14ac:dyDescent="0.3">
      <c r="A419" t="s">
        <v>1272</v>
      </c>
      <c r="B419">
        <v>3340.6370000000002</v>
      </c>
      <c r="C419" s="10">
        <f t="shared" si="24"/>
        <v>1.9157920846582031E-3</v>
      </c>
      <c r="D419" s="10">
        <f t="shared" si="22"/>
        <v>0.98902556693660726</v>
      </c>
      <c r="E419" t="str">
        <f t="shared" si="23"/>
        <v>C</v>
      </c>
    </row>
    <row r="420" spans="1:5" x14ac:dyDescent="0.3">
      <c r="A420" t="s">
        <v>1078</v>
      </c>
      <c r="B420">
        <v>3175.1547799999998</v>
      </c>
      <c r="C420" s="10">
        <f t="shared" si="24"/>
        <v>1.8208911638973818E-3</v>
      </c>
      <c r="D420" s="10">
        <f t="shared" si="22"/>
        <v>0.99084645810050465</v>
      </c>
      <c r="E420" t="str">
        <f t="shared" si="23"/>
        <v>C</v>
      </c>
    </row>
    <row r="421" spans="1:5" x14ac:dyDescent="0.3">
      <c r="A421" t="s">
        <v>1172</v>
      </c>
      <c r="B421">
        <v>2795.6384399999997</v>
      </c>
      <c r="C421" s="10">
        <f t="shared" si="24"/>
        <v>1.6032457267635503E-3</v>
      </c>
      <c r="D421" s="10">
        <f t="shared" si="22"/>
        <v>0.99244970382726816</v>
      </c>
      <c r="E421" t="str">
        <f t="shared" si="23"/>
        <v>C</v>
      </c>
    </row>
    <row r="422" spans="1:5" x14ac:dyDescent="0.3">
      <c r="A422" t="s">
        <v>991</v>
      </c>
      <c r="B422">
        <v>2394.1605599999998</v>
      </c>
      <c r="C422" s="10">
        <f t="shared" si="24"/>
        <v>1.3730057621492101E-3</v>
      </c>
      <c r="D422" s="10">
        <f t="shared" si="22"/>
        <v>0.99382270958941732</v>
      </c>
      <c r="E422" t="str">
        <f t="shared" si="23"/>
        <v>C</v>
      </c>
    </row>
    <row r="423" spans="1:5" x14ac:dyDescent="0.3">
      <c r="A423" t="s">
        <v>1353</v>
      </c>
      <c r="B423">
        <v>2355.2113199999999</v>
      </c>
      <c r="C423" s="10">
        <f t="shared" si="24"/>
        <v>1.3506691102784883E-3</v>
      </c>
      <c r="D423" s="10">
        <f t="shared" si="22"/>
        <v>0.9951733786996958</v>
      </c>
      <c r="E423" t="str">
        <f t="shared" si="23"/>
        <v>C</v>
      </c>
    </row>
    <row r="424" spans="1:5" x14ac:dyDescent="0.3">
      <c r="A424" t="s">
        <v>1167</v>
      </c>
      <c r="B424">
        <v>1950.0031200000001</v>
      </c>
      <c r="C424" s="10">
        <f t="shared" si="24"/>
        <v>1.1182898777552905E-3</v>
      </c>
      <c r="D424" s="10">
        <f t="shared" si="22"/>
        <v>0.99629166857745111</v>
      </c>
      <c r="E424" t="str">
        <f t="shared" si="23"/>
        <v>C</v>
      </c>
    </row>
    <row r="425" spans="1:5" x14ac:dyDescent="0.3">
      <c r="A425" t="s">
        <v>842</v>
      </c>
      <c r="B425">
        <v>1660.3999999999999</v>
      </c>
      <c r="C425" s="10">
        <f t="shared" si="24"/>
        <v>9.5220797032616235E-4</v>
      </c>
      <c r="D425" s="10">
        <f t="shared" si="22"/>
        <v>0.99724387654777724</v>
      </c>
      <c r="E425" t="str">
        <f t="shared" si="23"/>
        <v>C</v>
      </c>
    </row>
    <row r="426" spans="1:5" x14ac:dyDescent="0.3">
      <c r="A426" t="s">
        <v>848</v>
      </c>
      <c r="B426">
        <v>1499.22</v>
      </c>
      <c r="C426" s="10">
        <f t="shared" si="24"/>
        <v>8.5977429129871681E-4</v>
      </c>
      <c r="D426" s="10">
        <f t="shared" si="22"/>
        <v>0.99810365083907593</v>
      </c>
      <c r="E426" t="str">
        <f t="shared" si="23"/>
        <v>C</v>
      </c>
    </row>
    <row r="427" spans="1:5" x14ac:dyDescent="0.3">
      <c r="A427" t="s">
        <v>1075</v>
      </c>
      <c r="B427">
        <v>1115.1975999999997</v>
      </c>
      <c r="C427" s="10">
        <f t="shared" si="24"/>
        <v>6.3954471404999234E-4</v>
      </c>
      <c r="D427" s="10">
        <f t="shared" si="22"/>
        <v>0.99874319555312596</v>
      </c>
      <c r="E427" t="str">
        <f t="shared" si="23"/>
        <v>C</v>
      </c>
    </row>
    <row r="428" spans="1:5" x14ac:dyDescent="0.3">
      <c r="A428" t="s">
        <v>1334</v>
      </c>
      <c r="B428">
        <v>1062.5902000000001</v>
      </c>
      <c r="C428" s="10">
        <f t="shared" si="24"/>
        <v>6.0937536595427079E-4</v>
      </c>
      <c r="D428" s="10">
        <f t="shared" si="22"/>
        <v>0.99935257091908025</v>
      </c>
      <c r="E428" t="str">
        <f t="shared" si="23"/>
        <v>C</v>
      </c>
    </row>
    <row r="429" spans="1:5" x14ac:dyDescent="0.3">
      <c r="A429" t="s">
        <v>1045</v>
      </c>
      <c r="B429">
        <v>879.05840000000001</v>
      </c>
      <c r="C429" s="10">
        <f t="shared" si="24"/>
        <v>5.0412335272353884E-4</v>
      </c>
      <c r="D429" s="10">
        <f t="shared" si="22"/>
        <v>0.99985669427180379</v>
      </c>
      <c r="E429" t="str">
        <f t="shared" si="23"/>
        <v>C</v>
      </c>
    </row>
    <row r="430" spans="1:5" x14ac:dyDescent="0.3">
      <c r="A430" t="s">
        <v>788</v>
      </c>
      <c r="B430">
        <v>215.19839999999996</v>
      </c>
      <c r="C430" s="10">
        <f t="shared" si="24"/>
        <v>1.2341220891438063E-4</v>
      </c>
      <c r="D430" s="10">
        <f t="shared" si="22"/>
        <v>0.99998010648071822</v>
      </c>
      <c r="E430" t="str">
        <f t="shared" si="23"/>
        <v>C</v>
      </c>
    </row>
    <row r="431" spans="1:5" x14ac:dyDescent="0.3">
      <c r="A431" t="s">
        <v>846</v>
      </c>
      <c r="B431">
        <v>34.689059999999998</v>
      </c>
      <c r="C431" s="10">
        <f t="shared" si="24"/>
        <v>1.989351928157219E-5</v>
      </c>
      <c r="D431" s="10">
        <f t="shared" si="22"/>
        <v>0.99999999999999978</v>
      </c>
      <c r="E431" t="str">
        <f t="shared" si="23"/>
        <v>C</v>
      </c>
    </row>
    <row r="432" spans="1:5" x14ac:dyDescent="0.3">
      <c r="A432" s="14" t="s">
        <v>730</v>
      </c>
      <c r="B432" s="14">
        <v>1361029.3870599999</v>
      </c>
    </row>
    <row r="433" spans="1:5" x14ac:dyDescent="0.3">
      <c r="A433" t="s">
        <v>1320</v>
      </c>
      <c r="B433">
        <v>68665.574250000005</v>
      </c>
      <c r="C433" s="10">
        <f>B433/$B$432</f>
        <v>5.0451206199394825E-2</v>
      </c>
      <c r="D433" s="10">
        <f>C433</f>
        <v>5.0451206199394825E-2</v>
      </c>
      <c r="E433" t="str">
        <f t="shared" si="23"/>
        <v>A</v>
      </c>
    </row>
    <row r="434" spans="1:5" x14ac:dyDescent="0.3">
      <c r="A434" t="s">
        <v>834</v>
      </c>
      <c r="B434">
        <v>52780.07</v>
      </c>
      <c r="C434" s="10">
        <f t="shared" ref="C434:C497" si="25">B434/$B$432</f>
        <v>3.8779522692020486E-2</v>
      </c>
      <c r="D434" s="10">
        <f>D433+C434</f>
        <v>8.9230728891415312E-2</v>
      </c>
      <c r="E434" t="str">
        <f t="shared" si="23"/>
        <v>A</v>
      </c>
    </row>
    <row r="435" spans="1:5" x14ac:dyDescent="0.3">
      <c r="A435" t="s">
        <v>883</v>
      </c>
      <c r="B435">
        <v>42495.805439999996</v>
      </c>
      <c r="C435" s="10">
        <f t="shared" si="25"/>
        <v>3.1223282791708454E-2</v>
      </c>
      <c r="D435" s="10">
        <f t="shared" ref="D435:D498" si="26">D434+C435</f>
        <v>0.12045401168312377</v>
      </c>
      <c r="E435" t="str">
        <f t="shared" si="23"/>
        <v>A</v>
      </c>
    </row>
    <row r="436" spans="1:5" x14ac:dyDescent="0.3">
      <c r="A436" t="s">
        <v>915</v>
      </c>
      <c r="B436">
        <v>41352.246200000009</v>
      </c>
      <c r="C436" s="10">
        <f t="shared" si="25"/>
        <v>3.0383066371054798E-2</v>
      </c>
      <c r="D436" s="10">
        <f t="shared" si="26"/>
        <v>0.15083707805417856</v>
      </c>
      <c r="E436" t="str">
        <f t="shared" si="23"/>
        <v>A</v>
      </c>
    </row>
    <row r="437" spans="1:5" x14ac:dyDescent="0.3">
      <c r="A437" t="s">
        <v>1162</v>
      </c>
      <c r="B437">
        <v>41138.261999999995</v>
      </c>
      <c r="C437" s="10">
        <f t="shared" si="25"/>
        <v>3.0225844049454349E-2</v>
      </c>
      <c r="D437" s="10">
        <f t="shared" si="26"/>
        <v>0.18106292210363292</v>
      </c>
      <c r="E437" t="str">
        <f t="shared" si="23"/>
        <v>A</v>
      </c>
    </row>
    <row r="438" spans="1:5" x14ac:dyDescent="0.3">
      <c r="A438" t="s">
        <v>1109</v>
      </c>
      <c r="B438">
        <v>38422.022320000004</v>
      </c>
      <c r="C438" s="10">
        <f t="shared" si="25"/>
        <v>2.8230119558988038E-2</v>
      </c>
      <c r="D438" s="10">
        <f t="shared" si="26"/>
        <v>0.20929304166262097</v>
      </c>
      <c r="E438" t="str">
        <f t="shared" si="23"/>
        <v>A</v>
      </c>
    </row>
    <row r="439" spans="1:5" x14ac:dyDescent="0.3">
      <c r="A439" t="s">
        <v>970</v>
      </c>
      <c r="B439">
        <v>37038.581760000001</v>
      </c>
      <c r="C439" s="10">
        <f t="shared" si="25"/>
        <v>2.7213653218765645E-2</v>
      </c>
      <c r="D439" s="10">
        <f t="shared" si="26"/>
        <v>0.23650669488138662</v>
      </c>
      <c r="E439" t="str">
        <f t="shared" si="23"/>
        <v>A</v>
      </c>
    </row>
    <row r="440" spans="1:5" x14ac:dyDescent="0.3">
      <c r="A440" t="s">
        <v>751</v>
      </c>
      <c r="B440">
        <v>35367.211040000002</v>
      </c>
      <c r="C440" s="10">
        <f t="shared" si="25"/>
        <v>2.5985633650716218E-2</v>
      </c>
      <c r="D440" s="10">
        <f t="shared" si="26"/>
        <v>0.26249232853210286</v>
      </c>
      <c r="E440" t="str">
        <f t="shared" si="23"/>
        <v>A</v>
      </c>
    </row>
    <row r="441" spans="1:5" x14ac:dyDescent="0.3">
      <c r="A441" t="s">
        <v>1012</v>
      </c>
      <c r="B441">
        <v>34840.344000000005</v>
      </c>
      <c r="C441" s="10">
        <f t="shared" si="25"/>
        <v>2.559852441927038E-2</v>
      </c>
      <c r="D441" s="10">
        <f t="shared" si="26"/>
        <v>0.28809085295137327</v>
      </c>
      <c r="E441" t="str">
        <f t="shared" si="23"/>
        <v>A</v>
      </c>
    </row>
    <row r="442" spans="1:5" x14ac:dyDescent="0.3">
      <c r="A442" t="s">
        <v>1239</v>
      </c>
      <c r="B442">
        <v>34800.431400000001</v>
      </c>
      <c r="C442" s="10">
        <f t="shared" si="25"/>
        <v>2.5569199115658664E-2</v>
      </c>
      <c r="D442" s="10">
        <f t="shared" si="26"/>
        <v>0.31366005206703196</v>
      </c>
      <c r="E442" t="str">
        <f t="shared" si="23"/>
        <v>A</v>
      </c>
    </row>
    <row r="443" spans="1:5" x14ac:dyDescent="0.3">
      <c r="A443" t="s">
        <v>1287</v>
      </c>
      <c r="B443">
        <v>33551.927499999998</v>
      </c>
      <c r="C443" s="10">
        <f t="shared" si="25"/>
        <v>2.4651875866160772E-2</v>
      </c>
      <c r="D443" s="10">
        <f t="shared" si="26"/>
        <v>0.33831192793319276</v>
      </c>
      <c r="E443" t="str">
        <f t="shared" si="23"/>
        <v>A</v>
      </c>
    </row>
    <row r="444" spans="1:5" x14ac:dyDescent="0.3">
      <c r="A444" t="s">
        <v>1294</v>
      </c>
      <c r="B444">
        <v>33071.3145</v>
      </c>
      <c r="C444" s="10">
        <f t="shared" si="25"/>
        <v>2.4298751235223754E-2</v>
      </c>
      <c r="D444" s="10">
        <f t="shared" si="26"/>
        <v>0.36261067916841649</v>
      </c>
      <c r="E444" t="str">
        <f t="shared" si="23"/>
        <v>A</v>
      </c>
    </row>
    <row r="445" spans="1:5" x14ac:dyDescent="0.3">
      <c r="A445" t="s">
        <v>1360</v>
      </c>
      <c r="B445">
        <v>33017.42</v>
      </c>
      <c r="C445" s="10">
        <f t="shared" si="25"/>
        <v>2.4259152898470408E-2</v>
      </c>
      <c r="D445" s="10">
        <f t="shared" si="26"/>
        <v>0.38686983206688691</v>
      </c>
      <c r="E445" t="str">
        <f t="shared" si="23"/>
        <v>A</v>
      </c>
    </row>
    <row r="446" spans="1:5" x14ac:dyDescent="0.3">
      <c r="A446" t="s">
        <v>1108</v>
      </c>
      <c r="B446">
        <v>31005.24768</v>
      </c>
      <c r="C446" s="10">
        <f t="shared" si="25"/>
        <v>2.2780733446891518E-2</v>
      </c>
      <c r="D446" s="10">
        <f t="shared" si="26"/>
        <v>0.40965056551377843</v>
      </c>
      <c r="E446" t="str">
        <f t="shared" si="23"/>
        <v>A</v>
      </c>
    </row>
    <row r="447" spans="1:5" x14ac:dyDescent="0.3">
      <c r="A447" t="s">
        <v>1156</v>
      </c>
      <c r="B447">
        <v>29627.320319999999</v>
      </c>
      <c r="C447" s="10">
        <f t="shared" si="25"/>
        <v>2.176831786417107E-2</v>
      </c>
      <c r="D447" s="10">
        <f t="shared" si="26"/>
        <v>0.43141888337794948</v>
      </c>
      <c r="E447" t="str">
        <f t="shared" si="23"/>
        <v>A</v>
      </c>
    </row>
    <row r="448" spans="1:5" x14ac:dyDescent="0.3">
      <c r="A448" t="s">
        <v>893</v>
      </c>
      <c r="B448">
        <v>29263.754519999995</v>
      </c>
      <c r="C448" s="10">
        <f t="shared" si="25"/>
        <v>2.1501192258025745E-2</v>
      </c>
      <c r="D448" s="10">
        <f t="shared" si="26"/>
        <v>0.45292007563597525</v>
      </c>
      <c r="E448" t="str">
        <f t="shared" si="23"/>
        <v>A</v>
      </c>
    </row>
    <row r="449" spans="1:5" x14ac:dyDescent="0.3">
      <c r="A449" t="s">
        <v>1160</v>
      </c>
      <c r="B449">
        <v>28626.48</v>
      </c>
      <c r="C449" s="10">
        <f t="shared" si="25"/>
        <v>2.1032962456333813E-2</v>
      </c>
      <c r="D449" s="10">
        <f t="shared" si="26"/>
        <v>0.47395303809230904</v>
      </c>
      <c r="E449" t="str">
        <f t="shared" si="23"/>
        <v>A</v>
      </c>
    </row>
    <row r="450" spans="1:5" x14ac:dyDescent="0.3">
      <c r="A450" t="s">
        <v>1070</v>
      </c>
      <c r="B450">
        <v>28247.74656</v>
      </c>
      <c r="C450" s="10">
        <f t="shared" si="25"/>
        <v>2.0754692608819271E-2</v>
      </c>
      <c r="D450" s="10">
        <f t="shared" si="26"/>
        <v>0.49470773070112833</v>
      </c>
      <c r="E450" t="str">
        <f t="shared" si="23"/>
        <v>A</v>
      </c>
    </row>
    <row r="451" spans="1:5" x14ac:dyDescent="0.3">
      <c r="A451" t="s">
        <v>1168</v>
      </c>
      <c r="B451">
        <v>27249</v>
      </c>
      <c r="C451" s="10">
        <f t="shared" si="25"/>
        <v>2.0020875566001833E-2</v>
      </c>
      <c r="D451" s="10">
        <f t="shared" si="26"/>
        <v>0.51472860626713013</v>
      </c>
      <c r="E451" t="str">
        <f t="shared" si="23"/>
        <v>A</v>
      </c>
    </row>
    <row r="452" spans="1:5" x14ac:dyDescent="0.3">
      <c r="A452" t="s">
        <v>765</v>
      </c>
      <c r="B452">
        <v>26150.364320000001</v>
      </c>
      <c r="C452" s="10">
        <f t="shared" si="25"/>
        <v>1.921366619165232E-2</v>
      </c>
      <c r="D452" s="10">
        <f t="shared" si="26"/>
        <v>0.53394227245878245</v>
      </c>
      <c r="E452" t="str">
        <f t="shared" si="23"/>
        <v>A</v>
      </c>
    </row>
    <row r="453" spans="1:5" x14ac:dyDescent="0.3">
      <c r="A453" t="s">
        <v>936</v>
      </c>
      <c r="B453">
        <v>25299.040000000001</v>
      </c>
      <c r="C453" s="10">
        <f t="shared" si="25"/>
        <v>1.8588165869547615E-2</v>
      </c>
      <c r="D453" s="10">
        <f t="shared" si="26"/>
        <v>0.55253043832833004</v>
      </c>
      <c r="E453" t="str">
        <f t="shared" si="23"/>
        <v>A</v>
      </c>
    </row>
    <row r="454" spans="1:5" x14ac:dyDescent="0.3">
      <c r="A454" t="s">
        <v>947</v>
      </c>
      <c r="B454">
        <v>24223.05</v>
      </c>
      <c r="C454" s="10">
        <f t="shared" si="25"/>
        <v>1.7797595136667056E-2</v>
      </c>
      <c r="D454" s="10">
        <f t="shared" si="26"/>
        <v>0.57032803346499705</v>
      </c>
      <c r="E454" t="str">
        <f t="shared" ref="E454:E520" si="27">IF(D454&lt;=80%,"A",IF(D454&lt;=95%,"B","C"))</f>
        <v>A</v>
      </c>
    </row>
    <row r="455" spans="1:5" x14ac:dyDescent="0.3">
      <c r="A455" t="s">
        <v>841</v>
      </c>
      <c r="B455">
        <v>23687.524440000001</v>
      </c>
      <c r="C455" s="10">
        <f t="shared" si="25"/>
        <v>1.7404124161615738E-2</v>
      </c>
      <c r="D455" s="10">
        <f t="shared" si="26"/>
        <v>0.58773215762661279</v>
      </c>
      <c r="E455" t="str">
        <f t="shared" si="27"/>
        <v>A</v>
      </c>
    </row>
    <row r="456" spans="1:5" x14ac:dyDescent="0.3">
      <c r="A456" t="s">
        <v>1317</v>
      </c>
      <c r="B456">
        <v>22676.312610000001</v>
      </c>
      <c r="C456" s="10">
        <f t="shared" si="25"/>
        <v>1.66611484113387E-2</v>
      </c>
      <c r="D456" s="10">
        <f t="shared" si="26"/>
        <v>0.60439330603795149</v>
      </c>
      <c r="E456" t="str">
        <f t="shared" si="27"/>
        <v>A</v>
      </c>
    </row>
    <row r="457" spans="1:5" x14ac:dyDescent="0.3">
      <c r="A457" t="s">
        <v>1054</v>
      </c>
      <c r="B457">
        <v>22380.204000000002</v>
      </c>
      <c r="C457" s="10">
        <f t="shared" si="25"/>
        <v>1.6443586165574387E-2</v>
      </c>
      <c r="D457" s="10">
        <f t="shared" si="26"/>
        <v>0.62083689220352589</v>
      </c>
      <c r="E457" t="str">
        <f t="shared" si="27"/>
        <v>A</v>
      </c>
    </row>
    <row r="458" spans="1:5" x14ac:dyDescent="0.3">
      <c r="A458" t="s">
        <v>930</v>
      </c>
      <c r="B458">
        <v>21679.749799999998</v>
      </c>
      <c r="C458" s="10">
        <f t="shared" si="25"/>
        <v>1.5928935852613051E-2</v>
      </c>
      <c r="D458" s="10">
        <f t="shared" si="26"/>
        <v>0.63676582805613891</v>
      </c>
      <c r="E458" t="str">
        <f t="shared" si="27"/>
        <v>A</v>
      </c>
    </row>
    <row r="459" spans="1:5" x14ac:dyDescent="0.3">
      <c r="A459" t="s">
        <v>959</v>
      </c>
      <c r="B459">
        <v>21573.6495</v>
      </c>
      <c r="C459" s="10">
        <f t="shared" si="25"/>
        <v>1.5850979931154818E-2</v>
      </c>
      <c r="D459" s="10">
        <f t="shared" si="26"/>
        <v>0.65261680798729371</v>
      </c>
      <c r="E459" t="str">
        <f t="shared" si="27"/>
        <v>A</v>
      </c>
    </row>
    <row r="460" spans="1:5" x14ac:dyDescent="0.3">
      <c r="A460" t="s">
        <v>1140</v>
      </c>
      <c r="B460">
        <v>21541.017959999997</v>
      </c>
      <c r="C460" s="10">
        <f t="shared" si="25"/>
        <v>1.582700429895301E-2</v>
      </c>
      <c r="D460" s="10">
        <f t="shared" si="26"/>
        <v>0.66844381228624672</v>
      </c>
      <c r="E460" t="str">
        <f t="shared" si="27"/>
        <v>A</v>
      </c>
    </row>
    <row r="461" spans="1:5" x14ac:dyDescent="0.3">
      <c r="A461" t="s">
        <v>1189</v>
      </c>
      <c r="B461">
        <v>20797.98</v>
      </c>
      <c r="C461" s="10">
        <f t="shared" si="25"/>
        <v>1.5281066079643097E-2</v>
      </c>
      <c r="D461" s="10">
        <f t="shared" si="26"/>
        <v>0.6837248783658898</v>
      </c>
      <c r="E461" t="str">
        <f t="shared" si="27"/>
        <v>A</v>
      </c>
    </row>
    <row r="462" spans="1:5" x14ac:dyDescent="0.3">
      <c r="A462" t="s">
        <v>1100</v>
      </c>
      <c r="B462">
        <v>19547.329920000004</v>
      </c>
      <c r="C462" s="10">
        <f t="shared" si="25"/>
        <v>1.4362165950159808E-2</v>
      </c>
      <c r="D462" s="10">
        <f t="shared" si="26"/>
        <v>0.69808704431604962</v>
      </c>
      <c r="E462" t="str">
        <f t="shared" si="27"/>
        <v>A</v>
      </c>
    </row>
    <row r="463" spans="1:5" x14ac:dyDescent="0.3">
      <c r="A463" t="s">
        <v>825</v>
      </c>
      <c r="B463">
        <v>19510.808000000001</v>
      </c>
      <c r="C463" s="10">
        <f t="shared" si="25"/>
        <v>1.4335331907965543E-2</v>
      </c>
      <c r="D463" s="10">
        <f t="shared" si="26"/>
        <v>0.71242237622401516</v>
      </c>
      <c r="E463" t="str">
        <f t="shared" si="27"/>
        <v>A</v>
      </c>
    </row>
    <row r="464" spans="1:5" x14ac:dyDescent="0.3">
      <c r="A464" t="s">
        <v>1207</v>
      </c>
      <c r="B464">
        <v>19233.355499999998</v>
      </c>
      <c r="C464" s="10">
        <f t="shared" si="25"/>
        <v>1.4131477015016217E-2</v>
      </c>
      <c r="D464" s="10">
        <f t="shared" si="26"/>
        <v>0.72655385323903143</v>
      </c>
      <c r="E464" t="str">
        <f t="shared" si="27"/>
        <v>A</v>
      </c>
    </row>
    <row r="465" spans="1:5" x14ac:dyDescent="0.3">
      <c r="A465" t="s">
        <v>1105</v>
      </c>
      <c r="B465">
        <v>16873.45</v>
      </c>
      <c r="C465" s="10">
        <f t="shared" si="25"/>
        <v>1.2397564784731682E-2</v>
      </c>
      <c r="D465" s="10">
        <f t="shared" si="26"/>
        <v>0.73895141802376307</v>
      </c>
      <c r="E465" t="str">
        <f t="shared" si="27"/>
        <v>A</v>
      </c>
    </row>
    <row r="466" spans="1:5" x14ac:dyDescent="0.3">
      <c r="A466" t="s">
        <v>1146</v>
      </c>
      <c r="B466">
        <v>16134.22069</v>
      </c>
      <c r="C466" s="10">
        <f t="shared" si="25"/>
        <v>1.1854424925278073E-2</v>
      </c>
      <c r="D466" s="10">
        <f t="shared" si="26"/>
        <v>0.75080584294904118</v>
      </c>
      <c r="E466" t="str">
        <f t="shared" si="27"/>
        <v>A</v>
      </c>
    </row>
    <row r="467" spans="1:5" x14ac:dyDescent="0.3">
      <c r="A467" t="s">
        <v>856</v>
      </c>
      <c r="B467">
        <v>16061.972879999999</v>
      </c>
      <c r="C467" s="10">
        <f t="shared" si="25"/>
        <v>1.1801341714373961E-2</v>
      </c>
      <c r="D467" s="10">
        <f t="shared" si="26"/>
        <v>0.76260718466341515</v>
      </c>
      <c r="E467" t="str">
        <f t="shared" si="27"/>
        <v>A</v>
      </c>
    </row>
    <row r="468" spans="1:5" x14ac:dyDescent="0.3">
      <c r="A468" t="s">
        <v>934</v>
      </c>
      <c r="B468">
        <v>14963.769179999999</v>
      </c>
      <c r="C468" s="10">
        <f t="shared" si="25"/>
        <v>1.0994449732142583E-2</v>
      </c>
      <c r="D468" s="10">
        <f t="shared" si="26"/>
        <v>0.77360163439555774</v>
      </c>
      <c r="E468" t="str">
        <f t="shared" si="27"/>
        <v>A</v>
      </c>
    </row>
    <row r="469" spans="1:5" x14ac:dyDescent="0.3">
      <c r="A469" t="s">
        <v>1153</v>
      </c>
      <c r="B469">
        <v>14527.748400000002</v>
      </c>
      <c r="C469" s="10">
        <f t="shared" si="25"/>
        <v>1.0674088699423181E-2</v>
      </c>
      <c r="D469" s="10">
        <f t="shared" si="26"/>
        <v>0.78427572309498095</v>
      </c>
      <c r="E469" t="str">
        <f t="shared" si="27"/>
        <v>A</v>
      </c>
    </row>
    <row r="470" spans="1:5" x14ac:dyDescent="0.3">
      <c r="A470" t="s">
        <v>1174</v>
      </c>
      <c r="B470">
        <v>12668.50728</v>
      </c>
      <c r="C470" s="10">
        <f t="shared" si="25"/>
        <v>9.3080336107698742E-3</v>
      </c>
      <c r="D470" s="10">
        <f t="shared" si="26"/>
        <v>0.79358375670575088</v>
      </c>
      <c r="E470" t="str">
        <f t="shared" si="27"/>
        <v>A</v>
      </c>
    </row>
    <row r="471" spans="1:5" x14ac:dyDescent="0.3">
      <c r="A471" t="s">
        <v>1182</v>
      </c>
      <c r="B471">
        <v>12289.2</v>
      </c>
      <c r="C471" s="10">
        <f t="shared" si="25"/>
        <v>9.0293421412055378E-3</v>
      </c>
      <c r="D471" s="10">
        <f t="shared" si="26"/>
        <v>0.80261309884695642</v>
      </c>
      <c r="E471" t="str">
        <f t="shared" si="27"/>
        <v>B</v>
      </c>
    </row>
    <row r="472" spans="1:5" x14ac:dyDescent="0.3">
      <c r="A472" t="s">
        <v>978</v>
      </c>
      <c r="B472">
        <v>12248.675999999999</v>
      </c>
      <c r="C472" s="10">
        <f t="shared" si="25"/>
        <v>8.9995676187850215E-3</v>
      </c>
      <c r="D472" s="10">
        <f t="shared" si="26"/>
        <v>0.81161266646574148</v>
      </c>
      <c r="E472" t="str">
        <f t="shared" si="27"/>
        <v>B</v>
      </c>
    </row>
    <row r="473" spans="1:5" x14ac:dyDescent="0.3">
      <c r="A473" t="s">
        <v>799</v>
      </c>
      <c r="B473">
        <v>12153.267360000002</v>
      </c>
      <c r="C473" s="10">
        <f t="shared" si="25"/>
        <v>8.929467266134963E-3</v>
      </c>
      <c r="D473" s="10">
        <f t="shared" si="26"/>
        <v>0.82054213373187646</v>
      </c>
      <c r="E473" t="str">
        <f t="shared" si="27"/>
        <v>B</v>
      </c>
    </row>
    <row r="474" spans="1:5" x14ac:dyDescent="0.3">
      <c r="A474" t="s">
        <v>1186</v>
      </c>
      <c r="B474">
        <v>11984.891250000001</v>
      </c>
      <c r="C474" s="10">
        <f t="shared" si="25"/>
        <v>8.805754941036888E-3</v>
      </c>
      <c r="D474" s="10">
        <f t="shared" si="26"/>
        <v>0.82934788867291331</v>
      </c>
      <c r="E474" t="str">
        <f t="shared" si="27"/>
        <v>B</v>
      </c>
    </row>
    <row r="475" spans="1:5" x14ac:dyDescent="0.3">
      <c r="A475" t="s">
        <v>1266</v>
      </c>
      <c r="B475">
        <v>11924.0978</v>
      </c>
      <c r="C475" s="10">
        <f t="shared" si="25"/>
        <v>8.761087683608065E-3</v>
      </c>
      <c r="D475" s="10">
        <f t="shared" si="26"/>
        <v>0.83810897635652137</v>
      </c>
      <c r="E475" t="str">
        <f t="shared" si="27"/>
        <v>B</v>
      </c>
    </row>
    <row r="476" spans="1:5" x14ac:dyDescent="0.3">
      <c r="A476" t="s">
        <v>931</v>
      </c>
      <c r="B476">
        <v>11326.846439999999</v>
      </c>
      <c r="C476" s="10">
        <f t="shared" si="25"/>
        <v>8.3222644181603286E-3</v>
      </c>
      <c r="D476" s="10">
        <f t="shared" si="26"/>
        <v>0.84643124077468168</v>
      </c>
      <c r="E476" t="str">
        <f t="shared" si="27"/>
        <v>B</v>
      </c>
    </row>
    <row r="477" spans="1:5" x14ac:dyDescent="0.3">
      <c r="A477" t="s">
        <v>1126</v>
      </c>
      <c r="B477">
        <v>11285.764020000001</v>
      </c>
      <c r="C477" s="10">
        <f t="shared" si="25"/>
        <v>8.2920796033498709E-3</v>
      </c>
      <c r="D477" s="10">
        <f t="shared" si="26"/>
        <v>0.85472332037803156</v>
      </c>
      <c r="E477" t="str">
        <f t="shared" si="27"/>
        <v>B</v>
      </c>
    </row>
    <row r="478" spans="1:5" x14ac:dyDescent="0.3">
      <c r="A478" t="s">
        <v>796</v>
      </c>
      <c r="B478">
        <v>10947.904</v>
      </c>
      <c r="C478" s="10">
        <f t="shared" si="25"/>
        <v>8.043841010405289E-3</v>
      </c>
      <c r="D478" s="10">
        <f t="shared" si="26"/>
        <v>0.8627671613884369</v>
      </c>
      <c r="E478" t="str">
        <f t="shared" si="27"/>
        <v>B</v>
      </c>
    </row>
    <row r="479" spans="1:5" x14ac:dyDescent="0.3">
      <c r="A479" t="s">
        <v>745</v>
      </c>
      <c r="B479">
        <v>10370.549999999999</v>
      </c>
      <c r="C479" s="10">
        <f t="shared" si="25"/>
        <v>7.6196370913061131E-3</v>
      </c>
      <c r="D479" s="10">
        <f t="shared" si="26"/>
        <v>0.87038679847974298</v>
      </c>
      <c r="E479" t="str">
        <f t="shared" si="27"/>
        <v>B</v>
      </c>
    </row>
    <row r="480" spans="1:5" x14ac:dyDescent="0.3">
      <c r="A480" t="s">
        <v>1154</v>
      </c>
      <c r="B480">
        <v>9984.7160999999978</v>
      </c>
      <c r="C480" s="10">
        <f t="shared" si="25"/>
        <v>7.3361502660631598E-3</v>
      </c>
      <c r="D480" s="10">
        <f t="shared" si="26"/>
        <v>0.87772294874580614</v>
      </c>
      <c r="E480" t="str">
        <f t="shared" si="27"/>
        <v>B</v>
      </c>
    </row>
    <row r="481" spans="1:5" x14ac:dyDescent="0.3">
      <c r="A481" t="s">
        <v>975</v>
      </c>
      <c r="B481">
        <v>9684.8756000000012</v>
      </c>
      <c r="C481" s="10">
        <f t="shared" si="25"/>
        <v>7.1158460589308727E-3</v>
      </c>
      <c r="D481" s="10">
        <f t="shared" si="26"/>
        <v>0.88483879480473704</v>
      </c>
      <c r="E481" t="str">
        <f t="shared" si="27"/>
        <v>B</v>
      </c>
    </row>
    <row r="482" spans="1:5" x14ac:dyDescent="0.3">
      <c r="A482" t="s">
        <v>1222</v>
      </c>
      <c r="B482">
        <v>9614.4403999999995</v>
      </c>
      <c r="C482" s="10">
        <f t="shared" si="25"/>
        <v>7.0640946414599016E-3</v>
      </c>
      <c r="D482" s="10">
        <f t="shared" si="26"/>
        <v>0.89190288944619689</v>
      </c>
      <c r="E482" t="str">
        <f t="shared" si="27"/>
        <v>B</v>
      </c>
    </row>
    <row r="483" spans="1:5" x14ac:dyDescent="0.3">
      <c r="A483" t="s">
        <v>1050</v>
      </c>
      <c r="B483">
        <v>9062.34692</v>
      </c>
      <c r="C483" s="10">
        <f t="shared" si="25"/>
        <v>6.6584505861227916E-3</v>
      </c>
      <c r="D483" s="10">
        <f t="shared" si="26"/>
        <v>0.89856134003231969</v>
      </c>
      <c r="E483" t="str">
        <f t="shared" si="27"/>
        <v>B</v>
      </c>
    </row>
    <row r="484" spans="1:5" x14ac:dyDescent="0.3">
      <c r="A484" t="s">
        <v>1077</v>
      </c>
      <c r="B484">
        <v>8938.8996600000009</v>
      </c>
      <c r="C484" s="10">
        <f t="shared" si="25"/>
        <v>6.5677491940928506E-3</v>
      </c>
      <c r="D484" s="10">
        <f t="shared" si="26"/>
        <v>0.90512908922641255</v>
      </c>
      <c r="E484" t="str">
        <f t="shared" si="27"/>
        <v>B</v>
      </c>
    </row>
    <row r="485" spans="1:5" x14ac:dyDescent="0.3">
      <c r="A485" t="s">
        <v>875</v>
      </c>
      <c r="B485">
        <v>8211.6342000000004</v>
      </c>
      <c r="C485" s="10">
        <f t="shared" si="25"/>
        <v>6.033399629774487E-3</v>
      </c>
      <c r="D485" s="10">
        <f t="shared" si="26"/>
        <v>0.911162488856187</v>
      </c>
      <c r="E485" t="str">
        <f t="shared" si="27"/>
        <v>B</v>
      </c>
    </row>
    <row r="486" spans="1:5" x14ac:dyDescent="0.3">
      <c r="A486" t="s">
        <v>896</v>
      </c>
      <c r="B486">
        <v>8154.5511600000009</v>
      </c>
      <c r="C486" s="10">
        <f t="shared" si="25"/>
        <v>5.9914585515415579E-3</v>
      </c>
      <c r="D486" s="10">
        <f t="shared" si="26"/>
        <v>0.9171539474077286</v>
      </c>
      <c r="E486" t="str">
        <f t="shared" si="27"/>
        <v>B</v>
      </c>
    </row>
    <row r="487" spans="1:5" x14ac:dyDescent="0.3">
      <c r="A487" t="s">
        <v>1037</v>
      </c>
      <c r="B487">
        <v>8093.4784</v>
      </c>
      <c r="C487" s="10">
        <f t="shared" si="25"/>
        <v>5.9465860744439651E-3</v>
      </c>
      <c r="D487" s="10">
        <f t="shared" si="26"/>
        <v>0.92310053348217258</v>
      </c>
      <c r="E487" t="str">
        <f t="shared" si="27"/>
        <v>B</v>
      </c>
    </row>
    <row r="488" spans="1:5" x14ac:dyDescent="0.3">
      <c r="A488" t="s">
        <v>1234</v>
      </c>
      <c r="B488">
        <v>7428.1108999999988</v>
      </c>
      <c r="C488" s="10">
        <f t="shared" si="25"/>
        <v>5.4577152930148573E-3</v>
      </c>
      <c r="D488" s="10">
        <f t="shared" si="26"/>
        <v>0.92855824877518744</v>
      </c>
      <c r="E488" t="str">
        <f t="shared" si="27"/>
        <v>B</v>
      </c>
    </row>
    <row r="489" spans="1:5" x14ac:dyDescent="0.3">
      <c r="A489" t="s">
        <v>1312</v>
      </c>
      <c r="B489">
        <v>7173.3342799999991</v>
      </c>
      <c r="C489" s="10">
        <f t="shared" si="25"/>
        <v>5.2705212306218691E-3</v>
      </c>
      <c r="D489" s="10">
        <f t="shared" si="26"/>
        <v>0.93382877000580933</v>
      </c>
      <c r="E489" t="str">
        <f t="shared" si="27"/>
        <v>B</v>
      </c>
    </row>
    <row r="490" spans="1:5" x14ac:dyDescent="0.3">
      <c r="A490" t="s">
        <v>1002</v>
      </c>
      <c r="B490">
        <v>6946.8</v>
      </c>
      <c r="C490" s="10">
        <f t="shared" si="25"/>
        <v>5.1040778884326593E-3</v>
      </c>
      <c r="D490" s="10">
        <f t="shared" si="26"/>
        <v>0.93893284789424203</v>
      </c>
      <c r="E490" t="str">
        <f t="shared" si="27"/>
        <v>B</v>
      </c>
    </row>
    <row r="491" spans="1:5" x14ac:dyDescent="0.3">
      <c r="A491" t="s">
        <v>972</v>
      </c>
      <c r="B491">
        <v>6684.1875</v>
      </c>
      <c r="C491" s="10">
        <f t="shared" si="25"/>
        <v>4.9111265072965928E-3</v>
      </c>
      <c r="D491" s="10">
        <f t="shared" si="26"/>
        <v>0.94384397440153867</v>
      </c>
      <c r="E491" t="str">
        <f t="shared" si="27"/>
        <v>B</v>
      </c>
    </row>
    <row r="492" spans="1:5" x14ac:dyDescent="0.3">
      <c r="A492" t="s">
        <v>965</v>
      </c>
      <c r="B492">
        <v>5814.6927299999998</v>
      </c>
      <c r="C492" s="10">
        <f t="shared" si="25"/>
        <v>4.2722756652304843E-3</v>
      </c>
      <c r="D492" s="10">
        <f t="shared" si="26"/>
        <v>0.94811625006676914</v>
      </c>
      <c r="E492" t="str">
        <f t="shared" si="27"/>
        <v>B</v>
      </c>
    </row>
    <row r="493" spans="1:5" x14ac:dyDescent="0.3">
      <c r="A493" t="s">
        <v>828</v>
      </c>
      <c r="B493">
        <v>5487.6023999999998</v>
      </c>
      <c r="C493" s="10">
        <f t="shared" si="25"/>
        <v>4.0319499726996586E-3</v>
      </c>
      <c r="D493" s="10">
        <f t="shared" si="26"/>
        <v>0.95214820003946876</v>
      </c>
      <c r="E493" t="str">
        <f t="shared" si="27"/>
        <v>C</v>
      </c>
    </row>
    <row r="494" spans="1:5" x14ac:dyDescent="0.3">
      <c r="A494" t="s">
        <v>737</v>
      </c>
      <c r="B494">
        <v>5225.2710400000005</v>
      </c>
      <c r="C494" s="10">
        <f t="shared" si="25"/>
        <v>3.8392051558028915E-3</v>
      </c>
      <c r="D494" s="10">
        <f t="shared" si="26"/>
        <v>0.9559874051952717</v>
      </c>
      <c r="E494" t="str">
        <f t="shared" si="27"/>
        <v>C</v>
      </c>
    </row>
    <row r="495" spans="1:5" x14ac:dyDescent="0.3">
      <c r="A495" t="s">
        <v>1246</v>
      </c>
      <c r="B495">
        <v>5189.8836000000001</v>
      </c>
      <c r="C495" s="10">
        <f t="shared" si="25"/>
        <v>3.8132046591667079E-3</v>
      </c>
      <c r="D495" s="10">
        <f t="shared" si="26"/>
        <v>0.95980060985443838</v>
      </c>
      <c r="E495" t="str">
        <f t="shared" si="27"/>
        <v>C</v>
      </c>
    </row>
    <row r="496" spans="1:5" x14ac:dyDescent="0.3">
      <c r="A496" t="s">
        <v>1219</v>
      </c>
      <c r="B496">
        <v>5159.7893599999998</v>
      </c>
      <c r="C496" s="10">
        <f t="shared" si="25"/>
        <v>3.791093277674051E-3</v>
      </c>
      <c r="D496" s="10">
        <f t="shared" si="26"/>
        <v>0.9635917031321124</v>
      </c>
      <c r="E496" t="str">
        <f t="shared" si="27"/>
        <v>C</v>
      </c>
    </row>
    <row r="497" spans="1:5" x14ac:dyDescent="0.3">
      <c r="A497" t="s">
        <v>1216</v>
      </c>
      <c r="B497">
        <v>5127.0390600000001</v>
      </c>
      <c r="C497" s="10">
        <f t="shared" si="25"/>
        <v>3.7670303879882194E-3</v>
      </c>
      <c r="D497" s="10">
        <f t="shared" si="26"/>
        <v>0.9673587335201006</v>
      </c>
      <c r="E497" t="str">
        <f t="shared" si="27"/>
        <v>C</v>
      </c>
    </row>
    <row r="498" spans="1:5" x14ac:dyDescent="0.3">
      <c r="A498" t="s">
        <v>1095</v>
      </c>
      <c r="B498">
        <v>4804.4682400000002</v>
      </c>
      <c r="C498" s="10">
        <f t="shared" ref="C498:C517" si="28">B498/$B$432</f>
        <v>3.5300253511632656E-3</v>
      </c>
      <c r="D498" s="10">
        <f t="shared" si="26"/>
        <v>0.97088875887126391</v>
      </c>
      <c r="E498" t="str">
        <f t="shared" si="27"/>
        <v>C</v>
      </c>
    </row>
    <row r="499" spans="1:5" x14ac:dyDescent="0.3">
      <c r="A499" t="s">
        <v>871</v>
      </c>
      <c r="B499">
        <v>4336.2427499999994</v>
      </c>
      <c r="C499" s="10">
        <f t="shared" si="28"/>
        <v>3.1860022944595243E-3</v>
      </c>
      <c r="D499" s="10">
        <f t="shared" ref="D499:D562" si="29">D498+C499</f>
        <v>0.97407476116572345</v>
      </c>
      <c r="E499" t="str">
        <f t="shared" si="27"/>
        <v>C</v>
      </c>
    </row>
    <row r="500" spans="1:5" x14ac:dyDescent="0.3">
      <c r="A500" t="s">
        <v>761</v>
      </c>
      <c r="B500">
        <v>3980.7075</v>
      </c>
      <c r="C500" s="10">
        <f t="shared" si="28"/>
        <v>2.9247770385023388E-3</v>
      </c>
      <c r="D500" s="10">
        <f t="shared" si="29"/>
        <v>0.9769995382042258</v>
      </c>
      <c r="E500" t="str">
        <f t="shared" si="27"/>
        <v>C</v>
      </c>
    </row>
    <row r="501" spans="1:5" x14ac:dyDescent="0.3">
      <c r="A501" t="s">
        <v>1019</v>
      </c>
      <c r="B501">
        <v>3978.6474000000003</v>
      </c>
      <c r="C501" s="10">
        <f t="shared" si="28"/>
        <v>2.9232634047633571E-3</v>
      </c>
      <c r="D501" s="10">
        <f t="shared" si="29"/>
        <v>0.97992280160898915</v>
      </c>
      <c r="E501" t="str">
        <f t="shared" si="27"/>
        <v>C</v>
      </c>
    </row>
    <row r="502" spans="1:5" x14ac:dyDescent="0.3">
      <c r="A502" t="s">
        <v>762</v>
      </c>
      <c r="B502">
        <v>3913.2000000000003</v>
      </c>
      <c r="C502" s="10">
        <f t="shared" si="28"/>
        <v>2.875176713452911E-3</v>
      </c>
      <c r="D502" s="10">
        <f t="shared" si="29"/>
        <v>0.98279797832244209</v>
      </c>
      <c r="E502" t="str">
        <f t="shared" si="27"/>
        <v>C</v>
      </c>
    </row>
    <row r="503" spans="1:5" x14ac:dyDescent="0.3">
      <c r="A503" t="s">
        <v>1061</v>
      </c>
      <c r="B503">
        <v>3799.8031499999997</v>
      </c>
      <c r="C503" s="10">
        <f t="shared" si="28"/>
        <v>2.7918597394932581E-3</v>
      </c>
      <c r="D503" s="10">
        <f t="shared" si="29"/>
        <v>0.98558983806193534</v>
      </c>
      <c r="E503" t="str">
        <f t="shared" si="27"/>
        <v>C</v>
      </c>
    </row>
    <row r="504" spans="1:5" x14ac:dyDescent="0.3">
      <c r="A504" t="s">
        <v>867</v>
      </c>
      <c r="B504">
        <v>3494.4040799999998</v>
      </c>
      <c r="C504" s="10">
        <f t="shared" si="28"/>
        <v>2.5674714397962901E-3</v>
      </c>
      <c r="D504" s="10">
        <f t="shared" si="29"/>
        <v>0.98815730950173164</v>
      </c>
      <c r="E504" t="str">
        <f t="shared" si="27"/>
        <v>C</v>
      </c>
    </row>
    <row r="505" spans="1:5" x14ac:dyDescent="0.3">
      <c r="A505" t="s">
        <v>979</v>
      </c>
      <c r="B505">
        <v>2909.8689199999999</v>
      </c>
      <c r="C505" s="10">
        <f t="shared" si="28"/>
        <v>2.1379912496126878E-3</v>
      </c>
      <c r="D505" s="10">
        <f t="shared" si="29"/>
        <v>0.99029530075134431</v>
      </c>
      <c r="E505" t="str">
        <f t="shared" si="27"/>
        <v>C</v>
      </c>
    </row>
    <row r="506" spans="1:5" x14ac:dyDescent="0.3">
      <c r="A506" t="s">
        <v>862</v>
      </c>
      <c r="B506">
        <v>2642.1686999999997</v>
      </c>
      <c r="C506" s="10">
        <f t="shared" si="28"/>
        <v>1.9413017272958573E-3</v>
      </c>
      <c r="D506" s="10">
        <f t="shared" si="29"/>
        <v>0.99223660247864021</v>
      </c>
      <c r="E506" t="str">
        <f t="shared" si="27"/>
        <v>C</v>
      </c>
    </row>
    <row r="507" spans="1:5" x14ac:dyDescent="0.3">
      <c r="A507" t="s">
        <v>1064</v>
      </c>
      <c r="B507">
        <v>2537.2908000000002</v>
      </c>
      <c r="C507" s="10">
        <f t="shared" si="28"/>
        <v>1.8642439495600294E-3</v>
      </c>
      <c r="D507" s="10">
        <f t="shared" si="29"/>
        <v>0.99410084642820018</v>
      </c>
      <c r="E507" t="str">
        <f t="shared" si="27"/>
        <v>C</v>
      </c>
    </row>
    <row r="508" spans="1:5" x14ac:dyDescent="0.3">
      <c r="A508" t="s">
        <v>1081</v>
      </c>
      <c r="B508">
        <v>2206.8000000000002</v>
      </c>
      <c r="C508" s="10">
        <f t="shared" si="28"/>
        <v>1.6214198025268026E-3</v>
      </c>
      <c r="D508" s="10">
        <f t="shared" si="29"/>
        <v>0.99572226623072702</v>
      </c>
      <c r="E508" t="str">
        <f t="shared" si="27"/>
        <v>C</v>
      </c>
    </row>
    <row r="509" spans="1:5" x14ac:dyDescent="0.3">
      <c r="A509" t="s">
        <v>1145</v>
      </c>
      <c r="B509">
        <v>2059.0056</v>
      </c>
      <c r="C509" s="10">
        <f t="shared" si="28"/>
        <v>1.5128296417226666E-3</v>
      </c>
      <c r="D509" s="10">
        <f t="shared" si="29"/>
        <v>0.99723509587244963</v>
      </c>
      <c r="E509" t="str">
        <f t="shared" si="27"/>
        <v>C</v>
      </c>
    </row>
    <row r="510" spans="1:5" x14ac:dyDescent="0.3">
      <c r="A510" t="s">
        <v>1304</v>
      </c>
      <c r="B510">
        <v>841.00536</v>
      </c>
      <c r="C510" s="10">
        <f t="shared" si="28"/>
        <v>6.1791859014644849E-4</v>
      </c>
      <c r="D510" s="10">
        <f t="shared" si="29"/>
        <v>0.99785301446259611</v>
      </c>
      <c r="E510" t="str">
        <f t="shared" si="27"/>
        <v>C</v>
      </c>
    </row>
    <row r="511" spans="1:5" x14ac:dyDescent="0.3">
      <c r="A511" t="s">
        <v>1016</v>
      </c>
      <c r="B511">
        <v>667.74</v>
      </c>
      <c r="C511" s="10">
        <f t="shared" si="28"/>
        <v>4.9061394731704142E-4</v>
      </c>
      <c r="D511" s="10">
        <f t="shared" si="29"/>
        <v>0.9983436284099132</v>
      </c>
      <c r="E511" t="str">
        <f t="shared" si="27"/>
        <v>C</v>
      </c>
    </row>
    <row r="512" spans="1:5" x14ac:dyDescent="0.3">
      <c r="A512" t="s">
        <v>1264</v>
      </c>
      <c r="B512">
        <v>618.19979999999987</v>
      </c>
      <c r="C512" s="10">
        <f t="shared" si="28"/>
        <v>4.5421488020577696E-4</v>
      </c>
      <c r="D512" s="10">
        <f t="shared" si="29"/>
        <v>0.998797843290119</v>
      </c>
      <c r="E512" t="str">
        <f t="shared" si="27"/>
        <v>C</v>
      </c>
    </row>
    <row r="513" spans="1:5" x14ac:dyDescent="0.3">
      <c r="A513" t="s">
        <v>997</v>
      </c>
      <c r="B513">
        <v>560.36831999999993</v>
      </c>
      <c r="C513" s="10">
        <f t="shared" si="28"/>
        <v>4.1172389466951058E-4</v>
      </c>
      <c r="D513" s="10">
        <f t="shared" si="29"/>
        <v>0.99920956718478848</v>
      </c>
      <c r="E513" t="str">
        <f t="shared" si="27"/>
        <v>C</v>
      </c>
    </row>
    <row r="514" spans="1:5" x14ac:dyDescent="0.3">
      <c r="A514" t="s">
        <v>840</v>
      </c>
      <c r="B514">
        <v>518.65436999999997</v>
      </c>
      <c r="C514" s="10">
        <f t="shared" si="28"/>
        <v>3.8107507077445312E-4</v>
      </c>
      <c r="D514" s="10">
        <f t="shared" si="29"/>
        <v>0.99959064225556293</v>
      </c>
      <c r="E514" t="str">
        <f t="shared" si="27"/>
        <v>C</v>
      </c>
    </row>
    <row r="515" spans="1:5" x14ac:dyDescent="0.3">
      <c r="A515" t="s">
        <v>1318</v>
      </c>
      <c r="B515">
        <v>370.86</v>
      </c>
      <c r="C515" s="10">
        <f t="shared" si="28"/>
        <v>2.7248493201245693E-4</v>
      </c>
      <c r="D515" s="10">
        <f t="shared" si="29"/>
        <v>0.99986312718757542</v>
      </c>
      <c r="E515" t="str">
        <f t="shared" si="27"/>
        <v>C</v>
      </c>
    </row>
    <row r="516" spans="1:5" x14ac:dyDescent="0.3">
      <c r="A516" t="s">
        <v>1226</v>
      </c>
      <c r="B516">
        <v>110.14919999999999</v>
      </c>
      <c r="C516" s="10">
        <f t="shared" si="28"/>
        <v>8.0930802117312511E-5</v>
      </c>
      <c r="D516" s="10">
        <f t="shared" si="29"/>
        <v>0.99994405798969277</v>
      </c>
      <c r="E516" t="str">
        <f t="shared" si="27"/>
        <v>C</v>
      </c>
    </row>
    <row r="517" spans="1:5" x14ac:dyDescent="0.3">
      <c r="A517" t="s">
        <v>1020</v>
      </c>
      <c r="B517">
        <v>76.138720000000006</v>
      </c>
      <c r="C517" s="10">
        <f t="shared" si="28"/>
        <v>5.5942010307705055E-5</v>
      </c>
      <c r="D517" s="10">
        <f t="shared" si="29"/>
        <v>1.0000000000000004</v>
      </c>
      <c r="E517" t="str">
        <f t="shared" si="27"/>
        <v>C</v>
      </c>
    </row>
    <row r="518" spans="1:5" x14ac:dyDescent="0.3">
      <c r="A518" s="14" t="s">
        <v>728</v>
      </c>
      <c r="B518" s="14">
        <v>1535009.1049199991</v>
      </c>
      <c r="C518" s="10"/>
      <c r="D518" s="10"/>
    </row>
    <row r="519" spans="1:5" x14ac:dyDescent="0.3">
      <c r="A519" t="s">
        <v>1271</v>
      </c>
      <c r="B519">
        <v>66260.314239999992</v>
      </c>
      <c r="C519" s="10">
        <f>B519/$B$518</f>
        <v>4.3166072453657084E-2</v>
      </c>
      <c r="D519" s="10">
        <f t="shared" si="29"/>
        <v>4.3166072453657084E-2</v>
      </c>
      <c r="E519" t="str">
        <f t="shared" si="27"/>
        <v>A</v>
      </c>
    </row>
    <row r="520" spans="1:5" x14ac:dyDescent="0.3">
      <c r="A520" t="s">
        <v>1157</v>
      </c>
      <c r="B520">
        <v>58091.634960000003</v>
      </c>
      <c r="C520" s="10">
        <f t="shared" ref="C520:C583" si="30">B520/$B$518</f>
        <v>3.784448885274045E-2</v>
      </c>
      <c r="D520" s="10">
        <f t="shared" si="29"/>
        <v>8.1010561306397527E-2</v>
      </c>
      <c r="E520" t="str">
        <f t="shared" si="27"/>
        <v>A</v>
      </c>
    </row>
    <row r="521" spans="1:5" x14ac:dyDescent="0.3">
      <c r="A521" t="s">
        <v>933</v>
      </c>
      <c r="B521">
        <v>55880.483749999999</v>
      </c>
      <c r="C521" s="10">
        <f t="shared" si="30"/>
        <v>3.6404008009393765E-2</v>
      </c>
      <c r="D521" s="10">
        <f t="shared" si="29"/>
        <v>0.11741456931579129</v>
      </c>
      <c r="E521" t="str">
        <f t="shared" ref="E521:E584" si="31">IF(D521&lt;=80%,"A",IF(D521&lt;=95%,"B","C"))</f>
        <v>A</v>
      </c>
    </row>
    <row r="522" spans="1:5" x14ac:dyDescent="0.3">
      <c r="A522" t="s">
        <v>1289</v>
      </c>
      <c r="B522">
        <v>50545.319219999998</v>
      </c>
      <c r="C522" s="10">
        <f t="shared" si="30"/>
        <v>3.2928351407162694E-2</v>
      </c>
      <c r="D522" s="10">
        <f t="shared" si="29"/>
        <v>0.15034292072295399</v>
      </c>
      <c r="E522" t="str">
        <f t="shared" si="31"/>
        <v>A</v>
      </c>
    </row>
    <row r="523" spans="1:5" x14ac:dyDescent="0.3">
      <c r="A523" t="s">
        <v>776</v>
      </c>
      <c r="B523">
        <v>44863</v>
      </c>
      <c r="C523" s="10">
        <f t="shared" si="30"/>
        <v>2.922653673923201E-2</v>
      </c>
      <c r="D523" s="10">
        <f t="shared" si="29"/>
        <v>0.179569457462186</v>
      </c>
      <c r="E523" t="str">
        <f t="shared" si="31"/>
        <v>A</v>
      </c>
    </row>
    <row r="524" spans="1:5" x14ac:dyDescent="0.3">
      <c r="A524" t="s">
        <v>1090</v>
      </c>
      <c r="B524">
        <v>43907.94</v>
      </c>
      <c r="C524" s="10">
        <f t="shared" si="30"/>
        <v>2.8604351504669657E-2</v>
      </c>
      <c r="D524" s="10">
        <f t="shared" si="29"/>
        <v>0.20817380896685567</v>
      </c>
      <c r="E524" t="str">
        <f t="shared" si="31"/>
        <v>A</v>
      </c>
    </row>
    <row r="525" spans="1:5" x14ac:dyDescent="0.3">
      <c r="A525" t="s">
        <v>829</v>
      </c>
      <c r="B525">
        <v>43209.006119999991</v>
      </c>
      <c r="C525" s="10">
        <f t="shared" si="30"/>
        <v>2.8149022687557243E-2</v>
      </c>
      <c r="D525" s="10">
        <f t="shared" si="29"/>
        <v>0.23632283165441292</v>
      </c>
      <c r="E525" t="str">
        <f t="shared" si="31"/>
        <v>A</v>
      </c>
    </row>
    <row r="526" spans="1:5" x14ac:dyDescent="0.3">
      <c r="A526" t="s">
        <v>1047</v>
      </c>
      <c r="B526">
        <v>40325.31</v>
      </c>
      <c r="C526" s="10">
        <f t="shared" si="30"/>
        <v>2.6270404436527204E-2</v>
      </c>
      <c r="D526" s="10">
        <f t="shared" si="29"/>
        <v>0.26259323609094015</v>
      </c>
      <c r="E526" t="str">
        <f t="shared" si="31"/>
        <v>A</v>
      </c>
    </row>
    <row r="527" spans="1:5" x14ac:dyDescent="0.3">
      <c r="A527" t="s">
        <v>1335</v>
      </c>
      <c r="B527">
        <v>39810.328000000001</v>
      </c>
      <c r="C527" s="10">
        <f t="shared" si="30"/>
        <v>2.5934913266898712E-2</v>
      </c>
      <c r="D527" s="10">
        <f t="shared" si="29"/>
        <v>0.28852814935783888</v>
      </c>
      <c r="E527" t="str">
        <f t="shared" si="31"/>
        <v>A</v>
      </c>
    </row>
    <row r="528" spans="1:5" x14ac:dyDescent="0.3">
      <c r="A528" t="s">
        <v>1115</v>
      </c>
      <c r="B528">
        <v>37562.28</v>
      </c>
      <c r="C528" s="10">
        <f t="shared" si="30"/>
        <v>2.447039556938501E-2</v>
      </c>
      <c r="D528" s="10">
        <f t="shared" si="29"/>
        <v>0.3129985449272239</v>
      </c>
      <c r="E528" t="str">
        <f t="shared" si="31"/>
        <v>A</v>
      </c>
    </row>
    <row r="529" spans="1:5" x14ac:dyDescent="0.3">
      <c r="A529" t="s">
        <v>1204</v>
      </c>
      <c r="B529">
        <v>36549.429260000004</v>
      </c>
      <c r="C529" s="10">
        <f t="shared" si="30"/>
        <v>2.3810561867582455E-2</v>
      </c>
      <c r="D529" s="10">
        <f t="shared" si="29"/>
        <v>0.33680910679480636</v>
      </c>
      <c r="E529" t="str">
        <f t="shared" si="31"/>
        <v>A</v>
      </c>
    </row>
    <row r="530" spans="1:5" x14ac:dyDescent="0.3">
      <c r="A530" t="s">
        <v>872</v>
      </c>
      <c r="B530">
        <v>35567.737920000007</v>
      </c>
      <c r="C530" s="10">
        <f t="shared" si="30"/>
        <v>2.3171027328762136E-2</v>
      </c>
      <c r="D530" s="10">
        <f t="shared" si="29"/>
        <v>0.3599801341235685</v>
      </c>
      <c r="E530" t="str">
        <f t="shared" si="31"/>
        <v>A</v>
      </c>
    </row>
    <row r="531" spans="1:5" x14ac:dyDescent="0.3">
      <c r="A531" t="s">
        <v>783</v>
      </c>
      <c r="B531">
        <v>34444.462359999998</v>
      </c>
      <c r="C531" s="10">
        <f t="shared" si="30"/>
        <v>2.2439256060175067E-2</v>
      </c>
      <c r="D531" s="10">
        <f t="shared" si="29"/>
        <v>0.38241939018374355</v>
      </c>
      <c r="E531" t="str">
        <f t="shared" si="31"/>
        <v>A</v>
      </c>
    </row>
    <row r="532" spans="1:5" x14ac:dyDescent="0.3">
      <c r="A532" t="s">
        <v>1262</v>
      </c>
      <c r="B532">
        <v>33421.1</v>
      </c>
      <c r="C532" s="10">
        <f t="shared" si="30"/>
        <v>2.1772574438079194E-2</v>
      </c>
      <c r="D532" s="10">
        <f t="shared" si="29"/>
        <v>0.40419196462182272</v>
      </c>
      <c r="E532" t="str">
        <f t="shared" si="31"/>
        <v>A</v>
      </c>
    </row>
    <row r="533" spans="1:5" x14ac:dyDescent="0.3">
      <c r="A533" t="s">
        <v>1280</v>
      </c>
      <c r="B533">
        <v>31822.023930000003</v>
      </c>
      <c r="C533" s="10">
        <f t="shared" si="30"/>
        <v>2.0730837249110966E-2</v>
      </c>
      <c r="D533" s="10">
        <f t="shared" si="29"/>
        <v>0.42492280187093368</v>
      </c>
      <c r="E533" t="str">
        <f t="shared" si="31"/>
        <v>A</v>
      </c>
    </row>
    <row r="534" spans="1:5" x14ac:dyDescent="0.3">
      <c r="A534" t="s">
        <v>887</v>
      </c>
      <c r="B534">
        <v>29654.83008</v>
      </c>
      <c r="C534" s="10">
        <f t="shared" si="30"/>
        <v>1.9318992952517721E-2</v>
      </c>
      <c r="D534" s="10">
        <f t="shared" si="29"/>
        <v>0.44424179482345139</v>
      </c>
      <c r="E534" t="str">
        <f t="shared" si="31"/>
        <v>A</v>
      </c>
    </row>
    <row r="535" spans="1:5" x14ac:dyDescent="0.3">
      <c r="A535" t="s">
        <v>953</v>
      </c>
      <c r="B535">
        <v>28211.92124</v>
      </c>
      <c r="C535" s="10">
        <f t="shared" si="30"/>
        <v>1.8378992769212489E-2</v>
      </c>
      <c r="D535" s="10">
        <f t="shared" si="29"/>
        <v>0.4626207875926639</v>
      </c>
      <c r="E535" t="str">
        <f t="shared" si="31"/>
        <v>A</v>
      </c>
    </row>
    <row r="536" spans="1:5" x14ac:dyDescent="0.3">
      <c r="A536" t="s">
        <v>1208</v>
      </c>
      <c r="B536">
        <v>27194.152039999997</v>
      </c>
      <c r="C536" s="10">
        <f t="shared" si="30"/>
        <v>1.7715954877946662E-2</v>
      </c>
      <c r="D536" s="10">
        <f t="shared" si="29"/>
        <v>0.48033674247061053</v>
      </c>
      <c r="E536" t="str">
        <f t="shared" si="31"/>
        <v>A</v>
      </c>
    </row>
    <row r="537" spans="1:5" x14ac:dyDescent="0.3">
      <c r="A537" t="s">
        <v>750</v>
      </c>
      <c r="B537">
        <v>25948.414799999995</v>
      </c>
      <c r="C537" s="10">
        <f t="shared" si="30"/>
        <v>1.6904404486481766E-2</v>
      </c>
      <c r="D537" s="10">
        <f t="shared" si="29"/>
        <v>0.49724114695709232</v>
      </c>
      <c r="E537" t="str">
        <f t="shared" si="31"/>
        <v>A</v>
      </c>
    </row>
    <row r="538" spans="1:5" x14ac:dyDescent="0.3">
      <c r="A538" t="s">
        <v>987</v>
      </c>
      <c r="B538">
        <v>25483.91488</v>
      </c>
      <c r="C538" s="10">
        <f t="shared" si="30"/>
        <v>1.660180047031588E-2</v>
      </c>
      <c r="D538" s="10">
        <f t="shared" si="29"/>
        <v>0.51384294742740821</v>
      </c>
      <c r="E538" t="str">
        <f t="shared" si="31"/>
        <v>A</v>
      </c>
    </row>
    <row r="539" spans="1:5" x14ac:dyDescent="0.3">
      <c r="A539" t="s">
        <v>1350</v>
      </c>
      <c r="B539">
        <v>25174.028880000002</v>
      </c>
      <c r="C539" s="10">
        <f t="shared" si="30"/>
        <v>1.6399921537476488E-2</v>
      </c>
      <c r="D539" s="10">
        <f t="shared" si="29"/>
        <v>0.53024286896488471</v>
      </c>
      <c r="E539" t="str">
        <f t="shared" si="31"/>
        <v>A</v>
      </c>
    </row>
    <row r="540" spans="1:5" x14ac:dyDescent="0.3">
      <c r="A540" t="s">
        <v>1139</v>
      </c>
      <c r="B540">
        <v>22457.143800000002</v>
      </c>
      <c r="C540" s="10">
        <f t="shared" si="30"/>
        <v>1.4629974329155795E-2</v>
      </c>
      <c r="D540" s="10">
        <f t="shared" si="29"/>
        <v>0.54487284329404051</v>
      </c>
      <c r="E540" t="str">
        <f t="shared" si="31"/>
        <v>A</v>
      </c>
    </row>
    <row r="541" spans="1:5" x14ac:dyDescent="0.3">
      <c r="A541" t="s">
        <v>1249</v>
      </c>
      <c r="B541">
        <v>22201.762229999997</v>
      </c>
      <c r="C541" s="10">
        <f t="shared" si="30"/>
        <v>1.4463602957688709E-2</v>
      </c>
      <c r="D541" s="10">
        <f t="shared" si="29"/>
        <v>0.55933644625172918</v>
      </c>
      <c r="E541" t="str">
        <f t="shared" si="31"/>
        <v>A</v>
      </c>
    </row>
    <row r="542" spans="1:5" x14ac:dyDescent="0.3">
      <c r="A542" t="s">
        <v>1177</v>
      </c>
      <c r="B542">
        <v>21664.440000000002</v>
      </c>
      <c r="C542" s="10">
        <f t="shared" si="30"/>
        <v>1.4113557978621306E-2</v>
      </c>
      <c r="D542" s="10">
        <f t="shared" si="29"/>
        <v>0.57345000423035053</v>
      </c>
      <c r="E542" t="str">
        <f t="shared" si="31"/>
        <v>A</v>
      </c>
    </row>
    <row r="543" spans="1:5" x14ac:dyDescent="0.3">
      <c r="A543" t="s">
        <v>747</v>
      </c>
      <c r="B543">
        <v>21585.15</v>
      </c>
      <c r="C543" s="10">
        <f t="shared" si="30"/>
        <v>1.4061903561884713E-2</v>
      </c>
      <c r="D543" s="10">
        <f t="shared" si="29"/>
        <v>0.58751190779223528</v>
      </c>
      <c r="E543" t="str">
        <f t="shared" si="31"/>
        <v>A</v>
      </c>
    </row>
    <row r="544" spans="1:5" x14ac:dyDescent="0.3">
      <c r="A544" t="s">
        <v>1173</v>
      </c>
      <c r="B544">
        <v>20672.289000000001</v>
      </c>
      <c r="C544" s="10">
        <f t="shared" si="30"/>
        <v>1.3467209369469759E-2</v>
      </c>
      <c r="D544" s="10">
        <f t="shared" si="29"/>
        <v>0.60097911716170505</v>
      </c>
      <c r="E544" t="str">
        <f t="shared" si="31"/>
        <v>A</v>
      </c>
    </row>
    <row r="545" spans="1:5" x14ac:dyDescent="0.3">
      <c r="A545" t="s">
        <v>1076</v>
      </c>
      <c r="B545">
        <v>20053.439999999999</v>
      </c>
      <c r="C545" s="10">
        <f t="shared" si="30"/>
        <v>1.3064052803155935E-2</v>
      </c>
      <c r="D545" s="10">
        <f t="shared" si="29"/>
        <v>0.61404316996486097</v>
      </c>
      <c r="E545" t="str">
        <f t="shared" si="31"/>
        <v>A</v>
      </c>
    </row>
    <row r="546" spans="1:5" x14ac:dyDescent="0.3">
      <c r="A546" t="s">
        <v>1148</v>
      </c>
      <c r="B546">
        <v>18411.4084</v>
      </c>
      <c r="C546" s="10">
        <f t="shared" si="30"/>
        <v>1.1994331721543475E-2</v>
      </c>
      <c r="D546" s="10">
        <f t="shared" si="29"/>
        <v>0.62603750168640449</v>
      </c>
      <c r="E546" t="str">
        <f t="shared" si="31"/>
        <v>A</v>
      </c>
    </row>
    <row r="547" spans="1:5" x14ac:dyDescent="0.3">
      <c r="A547" t="s">
        <v>815</v>
      </c>
      <c r="B547">
        <v>18258.868320000001</v>
      </c>
      <c r="C547" s="10">
        <f t="shared" si="30"/>
        <v>1.1894957666033915E-2</v>
      </c>
      <c r="D547" s="10">
        <f t="shared" si="29"/>
        <v>0.63793245935243836</v>
      </c>
      <c r="E547" t="str">
        <f t="shared" si="31"/>
        <v>A</v>
      </c>
    </row>
    <row r="548" spans="1:5" x14ac:dyDescent="0.3">
      <c r="A548" t="s">
        <v>1343</v>
      </c>
      <c r="B548">
        <v>18003.847679999999</v>
      </c>
      <c r="C548" s="10">
        <f t="shared" si="30"/>
        <v>1.1728821426722621E-2</v>
      </c>
      <c r="D548" s="10">
        <f t="shared" si="29"/>
        <v>0.64966128077916097</v>
      </c>
      <c r="E548" t="str">
        <f t="shared" si="31"/>
        <v>A</v>
      </c>
    </row>
    <row r="549" spans="1:5" x14ac:dyDescent="0.3">
      <c r="A549" t="s">
        <v>735</v>
      </c>
      <c r="B549">
        <v>17960.432489999999</v>
      </c>
      <c r="C549" s="10">
        <f t="shared" si="30"/>
        <v>1.1700538083085866E-2</v>
      </c>
      <c r="D549" s="10">
        <f t="shared" si="29"/>
        <v>0.66136181886224688</v>
      </c>
      <c r="E549" t="str">
        <f t="shared" si="31"/>
        <v>A</v>
      </c>
    </row>
    <row r="550" spans="1:5" x14ac:dyDescent="0.3">
      <c r="A550" t="s">
        <v>1134</v>
      </c>
      <c r="B550">
        <v>17427.164800000002</v>
      </c>
      <c r="C550" s="10">
        <f t="shared" si="30"/>
        <v>1.1353134482487818E-2</v>
      </c>
      <c r="D550" s="10">
        <f t="shared" si="29"/>
        <v>0.67271495334473475</v>
      </c>
      <c r="E550" t="str">
        <f t="shared" si="31"/>
        <v>A</v>
      </c>
    </row>
    <row r="551" spans="1:5" x14ac:dyDescent="0.3">
      <c r="A551" t="s">
        <v>962</v>
      </c>
      <c r="B551">
        <v>16609.090809999998</v>
      </c>
      <c r="C551" s="10">
        <f t="shared" si="30"/>
        <v>1.0820190418913262E-2</v>
      </c>
      <c r="D551" s="10">
        <f t="shared" si="29"/>
        <v>0.68353514376364799</v>
      </c>
      <c r="E551" t="str">
        <f t="shared" si="31"/>
        <v>A</v>
      </c>
    </row>
    <row r="552" spans="1:5" x14ac:dyDescent="0.3">
      <c r="A552" t="s">
        <v>1202</v>
      </c>
      <c r="B552">
        <v>16252.219979999998</v>
      </c>
      <c r="C552" s="10">
        <f t="shared" si="30"/>
        <v>1.0587702657859493E-2</v>
      </c>
      <c r="D552" s="10">
        <f t="shared" si="29"/>
        <v>0.69412284642150746</v>
      </c>
      <c r="E552" t="str">
        <f t="shared" si="31"/>
        <v>A</v>
      </c>
    </row>
    <row r="553" spans="1:5" x14ac:dyDescent="0.3">
      <c r="A553" t="s">
        <v>1069</v>
      </c>
      <c r="B553">
        <v>16219.34496</v>
      </c>
      <c r="C553" s="10">
        <f t="shared" si="30"/>
        <v>1.0566285833754265E-2</v>
      </c>
      <c r="D553" s="10">
        <f t="shared" si="29"/>
        <v>0.70468913225526175</v>
      </c>
      <c r="E553" t="str">
        <f t="shared" si="31"/>
        <v>A</v>
      </c>
    </row>
    <row r="554" spans="1:5" x14ac:dyDescent="0.3">
      <c r="A554" t="s">
        <v>942</v>
      </c>
      <c r="B554">
        <v>15825.399369999997</v>
      </c>
      <c r="C554" s="10">
        <f t="shared" si="30"/>
        <v>1.030964527785311E-2</v>
      </c>
      <c r="D554" s="10">
        <f t="shared" si="29"/>
        <v>0.71499877753311492</v>
      </c>
      <c r="E554" t="str">
        <f t="shared" si="31"/>
        <v>A</v>
      </c>
    </row>
    <row r="555" spans="1:5" x14ac:dyDescent="0.3">
      <c r="A555" t="s">
        <v>910</v>
      </c>
      <c r="B555">
        <v>15656.47056</v>
      </c>
      <c r="C555" s="10">
        <f t="shared" si="30"/>
        <v>1.0199594588604069E-2</v>
      </c>
      <c r="D555" s="10">
        <f t="shared" si="29"/>
        <v>0.725198372121719</v>
      </c>
      <c r="E555" t="str">
        <f t="shared" si="31"/>
        <v>A</v>
      </c>
    </row>
    <row r="556" spans="1:5" x14ac:dyDescent="0.3">
      <c r="A556" t="s">
        <v>772</v>
      </c>
      <c r="B556">
        <v>14968.239</v>
      </c>
      <c r="C556" s="10">
        <f t="shared" si="30"/>
        <v>9.7512379255757613E-3</v>
      </c>
      <c r="D556" s="10">
        <f t="shared" si="29"/>
        <v>0.73494961004729475</v>
      </c>
      <c r="E556" t="str">
        <f t="shared" si="31"/>
        <v>A</v>
      </c>
    </row>
    <row r="557" spans="1:5" x14ac:dyDescent="0.3">
      <c r="A557" t="s">
        <v>882</v>
      </c>
      <c r="B557">
        <v>14877.464000000002</v>
      </c>
      <c r="C557" s="10">
        <f t="shared" si="30"/>
        <v>9.6921014685286688E-3</v>
      </c>
      <c r="D557" s="10">
        <f t="shared" si="29"/>
        <v>0.74464171151582348</v>
      </c>
      <c r="E557" t="str">
        <f t="shared" si="31"/>
        <v>A</v>
      </c>
    </row>
    <row r="558" spans="1:5" x14ac:dyDescent="0.3">
      <c r="A558" t="s">
        <v>1093</v>
      </c>
      <c r="B558">
        <v>14813.731920000002</v>
      </c>
      <c r="C558" s="10">
        <f t="shared" si="30"/>
        <v>9.6505824444422812E-3</v>
      </c>
      <c r="D558" s="10">
        <f t="shared" si="29"/>
        <v>0.75429229396026576</v>
      </c>
      <c r="E558" t="str">
        <f t="shared" si="31"/>
        <v>A</v>
      </c>
    </row>
    <row r="559" spans="1:5" x14ac:dyDescent="0.3">
      <c r="A559" t="s">
        <v>1292</v>
      </c>
      <c r="B559">
        <v>13251.48</v>
      </c>
      <c r="C559" s="10">
        <f t="shared" si="30"/>
        <v>8.6328347874461853E-3</v>
      </c>
      <c r="D559" s="10">
        <f t="shared" si="29"/>
        <v>0.7629251287477119</v>
      </c>
      <c r="E559" t="str">
        <f t="shared" si="31"/>
        <v>A</v>
      </c>
    </row>
    <row r="560" spans="1:5" x14ac:dyDescent="0.3">
      <c r="A560" t="s">
        <v>1163</v>
      </c>
      <c r="B560">
        <v>12955.824749999998</v>
      </c>
      <c r="C560" s="10">
        <f t="shared" si="30"/>
        <v>8.4402266465222198E-3</v>
      </c>
      <c r="D560" s="10">
        <f t="shared" si="29"/>
        <v>0.77136535539423412</v>
      </c>
      <c r="E560" t="str">
        <f t="shared" si="31"/>
        <v>A</v>
      </c>
    </row>
    <row r="561" spans="1:5" x14ac:dyDescent="0.3">
      <c r="A561" t="s">
        <v>1098</v>
      </c>
      <c r="B561">
        <v>12717.311040000001</v>
      </c>
      <c r="C561" s="10">
        <f t="shared" si="30"/>
        <v>8.2848440437509954E-3</v>
      </c>
      <c r="D561" s="10">
        <f t="shared" si="29"/>
        <v>0.77965019943798508</v>
      </c>
      <c r="E561" t="str">
        <f t="shared" si="31"/>
        <v>A</v>
      </c>
    </row>
    <row r="562" spans="1:5" x14ac:dyDescent="0.3">
      <c r="A562" t="s">
        <v>999</v>
      </c>
      <c r="B562">
        <v>12597.52224</v>
      </c>
      <c r="C562" s="10">
        <f t="shared" si="30"/>
        <v>8.2068062004469686E-3</v>
      </c>
      <c r="D562" s="10">
        <f t="shared" si="29"/>
        <v>0.78785700563843208</v>
      </c>
      <c r="E562" t="str">
        <f t="shared" si="31"/>
        <v>A</v>
      </c>
    </row>
    <row r="563" spans="1:5" x14ac:dyDescent="0.3">
      <c r="A563" t="s">
        <v>1183</v>
      </c>
      <c r="B563">
        <v>12462.65055</v>
      </c>
      <c r="C563" s="10">
        <f t="shared" si="30"/>
        <v>8.1189424284551868E-3</v>
      </c>
      <c r="D563" s="10">
        <f t="shared" ref="D563:D616" si="32">D562+C563</f>
        <v>0.79597594806688732</v>
      </c>
      <c r="E563" t="str">
        <f t="shared" si="31"/>
        <v>A</v>
      </c>
    </row>
    <row r="564" spans="1:5" x14ac:dyDescent="0.3">
      <c r="A564" t="s">
        <v>868</v>
      </c>
      <c r="B564">
        <v>12031.491680000001</v>
      </c>
      <c r="C564" s="10">
        <f t="shared" si="30"/>
        <v>7.8380588371995703E-3</v>
      </c>
      <c r="D564" s="10">
        <f t="shared" si="32"/>
        <v>0.80381400690408689</v>
      </c>
      <c r="E564" t="str">
        <f t="shared" si="31"/>
        <v>B</v>
      </c>
    </row>
    <row r="565" spans="1:5" x14ac:dyDescent="0.3">
      <c r="A565" t="s">
        <v>898</v>
      </c>
      <c r="B565">
        <v>11851.806399999999</v>
      </c>
      <c r="C565" s="10">
        <f t="shared" si="30"/>
        <v>7.7210007172027074E-3</v>
      </c>
      <c r="D565" s="10">
        <f t="shared" si="32"/>
        <v>0.81153500762128961</v>
      </c>
      <c r="E565" t="str">
        <f t="shared" si="31"/>
        <v>B</v>
      </c>
    </row>
    <row r="566" spans="1:5" x14ac:dyDescent="0.3">
      <c r="A566" t="s">
        <v>1008</v>
      </c>
      <c r="B566">
        <v>11417.429099999999</v>
      </c>
      <c r="C566" s="10">
        <f t="shared" si="30"/>
        <v>7.438020441315263E-3</v>
      </c>
      <c r="D566" s="10">
        <f t="shared" si="32"/>
        <v>0.81897302806260486</v>
      </c>
      <c r="E566" t="str">
        <f t="shared" si="31"/>
        <v>B</v>
      </c>
    </row>
    <row r="567" spans="1:5" x14ac:dyDescent="0.3">
      <c r="A567" t="s">
        <v>1260</v>
      </c>
      <c r="B567">
        <v>11406.96</v>
      </c>
      <c r="C567" s="10">
        <f t="shared" si="30"/>
        <v>7.4312002211833796E-3</v>
      </c>
      <c r="D567" s="10">
        <f t="shared" si="32"/>
        <v>0.82640422828378823</v>
      </c>
      <c r="E567" t="str">
        <f t="shared" si="31"/>
        <v>B</v>
      </c>
    </row>
    <row r="568" spans="1:5" x14ac:dyDescent="0.3">
      <c r="A568" t="s">
        <v>738</v>
      </c>
      <c r="B568">
        <v>10957.9797</v>
      </c>
      <c r="C568" s="10">
        <f t="shared" si="30"/>
        <v>7.1387066466756252E-3</v>
      </c>
      <c r="D568" s="10">
        <f t="shared" si="32"/>
        <v>0.83354293493046383</v>
      </c>
      <c r="E568" t="str">
        <f t="shared" si="31"/>
        <v>B</v>
      </c>
    </row>
    <row r="569" spans="1:5" x14ac:dyDescent="0.3">
      <c r="A569" t="s">
        <v>1235</v>
      </c>
      <c r="B569">
        <v>10869.182940000001</v>
      </c>
      <c r="C569" s="10">
        <f t="shared" si="30"/>
        <v>7.0808589376845912E-3</v>
      </c>
      <c r="D569" s="10">
        <f t="shared" si="32"/>
        <v>0.84062379386814845</v>
      </c>
      <c r="E569" t="str">
        <f t="shared" si="31"/>
        <v>B</v>
      </c>
    </row>
    <row r="570" spans="1:5" x14ac:dyDescent="0.3">
      <c r="A570" t="s">
        <v>777</v>
      </c>
      <c r="B570">
        <v>10666.229420000001</v>
      </c>
      <c r="C570" s="10">
        <f t="shared" si="30"/>
        <v>6.9486424450595679E-3</v>
      </c>
      <c r="D570" s="10">
        <f t="shared" si="32"/>
        <v>0.847572436313208</v>
      </c>
      <c r="E570" t="str">
        <f t="shared" si="31"/>
        <v>B</v>
      </c>
    </row>
    <row r="571" spans="1:5" x14ac:dyDescent="0.3">
      <c r="A571" t="s">
        <v>1347</v>
      </c>
      <c r="B571">
        <v>10464.138360000001</v>
      </c>
      <c r="C571" s="10">
        <f t="shared" si="30"/>
        <v>6.816987812294029E-3</v>
      </c>
      <c r="D571" s="10">
        <f t="shared" si="32"/>
        <v>0.85438942412550201</v>
      </c>
      <c r="E571" t="str">
        <f t="shared" si="31"/>
        <v>B</v>
      </c>
    </row>
    <row r="572" spans="1:5" x14ac:dyDescent="0.3">
      <c r="A572" t="s">
        <v>1203</v>
      </c>
      <c r="B572">
        <v>10428.057360000001</v>
      </c>
      <c r="C572" s="10">
        <f t="shared" si="30"/>
        <v>6.793482414258048E-3</v>
      </c>
      <c r="D572" s="10">
        <f t="shared" si="32"/>
        <v>0.86118290653976004</v>
      </c>
      <c r="E572" t="str">
        <f t="shared" si="31"/>
        <v>B</v>
      </c>
    </row>
    <row r="573" spans="1:5" x14ac:dyDescent="0.3">
      <c r="A573" t="s">
        <v>1342</v>
      </c>
      <c r="B573">
        <v>10260.060159999999</v>
      </c>
      <c r="C573" s="10">
        <f t="shared" si="30"/>
        <v>6.6840386334612182E-3</v>
      </c>
      <c r="D573" s="10">
        <f t="shared" si="32"/>
        <v>0.86786694517322127</v>
      </c>
      <c r="E573" t="str">
        <f t="shared" si="31"/>
        <v>B</v>
      </c>
    </row>
    <row r="574" spans="1:5" x14ac:dyDescent="0.3">
      <c r="A574" t="s">
        <v>826</v>
      </c>
      <c r="B574">
        <v>10161.46624</v>
      </c>
      <c r="C574" s="10">
        <f t="shared" si="30"/>
        <v>6.6198084476701462E-3</v>
      </c>
      <c r="D574" s="10">
        <f t="shared" si="32"/>
        <v>0.87448675362089145</v>
      </c>
      <c r="E574" t="str">
        <f t="shared" si="31"/>
        <v>B</v>
      </c>
    </row>
    <row r="575" spans="1:5" x14ac:dyDescent="0.3">
      <c r="A575" t="s">
        <v>877</v>
      </c>
      <c r="B575">
        <v>9969.4201499999999</v>
      </c>
      <c r="C575" s="10">
        <f t="shared" si="30"/>
        <v>6.4946977304864793E-3</v>
      </c>
      <c r="D575" s="10">
        <f t="shared" si="32"/>
        <v>0.88098145135137795</v>
      </c>
      <c r="E575" t="str">
        <f t="shared" si="31"/>
        <v>B</v>
      </c>
    </row>
    <row r="576" spans="1:5" x14ac:dyDescent="0.3">
      <c r="A576" t="s">
        <v>1119</v>
      </c>
      <c r="B576">
        <v>9586.8057599999993</v>
      </c>
      <c r="C576" s="10">
        <f t="shared" si="30"/>
        <v>6.245439020050399E-3</v>
      </c>
      <c r="D576" s="10">
        <f t="shared" si="32"/>
        <v>0.88722689037142832</v>
      </c>
      <c r="E576" t="str">
        <f t="shared" si="31"/>
        <v>B</v>
      </c>
    </row>
    <row r="577" spans="1:5" x14ac:dyDescent="0.3">
      <c r="A577" t="s">
        <v>1258</v>
      </c>
      <c r="B577">
        <v>8326.6852500000005</v>
      </c>
      <c r="C577" s="10">
        <f t="shared" si="30"/>
        <v>5.4245184756959251E-3</v>
      </c>
      <c r="D577" s="10">
        <f t="shared" si="32"/>
        <v>0.89265140884712424</v>
      </c>
      <c r="E577" t="str">
        <f t="shared" si="31"/>
        <v>B</v>
      </c>
    </row>
    <row r="578" spans="1:5" x14ac:dyDescent="0.3">
      <c r="A578" t="s">
        <v>884</v>
      </c>
      <c r="B578">
        <v>7901.5041599999995</v>
      </c>
      <c r="C578" s="10">
        <f t="shared" si="30"/>
        <v>5.1475291805593596E-3</v>
      </c>
      <c r="D578" s="10">
        <f t="shared" si="32"/>
        <v>0.89779893802768362</v>
      </c>
      <c r="E578" t="str">
        <f t="shared" si="31"/>
        <v>B</v>
      </c>
    </row>
    <row r="579" spans="1:5" x14ac:dyDescent="0.3">
      <c r="A579" t="s">
        <v>1003</v>
      </c>
      <c r="B579">
        <v>7678.2113999999992</v>
      </c>
      <c r="C579" s="10">
        <f t="shared" si="30"/>
        <v>5.0020624473104793E-3</v>
      </c>
      <c r="D579" s="10">
        <f t="shared" si="32"/>
        <v>0.90280100047499412</v>
      </c>
      <c r="E579" t="str">
        <f t="shared" si="31"/>
        <v>B</v>
      </c>
    </row>
    <row r="580" spans="1:5" x14ac:dyDescent="0.3">
      <c r="A580" t="s">
        <v>1333</v>
      </c>
      <c r="B580">
        <v>7466.3063999999986</v>
      </c>
      <c r="C580" s="10">
        <f t="shared" si="30"/>
        <v>4.864014406213652E-3</v>
      </c>
      <c r="D580" s="10">
        <f t="shared" si="32"/>
        <v>0.90766501488120777</v>
      </c>
      <c r="E580" t="str">
        <f t="shared" si="31"/>
        <v>B</v>
      </c>
    </row>
    <row r="581" spans="1:5" x14ac:dyDescent="0.3">
      <c r="A581" t="s">
        <v>963</v>
      </c>
      <c r="B581">
        <v>7446.5209000000004</v>
      </c>
      <c r="C581" s="10">
        <f t="shared" si="30"/>
        <v>4.8511249061210585E-3</v>
      </c>
      <c r="D581" s="10">
        <f t="shared" si="32"/>
        <v>0.91251613978732882</v>
      </c>
      <c r="E581" t="str">
        <f t="shared" si="31"/>
        <v>B</v>
      </c>
    </row>
    <row r="582" spans="1:5" x14ac:dyDescent="0.3">
      <c r="A582" t="s">
        <v>780</v>
      </c>
      <c r="B582">
        <v>7135.57</v>
      </c>
      <c r="C582" s="10">
        <f t="shared" si="30"/>
        <v>4.6485522314682866E-3</v>
      </c>
      <c r="D582" s="10">
        <f t="shared" si="32"/>
        <v>0.91716469201879713</v>
      </c>
      <c r="E582" t="str">
        <f t="shared" si="31"/>
        <v>B</v>
      </c>
    </row>
    <row r="583" spans="1:5" x14ac:dyDescent="0.3">
      <c r="A583" t="s">
        <v>946</v>
      </c>
      <c r="B583">
        <v>6984.8246399999998</v>
      </c>
      <c r="C583" s="10">
        <f t="shared" si="30"/>
        <v>4.5503473677206826E-3</v>
      </c>
      <c r="D583" s="10">
        <f t="shared" si="32"/>
        <v>0.92171503938651778</v>
      </c>
      <c r="E583" t="str">
        <f t="shared" si="31"/>
        <v>B</v>
      </c>
    </row>
    <row r="584" spans="1:5" x14ac:dyDescent="0.3">
      <c r="A584" t="s">
        <v>1144</v>
      </c>
      <c r="B584">
        <v>6899.8804600000003</v>
      </c>
      <c r="C584" s="10">
        <f t="shared" ref="C584:C616" si="33">B584/$B$518</f>
        <v>4.4950094679468396E-3</v>
      </c>
      <c r="D584" s="10">
        <f t="shared" si="32"/>
        <v>0.92621004885446456</v>
      </c>
      <c r="E584" t="str">
        <f t="shared" si="31"/>
        <v>B</v>
      </c>
    </row>
    <row r="585" spans="1:5" x14ac:dyDescent="0.3">
      <c r="A585" t="s">
        <v>769</v>
      </c>
      <c r="B585">
        <v>6631.6443100000006</v>
      </c>
      <c r="C585" s="10">
        <f t="shared" si="33"/>
        <v>4.3202638269338638E-3</v>
      </c>
      <c r="D585" s="10">
        <f t="shared" si="32"/>
        <v>0.93053031268139841</v>
      </c>
      <c r="E585" t="str">
        <f t="shared" ref="E585:E616" si="34">IF(D585&lt;=80%,"A",IF(D585&lt;=95%,"B","C"))</f>
        <v>B</v>
      </c>
    </row>
    <row r="586" spans="1:5" x14ac:dyDescent="0.3">
      <c r="A586" t="s">
        <v>952</v>
      </c>
      <c r="B586">
        <v>6535.6324800000002</v>
      </c>
      <c r="C586" s="10">
        <f t="shared" si="33"/>
        <v>4.2577157744876186E-3</v>
      </c>
      <c r="D586" s="10">
        <f t="shared" si="32"/>
        <v>0.93478802845588604</v>
      </c>
      <c r="E586" t="str">
        <f t="shared" si="34"/>
        <v>B</v>
      </c>
    </row>
    <row r="587" spans="1:5" x14ac:dyDescent="0.3">
      <c r="A587" t="s">
        <v>1176</v>
      </c>
      <c r="B587">
        <v>5960.04288</v>
      </c>
      <c r="C587" s="10">
        <f t="shared" si="33"/>
        <v>3.8827410605558736E-3</v>
      </c>
      <c r="D587" s="10">
        <f t="shared" si="32"/>
        <v>0.93867076951644191</v>
      </c>
      <c r="E587" t="str">
        <f t="shared" si="34"/>
        <v>B</v>
      </c>
    </row>
    <row r="588" spans="1:5" x14ac:dyDescent="0.3">
      <c r="A588" t="s">
        <v>1336</v>
      </c>
      <c r="B588">
        <v>5457.4317000000001</v>
      </c>
      <c r="C588" s="10">
        <f t="shared" si="33"/>
        <v>3.5553090092481426E-3</v>
      </c>
      <c r="D588" s="10">
        <f t="shared" si="32"/>
        <v>0.94222607852569007</v>
      </c>
      <c r="E588" t="str">
        <f t="shared" si="34"/>
        <v>B</v>
      </c>
    </row>
    <row r="589" spans="1:5" x14ac:dyDescent="0.3">
      <c r="A589" t="s">
        <v>1042</v>
      </c>
      <c r="B589">
        <v>5334.9141999999993</v>
      </c>
      <c r="C589" s="10">
        <f t="shared" si="33"/>
        <v>3.4754935217651637E-3</v>
      </c>
      <c r="D589" s="10">
        <f t="shared" si="32"/>
        <v>0.9457015720474552</v>
      </c>
      <c r="E589" t="str">
        <f t="shared" si="34"/>
        <v>B</v>
      </c>
    </row>
    <row r="590" spans="1:5" x14ac:dyDescent="0.3">
      <c r="A590" t="s">
        <v>1214</v>
      </c>
      <c r="B590">
        <v>4738.5261</v>
      </c>
      <c r="C590" s="10">
        <f t="shared" si="33"/>
        <v>3.0869693768018139E-3</v>
      </c>
      <c r="D590" s="10">
        <f t="shared" si="32"/>
        <v>0.94878854142425706</v>
      </c>
      <c r="E590" t="str">
        <f t="shared" si="34"/>
        <v>B</v>
      </c>
    </row>
    <row r="591" spans="1:5" x14ac:dyDescent="0.3">
      <c r="A591" t="s">
        <v>935</v>
      </c>
      <c r="B591">
        <v>4637.7968000000001</v>
      </c>
      <c r="C591" s="10">
        <f t="shared" si="33"/>
        <v>3.0213480722263929E-3</v>
      </c>
      <c r="D591" s="10">
        <f t="shared" si="32"/>
        <v>0.95180988949648349</v>
      </c>
      <c r="E591" t="str">
        <f t="shared" si="34"/>
        <v>C</v>
      </c>
    </row>
    <row r="592" spans="1:5" x14ac:dyDescent="0.3">
      <c r="A592" t="s">
        <v>1103</v>
      </c>
      <c r="B592">
        <v>4569.5735999999997</v>
      </c>
      <c r="C592" s="10">
        <f t="shared" si="33"/>
        <v>2.9769032544195591E-3</v>
      </c>
      <c r="D592" s="10">
        <f t="shared" si="32"/>
        <v>0.95478679275090306</v>
      </c>
      <c r="E592" t="str">
        <f t="shared" si="34"/>
        <v>C</v>
      </c>
    </row>
    <row r="593" spans="1:5" x14ac:dyDescent="0.3">
      <c r="A593" t="s">
        <v>974</v>
      </c>
      <c r="B593">
        <v>4436.6291200000005</v>
      </c>
      <c r="C593" s="10">
        <f t="shared" si="33"/>
        <v>2.8902949863813523E-3</v>
      </c>
      <c r="D593" s="10">
        <f t="shared" si="32"/>
        <v>0.95767708773728444</v>
      </c>
      <c r="E593" t="str">
        <f t="shared" si="34"/>
        <v>C</v>
      </c>
    </row>
    <row r="594" spans="1:5" x14ac:dyDescent="0.3">
      <c r="A594" t="s">
        <v>913</v>
      </c>
      <c r="B594">
        <v>4420.5961799999995</v>
      </c>
      <c r="C594" s="10">
        <f t="shared" si="33"/>
        <v>2.8798501362833221E-3</v>
      </c>
      <c r="D594" s="10">
        <f t="shared" si="32"/>
        <v>0.96055693787356777</v>
      </c>
      <c r="E594" t="str">
        <f t="shared" si="34"/>
        <v>C</v>
      </c>
    </row>
    <row r="595" spans="1:5" x14ac:dyDescent="0.3">
      <c r="A595" t="s">
        <v>1330</v>
      </c>
      <c r="B595">
        <v>4409.5168800000001</v>
      </c>
      <c r="C595" s="10">
        <f t="shared" si="33"/>
        <v>2.872632394079391E-3</v>
      </c>
      <c r="D595" s="10">
        <f t="shared" si="32"/>
        <v>0.9634295702676472</v>
      </c>
      <c r="E595" t="str">
        <f t="shared" si="34"/>
        <v>C</v>
      </c>
    </row>
    <row r="596" spans="1:5" x14ac:dyDescent="0.3">
      <c r="A596" t="s">
        <v>927</v>
      </c>
      <c r="B596">
        <v>4402.1164799999997</v>
      </c>
      <c r="C596" s="10">
        <f t="shared" si="33"/>
        <v>2.8678113151839753E-3</v>
      </c>
      <c r="D596" s="10">
        <f t="shared" si="32"/>
        <v>0.96629738158283118</v>
      </c>
      <c r="E596" t="str">
        <f t="shared" si="34"/>
        <v>C</v>
      </c>
    </row>
    <row r="597" spans="1:5" x14ac:dyDescent="0.3">
      <c r="A597" t="s">
        <v>1030</v>
      </c>
      <c r="B597">
        <v>4241.88105</v>
      </c>
      <c r="C597" s="10">
        <f t="shared" si="33"/>
        <v>2.7634240320816052E-3</v>
      </c>
      <c r="D597" s="10">
        <f t="shared" si="32"/>
        <v>0.96906080561491281</v>
      </c>
      <c r="E597" t="str">
        <f t="shared" si="34"/>
        <v>C</v>
      </c>
    </row>
    <row r="598" spans="1:5" x14ac:dyDescent="0.3">
      <c r="A598" t="s">
        <v>886</v>
      </c>
      <c r="B598">
        <v>4139.8127999999997</v>
      </c>
      <c r="C598" s="10">
        <f t="shared" si="33"/>
        <v>2.6969304525498281E-3</v>
      </c>
      <c r="D598" s="10">
        <f t="shared" si="32"/>
        <v>0.97175773606746263</v>
      </c>
      <c r="E598" t="str">
        <f t="shared" si="34"/>
        <v>C</v>
      </c>
    </row>
    <row r="599" spans="1:5" x14ac:dyDescent="0.3">
      <c r="A599" t="s">
        <v>1084</v>
      </c>
      <c r="B599">
        <v>4132.0325200000007</v>
      </c>
      <c r="C599" s="10">
        <f t="shared" si="33"/>
        <v>2.6918618962949747E-3</v>
      </c>
      <c r="D599" s="10">
        <f t="shared" si="32"/>
        <v>0.97444959796375763</v>
      </c>
      <c r="E599" t="str">
        <f t="shared" si="34"/>
        <v>C</v>
      </c>
    </row>
    <row r="600" spans="1:5" x14ac:dyDescent="0.3">
      <c r="A600" t="s">
        <v>1107</v>
      </c>
      <c r="B600">
        <v>4117.4880599999997</v>
      </c>
      <c r="C600" s="10">
        <f t="shared" si="33"/>
        <v>2.6823867342562718E-3</v>
      </c>
      <c r="D600" s="10">
        <f t="shared" si="32"/>
        <v>0.97713198469801388</v>
      </c>
      <c r="E600" t="str">
        <f t="shared" si="34"/>
        <v>C</v>
      </c>
    </row>
    <row r="601" spans="1:5" x14ac:dyDescent="0.3">
      <c r="A601" t="s">
        <v>1195</v>
      </c>
      <c r="B601">
        <v>4055.5175999999997</v>
      </c>
      <c r="C601" s="10">
        <f t="shared" si="33"/>
        <v>2.642015338541828E-3</v>
      </c>
      <c r="D601" s="10">
        <f t="shared" si="32"/>
        <v>0.97977400003655568</v>
      </c>
      <c r="E601" t="str">
        <f t="shared" si="34"/>
        <v>C</v>
      </c>
    </row>
    <row r="602" spans="1:5" x14ac:dyDescent="0.3">
      <c r="A602" t="s">
        <v>1221</v>
      </c>
      <c r="B602">
        <v>4025.8565599999993</v>
      </c>
      <c r="C602" s="10">
        <f t="shared" si="33"/>
        <v>2.6226923000628173E-3</v>
      </c>
      <c r="D602" s="10">
        <f t="shared" si="32"/>
        <v>0.98239669233661853</v>
      </c>
      <c r="E602" t="str">
        <f t="shared" si="34"/>
        <v>C</v>
      </c>
    </row>
    <row r="603" spans="1:5" x14ac:dyDescent="0.3">
      <c r="A603" t="s">
        <v>773</v>
      </c>
      <c r="B603">
        <v>3562.1983800000003</v>
      </c>
      <c r="C603" s="10">
        <f t="shared" si="33"/>
        <v>2.3206366454651441E-3</v>
      </c>
      <c r="D603" s="10">
        <f t="shared" si="32"/>
        <v>0.98471732898208364</v>
      </c>
      <c r="E603" t="str">
        <f t="shared" si="34"/>
        <v>C</v>
      </c>
    </row>
    <row r="604" spans="1:5" x14ac:dyDescent="0.3">
      <c r="A604" t="s">
        <v>1329</v>
      </c>
      <c r="B604">
        <v>3116.21</v>
      </c>
      <c r="C604" s="10">
        <f t="shared" si="33"/>
        <v>2.0300921929465748E-3</v>
      </c>
      <c r="D604" s="10">
        <f t="shared" si="32"/>
        <v>0.98674742117503023</v>
      </c>
      <c r="E604" t="str">
        <f t="shared" si="34"/>
        <v>C</v>
      </c>
    </row>
    <row r="605" spans="1:5" x14ac:dyDescent="0.3">
      <c r="A605" t="s">
        <v>966</v>
      </c>
      <c r="B605">
        <v>2879.9836</v>
      </c>
      <c r="C605" s="10">
        <f t="shared" si="33"/>
        <v>1.8761996855713098E-3</v>
      </c>
      <c r="D605" s="10">
        <f t="shared" si="32"/>
        <v>0.98862362086060152</v>
      </c>
      <c r="E605" t="str">
        <f t="shared" si="34"/>
        <v>C</v>
      </c>
    </row>
    <row r="606" spans="1:5" x14ac:dyDescent="0.3">
      <c r="A606" t="s">
        <v>1340</v>
      </c>
      <c r="B606">
        <v>2736.27018</v>
      </c>
      <c r="C606" s="10">
        <f t="shared" si="33"/>
        <v>1.7825758630549671E-3</v>
      </c>
      <c r="D606" s="10">
        <f t="shared" si="32"/>
        <v>0.99040619672365648</v>
      </c>
      <c r="E606" t="str">
        <f t="shared" si="34"/>
        <v>C</v>
      </c>
    </row>
    <row r="607" spans="1:5" x14ac:dyDescent="0.3">
      <c r="A607" t="s">
        <v>1124</v>
      </c>
      <c r="B607">
        <v>2525.0635000000002</v>
      </c>
      <c r="C607" s="10">
        <f t="shared" si="33"/>
        <v>1.6449827508558004E-3</v>
      </c>
      <c r="D607" s="10">
        <f t="shared" si="32"/>
        <v>0.99205117947451227</v>
      </c>
      <c r="E607" t="str">
        <f t="shared" si="34"/>
        <v>C</v>
      </c>
    </row>
    <row r="608" spans="1:5" x14ac:dyDescent="0.3">
      <c r="A608" t="s">
        <v>1259</v>
      </c>
      <c r="B608">
        <v>2146.5580500000001</v>
      </c>
      <c r="C608" s="10">
        <f t="shared" si="33"/>
        <v>1.3984008584182785E-3</v>
      </c>
      <c r="D608" s="10">
        <f t="shared" si="32"/>
        <v>0.99344958033293052</v>
      </c>
      <c r="E608" t="str">
        <f t="shared" si="34"/>
        <v>C</v>
      </c>
    </row>
    <row r="609" spans="1:5" x14ac:dyDescent="0.3">
      <c r="A609" t="s">
        <v>908</v>
      </c>
      <c r="B609">
        <v>1952.6356799999999</v>
      </c>
      <c r="C609" s="10">
        <f t="shared" si="33"/>
        <v>1.2720678162373288E-3</v>
      </c>
      <c r="D609" s="10">
        <f t="shared" si="32"/>
        <v>0.99472164814916786</v>
      </c>
      <c r="E609" t="str">
        <f t="shared" si="34"/>
        <v>C</v>
      </c>
    </row>
    <row r="610" spans="1:5" x14ac:dyDescent="0.3">
      <c r="A610" t="s">
        <v>1178</v>
      </c>
      <c r="B610">
        <v>1925.29872</v>
      </c>
      <c r="C610" s="10">
        <f t="shared" si="33"/>
        <v>1.2542588274095884E-3</v>
      </c>
      <c r="D610" s="10">
        <f t="shared" si="32"/>
        <v>0.99597590697657745</v>
      </c>
      <c r="E610" t="str">
        <f t="shared" si="34"/>
        <v>C</v>
      </c>
    </row>
    <row r="611" spans="1:5" x14ac:dyDescent="0.3">
      <c r="A611" t="s">
        <v>760</v>
      </c>
      <c r="B611">
        <v>1756.6999999999998</v>
      </c>
      <c r="C611" s="10">
        <f t="shared" si="33"/>
        <v>1.1444231792302982E-3</v>
      </c>
      <c r="D611" s="10">
        <f t="shared" si="32"/>
        <v>0.9971203301558077</v>
      </c>
      <c r="E611" t="str">
        <f t="shared" si="34"/>
        <v>C</v>
      </c>
    </row>
    <row r="612" spans="1:5" x14ac:dyDescent="0.3">
      <c r="A612" t="s">
        <v>1088</v>
      </c>
      <c r="B612">
        <v>1122.0896000000002</v>
      </c>
      <c r="C612" s="10">
        <f t="shared" si="33"/>
        <v>7.3099866079197025E-4</v>
      </c>
      <c r="D612" s="10">
        <f t="shared" si="32"/>
        <v>0.99785132881659966</v>
      </c>
      <c r="E612" t="str">
        <f t="shared" si="34"/>
        <v>C</v>
      </c>
    </row>
    <row r="613" spans="1:5" x14ac:dyDescent="0.3">
      <c r="A613" t="s">
        <v>1025</v>
      </c>
      <c r="B613">
        <v>1098.9470800000001</v>
      </c>
      <c r="C613" s="10">
        <f t="shared" si="33"/>
        <v>7.1592218995813355E-4</v>
      </c>
      <c r="D613" s="10">
        <f t="shared" si="32"/>
        <v>0.99856725100655774</v>
      </c>
      <c r="E613" t="str">
        <f t="shared" si="34"/>
        <v>C</v>
      </c>
    </row>
    <row r="614" spans="1:5" x14ac:dyDescent="0.3">
      <c r="A614" t="s">
        <v>850</v>
      </c>
      <c r="B614">
        <v>765.99195000000009</v>
      </c>
      <c r="C614" s="10">
        <f t="shared" si="33"/>
        <v>4.9901459707623144E-4</v>
      </c>
      <c r="D614" s="10">
        <f t="shared" si="32"/>
        <v>0.99906626560363399</v>
      </c>
      <c r="E614" t="str">
        <f t="shared" si="34"/>
        <v>C</v>
      </c>
    </row>
    <row r="615" spans="1:5" x14ac:dyDescent="0.3">
      <c r="A615" t="s">
        <v>977</v>
      </c>
      <c r="B615">
        <v>748.22303999999997</v>
      </c>
      <c r="C615" s="10">
        <f t="shared" si="33"/>
        <v>4.8743882860486059E-4</v>
      </c>
      <c r="D615" s="10">
        <f t="shared" si="32"/>
        <v>0.9995537044322389</v>
      </c>
      <c r="E615" t="str">
        <f t="shared" si="34"/>
        <v>C</v>
      </c>
    </row>
    <row r="616" spans="1:5" x14ac:dyDescent="0.3">
      <c r="A616" t="s">
        <v>741</v>
      </c>
      <c r="B616">
        <v>685.06776000000002</v>
      </c>
      <c r="C616" s="10">
        <f t="shared" si="33"/>
        <v>4.4629556776192806E-4</v>
      </c>
      <c r="D616" s="10">
        <f t="shared" si="32"/>
        <v>1.0000000000000009</v>
      </c>
      <c r="E616" t="str">
        <f t="shared" si="34"/>
        <v>C</v>
      </c>
    </row>
    <row r="617" spans="1:5" x14ac:dyDescent="0.3">
      <c r="A617" s="14" t="s">
        <v>1432</v>
      </c>
      <c r="B617" s="14">
        <v>10621986.73523376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Data</vt:lpstr>
      <vt:lpstr>Staging Table</vt:lpstr>
      <vt:lpstr>Brief</vt:lpstr>
      <vt:lpstr>Dashboard</vt:lpstr>
      <vt:lpstr>Insights</vt:lpstr>
      <vt:lpstr>Documentation</vt:lpstr>
      <vt:lpstr>SalesProductivity</vt:lpstr>
      <vt:lpstr>AvgOrdVal</vt:lpstr>
      <vt:lpstr>GrossRevenueBYSKUsChart</vt:lpstr>
      <vt:lpstr>ProfitByRegionChart</vt:lpstr>
      <vt:lpstr>RevenueByMonthChart</vt:lpstr>
      <vt:lpstr>Scenario Summary</vt:lpstr>
      <vt:lpstr>ControlPanel</vt:lpstr>
      <vt:lpstr>Price Compliance</vt:lpstr>
      <vt:lpstr>ChannelMix&amp;Cannibalization</vt:lpstr>
      <vt:lpstr>ServiceLevelProxy</vt:lpstr>
      <vt:lpstr>Cohort Analysis</vt:lpstr>
      <vt:lpstr>ABCAnalysisPivotTable</vt:lpstr>
      <vt:lpstr>ABC_Analysis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Daniel Kemei</cp:lastModifiedBy>
  <dcterms:created xsi:type="dcterms:W3CDTF">2025-09-28T10:49:35Z</dcterms:created>
  <dcterms:modified xsi:type="dcterms:W3CDTF">2026-08-05T11:54:01Z</dcterms:modified>
</cp:coreProperties>
</file>